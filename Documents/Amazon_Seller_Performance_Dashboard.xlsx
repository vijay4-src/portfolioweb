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defaultThemeVersion="166925"/>
  <mc:AlternateContent xmlns:mc="http://schemas.openxmlformats.org/markup-compatibility/2006">
    <mc:Choice Requires="x15">
      <x15ac:absPath xmlns:x15ac="http://schemas.microsoft.com/office/spreadsheetml/2010/11/ac" url="/Users/macbook/Documents/MBA GLA/"/>
    </mc:Choice>
  </mc:AlternateContent>
  <xr:revisionPtr revIDLastSave="0" documentId="13_ncr:1_{0FA45CA6-EC27-7A4D-9388-7A179E23FC2A}" xr6:coauthVersionLast="47" xr6:coauthVersionMax="47" xr10:uidLastSave="{00000000-0000-0000-0000-000000000000}"/>
  <bookViews>
    <workbookView xWindow="0" yWindow="0" windowWidth="28800" windowHeight="18000" xr2:uid="{543F3534-B77D-EA4C-98E5-DD85469AA52A}"/>
  </bookViews>
  <sheets>
    <sheet name="Dashboard" sheetId="3" r:id="rId1"/>
    <sheet name="Pivot_Analysis" sheetId="2" r:id="rId2"/>
    <sheet name="Dataset" sheetId="1" r:id="rId3"/>
  </sheets>
  <definedNames>
    <definedName name="Slicer_Day">#N/A</definedName>
    <definedName name="Slicer_Month">#N/A</definedName>
    <definedName name="Slicer_Ship_To_State">#N/A</definedName>
    <definedName name="Slicer_Sku">#N/A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 i="1" l="1"/>
  <c r="Q2" i="1" s="1" a="1"/>
  <c r="Q2" i="1" s="1"/>
  <c r="L4040" i="1"/>
  <c r="N4040" i="1" s="1"/>
  <c r="L4039" i="1"/>
  <c r="N4039" i="1" s="1"/>
  <c r="L4037" i="1"/>
  <c r="N4037" i="1" s="1"/>
  <c r="L4036" i="1"/>
  <c r="N4036" i="1" s="1"/>
  <c r="L4035" i="1"/>
  <c r="N4035" i="1" s="1"/>
  <c r="L4034" i="1"/>
  <c r="N4034" i="1" s="1"/>
  <c r="L4033" i="1"/>
  <c r="N4033" i="1" s="1"/>
  <c r="L4032" i="1"/>
  <c r="N4032" i="1" s="1"/>
  <c r="L4031" i="1"/>
  <c r="N4031" i="1" s="1"/>
  <c r="L4030" i="1"/>
  <c r="N4030" i="1" s="1"/>
  <c r="L4029" i="1"/>
  <c r="N4029" i="1" s="1"/>
  <c r="L4028" i="1"/>
  <c r="N4028" i="1" s="1"/>
  <c r="L4027" i="1"/>
  <c r="N4027" i="1" s="1"/>
  <c r="L4026" i="1"/>
  <c r="N4026" i="1" s="1"/>
  <c r="L4025" i="1"/>
  <c r="N4025" i="1" s="1"/>
  <c r="L4024" i="1"/>
  <c r="N4024" i="1" s="1"/>
  <c r="L4023" i="1"/>
  <c r="N4023" i="1" s="1"/>
  <c r="L4022" i="1"/>
  <c r="N4022" i="1" s="1"/>
  <c r="L4021" i="1"/>
  <c r="N4021" i="1" s="1"/>
  <c r="L4020" i="1"/>
  <c r="N4020" i="1" s="1"/>
  <c r="L4019" i="1"/>
  <c r="N4019" i="1" s="1"/>
  <c r="L4018" i="1"/>
  <c r="N4018" i="1" s="1"/>
  <c r="L4017" i="1"/>
  <c r="N4017" i="1" s="1"/>
  <c r="L4016" i="1"/>
  <c r="N4016" i="1" s="1"/>
  <c r="N4015" i="1"/>
  <c r="L4015" i="1"/>
  <c r="L4014" i="1"/>
  <c r="N4014" i="1" s="1"/>
  <c r="L4012" i="1"/>
  <c r="N4012" i="1" s="1"/>
  <c r="L4011" i="1"/>
  <c r="N4011" i="1" s="1"/>
  <c r="L4010" i="1"/>
  <c r="N4010" i="1" s="1"/>
  <c r="L4008" i="1"/>
  <c r="N4008" i="1" s="1"/>
  <c r="L4007" i="1"/>
  <c r="N4007" i="1" s="1"/>
  <c r="L4006" i="1"/>
  <c r="N4006" i="1" s="1"/>
  <c r="L4005" i="1"/>
  <c r="N4005" i="1" s="1"/>
  <c r="L4004" i="1"/>
  <c r="N4004" i="1" s="1"/>
  <c r="L4003" i="1"/>
  <c r="N4003" i="1" s="1"/>
  <c r="L4002" i="1"/>
  <c r="N4002" i="1" s="1"/>
  <c r="L4001" i="1"/>
  <c r="N4001" i="1" s="1"/>
  <c r="L4000" i="1"/>
  <c r="N4000" i="1" s="1"/>
  <c r="L3999" i="1"/>
  <c r="N3999" i="1" s="1"/>
  <c r="L3998" i="1"/>
  <c r="N3998" i="1" s="1"/>
  <c r="L3997" i="1"/>
  <c r="N3997" i="1" s="1"/>
  <c r="L3996" i="1"/>
  <c r="N3996" i="1" s="1"/>
  <c r="L3995" i="1"/>
  <c r="N3995" i="1" s="1"/>
  <c r="L3994" i="1"/>
  <c r="N3994" i="1" s="1"/>
  <c r="L3993" i="1"/>
  <c r="N3993" i="1" s="1"/>
  <c r="L3992" i="1"/>
  <c r="N3992" i="1" s="1"/>
  <c r="L3991" i="1"/>
  <c r="N3991" i="1" s="1"/>
  <c r="L3988" i="1"/>
  <c r="N3988" i="1" s="1"/>
  <c r="L3986" i="1"/>
  <c r="N3986" i="1" s="1"/>
  <c r="L3985" i="1"/>
  <c r="N3985" i="1" s="1"/>
  <c r="L3984" i="1"/>
  <c r="N3984" i="1" s="1"/>
  <c r="L3983" i="1"/>
  <c r="N3983" i="1" s="1"/>
  <c r="L3982" i="1"/>
  <c r="N3982" i="1" s="1"/>
  <c r="L3981" i="1"/>
  <c r="N3981" i="1" s="1"/>
  <c r="L3980" i="1"/>
  <c r="N3980" i="1" s="1"/>
  <c r="L3979" i="1"/>
  <c r="N3979" i="1" s="1"/>
  <c r="L3978" i="1"/>
  <c r="N3978" i="1" s="1"/>
  <c r="L3975" i="1"/>
  <c r="N3975" i="1" s="1"/>
  <c r="L3974" i="1"/>
  <c r="N3974" i="1" s="1"/>
  <c r="L3973" i="1"/>
  <c r="N3973" i="1" s="1"/>
  <c r="L3972" i="1"/>
  <c r="N3972" i="1" s="1"/>
  <c r="L3971" i="1"/>
  <c r="N3971" i="1" s="1"/>
  <c r="L3970" i="1"/>
  <c r="N3970" i="1" s="1"/>
  <c r="L3969" i="1"/>
  <c r="N3969" i="1" s="1"/>
  <c r="L3968" i="1"/>
  <c r="N3968" i="1" s="1"/>
  <c r="L3967" i="1"/>
  <c r="N3967" i="1" s="1"/>
  <c r="L3966" i="1"/>
  <c r="N3966" i="1" s="1"/>
  <c r="L3964" i="1"/>
  <c r="N3964" i="1" s="1"/>
  <c r="L3963" i="1"/>
  <c r="N3963" i="1" s="1"/>
  <c r="L3962" i="1"/>
  <c r="N3962" i="1" s="1"/>
  <c r="L3961" i="1"/>
  <c r="N3961" i="1" s="1"/>
  <c r="L3960" i="1"/>
  <c r="N3960" i="1" s="1"/>
  <c r="L3959" i="1"/>
  <c r="N3959" i="1" s="1"/>
  <c r="L3958" i="1"/>
  <c r="N3958" i="1" s="1"/>
  <c r="L3957" i="1"/>
  <c r="N3957" i="1" s="1"/>
  <c r="L3956" i="1"/>
  <c r="N3956" i="1" s="1"/>
  <c r="L3955" i="1"/>
  <c r="N3955" i="1" s="1"/>
  <c r="L3954" i="1"/>
  <c r="N3954" i="1" s="1"/>
  <c r="L3953" i="1"/>
  <c r="N3953" i="1" s="1"/>
  <c r="L3952" i="1"/>
  <c r="N3952" i="1" s="1"/>
  <c r="L3951" i="1"/>
  <c r="N3951" i="1" s="1"/>
  <c r="L3950" i="1"/>
  <c r="N3950" i="1" s="1"/>
  <c r="L3949" i="1"/>
  <c r="N3949" i="1" s="1"/>
  <c r="L3948" i="1"/>
  <c r="N3948" i="1" s="1"/>
  <c r="L3947" i="1"/>
  <c r="N3947" i="1" s="1"/>
  <c r="L3946" i="1"/>
  <c r="N3946" i="1" s="1"/>
  <c r="L3943" i="1"/>
  <c r="N3943" i="1" s="1"/>
  <c r="L3940" i="1"/>
  <c r="N3940" i="1" s="1"/>
  <c r="L3939" i="1"/>
  <c r="N3939" i="1" s="1"/>
  <c r="L3937" i="1"/>
  <c r="N3937" i="1" s="1"/>
  <c r="L3936" i="1"/>
  <c r="N3936" i="1" s="1"/>
  <c r="L3935" i="1"/>
  <c r="N3935" i="1" s="1"/>
  <c r="L3934" i="1"/>
  <c r="N3934" i="1" s="1"/>
  <c r="L3932" i="1"/>
  <c r="N3932" i="1" s="1"/>
  <c r="L3931" i="1"/>
  <c r="N3931" i="1" s="1"/>
  <c r="L3930" i="1"/>
  <c r="N3930" i="1" s="1"/>
  <c r="L3929" i="1"/>
  <c r="N3929" i="1" s="1"/>
  <c r="L3928" i="1"/>
  <c r="N3928" i="1" s="1"/>
  <c r="L3927" i="1"/>
  <c r="N3927" i="1" s="1"/>
  <c r="L3926" i="1"/>
  <c r="N3926" i="1" s="1"/>
  <c r="L3923" i="1"/>
  <c r="N3923" i="1" s="1"/>
  <c r="L3921" i="1"/>
  <c r="N3921" i="1" s="1"/>
  <c r="L3920" i="1"/>
  <c r="N3920" i="1" s="1"/>
  <c r="L3919" i="1"/>
  <c r="N3919" i="1" s="1"/>
  <c r="L3918" i="1"/>
  <c r="N3918" i="1" s="1"/>
  <c r="L3916" i="1"/>
  <c r="N3916" i="1" s="1"/>
  <c r="L3915" i="1"/>
  <c r="N3915" i="1" s="1"/>
  <c r="L3913" i="1"/>
  <c r="N3913" i="1" s="1"/>
  <c r="L3911" i="1"/>
  <c r="N3911" i="1" s="1"/>
  <c r="L3910" i="1"/>
  <c r="N3910" i="1" s="1"/>
  <c r="L3909" i="1"/>
  <c r="N3909" i="1" s="1"/>
  <c r="L3908" i="1"/>
  <c r="N3908" i="1" s="1"/>
  <c r="L3907" i="1"/>
  <c r="N3907" i="1" s="1"/>
  <c r="L3906" i="1"/>
  <c r="N3906" i="1" s="1"/>
  <c r="L3905" i="1"/>
  <c r="N3905" i="1" s="1"/>
  <c r="L3904" i="1"/>
  <c r="N3904" i="1" s="1"/>
  <c r="L3903" i="1"/>
  <c r="N3903" i="1" s="1"/>
  <c r="L3902" i="1"/>
  <c r="N3902" i="1" s="1"/>
  <c r="L3901" i="1"/>
  <c r="N3901" i="1" s="1"/>
  <c r="L3899" i="1"/>
  <c r="N3899" i="1" s="1"/>
  <c r="L3897" i="1"/>
  <c r="N3897" i="1" s="1"/>
  <c r="L3896" i="1"/>
  <c r="N3896" i="1" s="1"/>
  <c r="L3895" i="1"/>
  <c r="N3895" i="1" s="1"/>
  <c r="L3894" i="1"/>
  <c r="N3894" i="1" s="1"/>
  <c r="L3893" i="1"/>
  <c r="N3893" i="1" s="1"/>
  <c r="L3891" i="1"/>
  <c r="N3891" i="1" s="1"/>
  <c r="L3890" i="1"/>
  <c r="N3890" i="1" s="1"/>
  <c r="L3888" i="1"/>
  <c r="N3888" i="1" s="1"/>
  <c r="L3887" i="1"/>
  <c r="N3887" i="1" s="1"/>
  <c r="L3886" i="1"/>
  <c r="N3886" i="1" s="1"/>
  <c r="L3885" i="1"/>
  <c r="N3885" i="1" s="1"/>
  <c r="L3884" i="1"/>
  <c r="N3884" i="1" s="1"/>
  <c r="L3882" i="1"/>
  <c r="N3882" i="1" s="1"/>
  <c r="L3881" i="1"/>
  <c r="N3881" i="1" s="1"/>
  <c r="L3880" i="1"/>
  <c r="N3880" i="1" s="1"/>
  <c r="L3879" i="1"/>
  <c r="N3879" i="1" s="1"/>
  <c r="L3878" i="1"/>
  <c r="N3878" i="1" s="1"/>
  <c r="L3877" i="1"/>
  <c r="N3877" i="1" s="1"/>
  <c r="N3875" i="1"/>
  <c r="L3875" i="1"/>
  <c r="N3874" i="1"/>
  <c r="L3874" i="1"/>
  <c r="N3873" i="1"/>
  <c r="L3873" i="1"/>
  <c r="N3872" i="1"/>
  <c r="L3872" i="1"/>
  <c r="N3871" i="1"/>
  <c r="L3871" i="1"/>
  <c r="N3870" i="1"/>
  <c r="L3870" i="1"/>
  <c r="N3869" i="1"/>
  <c r="L3869" i="1"/>
  <c r="N3868" i="1"/>
  <c r="L3868" i="1"/>
  <c r="N3867" i="1"/>
  <c r="L3867" i="1"/>
  <c r="N3866" i="1"/>
  <c r="L3866" i="1"/>
  <c r="N3865" i="1"/>
  <c r="L3865" i="1"/>
  <c r="N3864" i="1"/>
  <c r="L3864" i="1"/>
  <c r="N3863" i="1"/>
  <c r="L3863" i="1"/>
  <c r="N3862" i="1"/>
  <c r="L3862" i="1"/>
  <c r="N3861" i="1"/>
  <c r="L3861" i="1"/>
  <c r="N3860" i="1"/>
  <c r="L3860" i="1"/>
  <c r="N3859" i="1"/>
  <c r="L3859" i="1"/>
  <c r="N3858" i="1"/>
  <c r="L3858" i="1"/>
  <c r="N3857" i="1"/>
  <c r="L3857" i="1"/>
  <c r="N3856" i="1"/>
  <c r="L3856" i="1"/>
  <c r="N3855" i="1"/>
  <c r="L3855" i="1"/>
  <c r="N3854" i="1"/>
  <c r="L3854" i="1"/>
  <c r="N3853" i="1"/>
  <c r="L3853" i="1"/>
  <c r="N3850" i="1"/>
  <c r="L3850" i="1"/>
  <c r="N3849" i="1"/>
  <c r="L3849" i="1"/>
  <c r="N3848" i="1"/>
  <c r="L3848" i="1"/>
  <c r="N3847" i="1"/>
  <c r="L3847" i="1"/>
  <c r="N3846" i="1"/>
  <c r="L3846" i="1"/>
  <c r="N3845" i="1"/>
  <c r="L3845" i="1"/>
  <c r="N3844" i="1"/>
  <c r="L3844" i="1"/>
  <c r="N3843" i="1"/>
  <c r="L3843" i="1"/>
  <c r="N3842" i="1"/>
  <c r="L3842" i="1"/>
  <c r="N3841" i="1"/>
  <c r="L3841" i="1"/>
  <c r="L3837" i="1"/>
  <c r="N3837" i="1" s="1"/>
  <c r="L3836" i="1"/>
  <c r="N3836" i="1" s="1"/>
  <c r="L3835" i="1"/>
  <c r="N3835" i="1" s="1"/>
  <c r="L3834" i="1"/>
  <c r="N3834" i="1" s="1"/>
  <c r="L3833" i="1"/>
  <c r="N3833" i="1" s="1"/>
  <c r="L3832" i="1"/>
  <c r="N3832" i="1" s="1"/>
  <c r="L3831" i="1"/>
  <c r="N3831" i="1" s="1"/>
  <c r="L3826" i="1"/>
  <c r="N3826" i="1" s="1"/>
  <c r="L3825" i="1"/>
  <c r="N3825" i="1" s="1"/>
  <c r="L3824" i="1"/>
  <c r="N3824" i="1" s="1"/>
  <c r="L3823" i="1"/>
  <c r="N3823" i="1" s="1"/>
  <c r="L3822" i="1"/>
  <c r="N3822" i="1" s="1"/>
  <c r="L3821" i="1"/>
  <c r="N3821" i="1" s="1"/>
  <c r="L3820" i="1"/>
  <c r="N3820" i="1" s="1"/>
  <c r="L3819" i="1"/>
  <c r="N3819" i="1" s="1"/>
  <c r="L3818" i="1"/>
  <c r="N3818" i="1" s="1"/>
  <c r="N3816" i="1"/>
  <c r="L3816" i="1"/>
  <c r="N3815" i="1"/>
  <c r="L3815" i="1"/>
  <c r="N3814" i="1"/>
  <c r="L3814" i="1"/>
  <c r="N3813" i="1"/>
  <c r="L3813" i="1"/>
  <c r="N3812" i="1"/>
  <c r="L3812" i="1"/>
  <c r="N3811" i="1"/>
  <c r="L3811" i="1"/>
  <c r="N3810" i="1"/>
  <c r="L3810" i="1"/>
  <c r="N3809" i="1"/>
  <c r="L3809" i="1"/>
  <c r="N3808" i="1"/>
  <c r="L3808" i="1"/>
  <c r="N3807" i="1"/>
  <c r="L3807" i="1"/>
  <c r="N3806" i="1"/>
  <c r="L3806" i="1"/>
  <c r="N3805" i="1"/>
  <c r="L3805" i="1"/>
  <c r="N3804" i="1"/>
  <c r="L3804" i="1"/>
  <c r="N3803" i="1"/>
  <c r="L3803" i="1"/>
  <c r="N3802" i="1"/>
  <c r="L3802" i="1"/>
  <c r="N3801" i="1"/>
  <c r="L3801" i="1"/>
  <c r="N3800" i="1"/>
  <c r="L3800" i="1"/>
  <c r="N3799" i="1"/>
  <c r="L3799" i="1"/>
  <c r="N3798" i="1"/>
  <c r="L3798" i="1"/>
  <c r="N3797" i="1"/>
  <c r="L3797" i="1"/>
  <c r="N3796" i="1"/>
  <c r="L3796" i="1"/>
  <c r="N3795" i="1"/>
  <c r="L3795" i="1"/>
  <c r="N3794" i="1"/>
  <c r="L3794" i="1"/>
  <c r="N3793" i="1"/>
  <c r="L3793" i="1"/>
  <c r="N3792" i="1"/>
  <c r="L3792" i="1"/>
  <c r="N3791" i="1"/>
  <c r="L3791" i="1"/>
  <c r="N3790" i="1"/>
  <c r="L3790" i="1"/>
  <c r="N3789" i="1"/>
  <c r="L3789" i="1"/>
  <c r="L3787" i="1"/>
  <c r="N3787" i="1" s="1"/>
  <c r="L3786" i="1"/>
  <c r="N3786" i="1" s="1"/>
  <c r="L3785" i="1"/>
  <c r="N3785" i="1" s="1"/>
  <c r="L3784" i="1"/>
  <c r="N3784" i="1" s="1"/>
  <c r="L3779" i="1"/>
  <c r="N3779" i="1" s="1"/>
  <c r="L3778" i="1"/>
  <c r="N3778" i="1" s="1"/>
  <c r="L3777" i="1"/>
  <c r="N3777" i="1" s="1"/>
  <c r="L3776" i="1"/>
  <c r="N3776" i="1" s="1"/>
  <c r="L3775" i="1"/>
  <c r="N3775" i="1" s="1"/>
  <c r="L3774" i="1"/>
  <c r="N3774" i="1" s="1"/>
  <c r="L3773" i="1"/>
  <c r="N3773" i="1" s="1"/>
  <c r="L3772" i="1"/>
  <c r="N3772" i="1" s="1"/>
  <c r="L3771" i="1"/>
  <c r="N3771" i="1" s="1"/>
  <c r="L3770" i="1"/>
  <c r="N3770" i="1" s="1"/>
  <c r="L3768" i="1"/>
  <c r="N3768" i="1" s="1"/>
  <c r="L3767" i="1"/>
  <c r="N3767" i="1" s="1"/>
  <c r="L3766" i="1"/>
  <c r="N3766" i="1" s="1"/>
  <c r="L3765" i="1"/>
  <c r="N3765" i="1" s="1"/>
  <c r="L3764" i="1"/>
  <c r="N3764" i="1" s="1"/>
  <c r="L3763" i="1"/>
  <c r="N3763" i="1" s="1"/>
  <c r="L3760" i="1"/>
  <c r="N3760" i="1" s="1"/>
  <c r="L3759" i="1"/>
  <c r="N3759" i="1" s="1"/>
  <c r="L3758" i="1"/>
  <c r="N3758" i="1" s="1"/>
  <c r="L3757" i="1"/>
  <c r="N3757" i="1" s="1"/>
  <c r="L3756" i="1"/>
  <c r="N3756" i="1" s="1"/>
  <c r="L3755" i="1"/>
  <c r="N3755" i="1" s="1"/>
  <c r="L3754" i="1"/>
  <c r="N3754" i="1" s="1"/>
  <c r="L3753" i="1"/>
  <c r="N3753" i="1" s="1"/>
  <c r="L3752" i="1"/>
  <c r="N3752" i="1" s="1"/>
  <c r="L3751" i="1"/>
  <c r="N3751" i="1" s="1"/>
  <c r="L3750" i="1"/>
  <c r="N3750" i="1" s="1"/>
  <c r="L3749" i="1"/>
  <c r="N3749" i="1" s="1"/>
  <c r="L3748" i="1"/>
  <c r="N3748" i="1" s="1"/>
  <c r="L3747" i="1"/>
  <c r="N3747" i="1" s="1"/>
  <c r="L3746" i="1"/>
  <c r="N3746" i="1" s="1"/>
  <c r="L3745" i="1"/>
  <c r="N3745" i="1" s="1"/>
  <c r="L3744" i="1"/>
  <c r="N3744" i="1" s="1"/>
  <c r="L3743" i="1"/>
  <c r="N3743" i="1" s="1"/>
  <c r="L3742" i="1"/>
  <c r="N3742" i="1" s="1"/>
  <c r="L3741" i="1"/>
  <c r="N3741" i="1" s="1"/>
  <c r="L3740" i="1"/>
  <c r="N3740" i="1" s="1"/>
  <c r="L3739" i="1"/>
  <c r="N3739" i="1" s="1"/>
  <c r="L3738" i="1"/>
  <c r="N3738" i="1" s="1"/>
  <c r="L3737" i="1"/>
  <c r="N3737" i="1" s="1"/>
  <c r="L3736" i="1"/>
  <c r="N3736" i="1" s="1"/>
  <c r="L3735" i="1"/>
  <c r="N3735" i="1" s="1"/>
  <c r="L3734" i="1"/>
  <c r="N3734" i="1" s="1"/>
  <c r="L3733" i="1"/>
  <c r="N3733" i="1" s="1"/>
  <c r="L3732" i="1"/>
  <c r="N3732" i="1" s="1"/>
  <c r="L3731" i="1"/>
  <c r="N3731" i="1" s="1"/>
  <c r="L3730" i="1"/>
  <c r="N3730" i="1" s="1"/>
  <c r="L3729" i="1"/>
  <c r="N3729" i="1" s="1"/>
  <c r="L3728" i="1"/>
  <c r="N3728" i="1" s="1"/>
  <c r="L3727" i="1"/>
  <c r="N3727" i="1" s="1"/>
  <c r="L3726" i="1"/>
  <c r="N3726" i="1" s="1"/>
  <c r="L3725" i="1"/>
  <c r="N3725" i="1" s="1"/>
  <c r="L3724" i="1"/>
  <c r="N3724" i="1" s="1"/>
  <c r="L3723" i="1"/>
  <c r="N3723" i="1" s="1"/>
  <c r="L3722" i="1"/>
  <c r="N3722" i="1" s="1"/>
  <c r="L3721" i="1"/>
  <c r="N3721" i="1" s="1"/>
  <c r="L3720" i="1"/>
  <c r="N3720" i="1" s="1"/>
  <c r="L3719" i="1"/>
  <c r="N3719" i="1" s="1"/>
  <c r="N3718" i="1"/>
  <c r="L3718" i="1"/>
  <c r="N3717" i="1"/>
  <c r="L3717" i="1"/>
  <c r="N3716" i="1"/>
  <c r="L3716" i="1"/>
  <c r="N3715" i="1"/>
  <c r="L3715" i="1"/>
  <c r="N3714" i="1"/>
  <c r="L3714" i="1"/>
  <c r="N3713" i="1"/>
  <c r="L3713" i="1"/>
  <c r="N3712" i="1"/>
  <c r="L3712" i="1"/>
  <c r="N3711" i="1"/>
  <c r="L3711" i="1"/>
  <c r="N3710" i="1"/>
  <c r="L3710" i="1"/>
  <c r="N3709" i="1"/>
  <c r="L3709" i="1"/>
  <c r="N3708" i="1"/>
  <c r="L3708" i="1"/>
  <c r="N3707" i="1"/>
  <c r="L3707" i="1"/>
  <c r="N3706" i="1"/>
  <c r="L3706" i="1"/>
  <c r="N3705" i="1"/>
  <c r="L3705" i="1"/>
  <c r="N3704" i="1"/>
  <c r="L3704" i="1"/>
  <c r="N3703" i="1"/>
  <c r="L3703" i="1"/>
  <c r="N3702" i="1"/>
  <c r="L3702" i="1"/>
  <c r="N3701" i="1"/>
  <c r="L3701" i="1"/>
  <c r="N3700" i="1"/>
  <c r="L3700" i="1"/>
  <c r="N3699" i="1"/>
  <c r="L3699" i="1"/>
  <c r="N3698" i="1"/>
  <c r="L3698" i="1"/>
  <c r="N3697" i="1"/>
  <c r="L3697" i="1"/>
  <c r="N3696" i="1"/>
  <c r="L3696" i="1"/>
  <c r="N3695" i="1"/>
  <c r="L3695" i="1"/>
  <c r="N3694" i="1"/>
  <c r="L3694" i="1"/>
  <c r="N3693" i="1"/>
  <c r="L3693" i="1"/>
  <c r="N3692" i="1"/>
  <c r="L3692" i="1"/>
  <c r="N3691" i="1"/>
  <c r="L3691" i="1"/>
  <c r="N3690" i="1"/>
  <c r="L3690" i="1"/>
  <c r="N3689" i="1"/>
  <c r="L3689" i="1"/>
  <c r="N3688" i="1"/>
  <c r="L3688" i="1"/>
  <c r="N3687" i="1"/>
  <c r="L3687" i="1"/>
  <c r="L3685" i="1"/>
  <c r="N3685" i="1" s="1"/>
  <c r="L3684" i="1"/>
  <c r="N3684" i="1" s="1"/>
  <c r="L3683" i="1"/>
  <c r="N3683" i="1" s="1"/>
  <c r="L3682" i="1"/>
  <c r="N3682" i="1" s="1"/>
  <c r="L3681" i="1"/>
  <c r="N3681" i="1" s="1"/>
  <c r="L3680" i="1"/>
  <c r="N3680" i="1" s="1"/>
  <c r="L3679" i="1"/>
  <c r="N3679" i="1" s="1"/>
  <c r="L3678" i="1"/>
  <c r="N3678" i="1" s="1"/>
  <c r="L3677" i="1"/>
  <c r="N3677" i="1" s="1"/>
  <c r="L3676" i="1"/>
  <c r="N3676" i="1" s="1"/>
  <c r="L3675" i="1"/>
  <c r="N3675" i="1" s="1"/>
  <c r="L3674" i="1"/>
  <c r="N3674" i="1" s="1"/>
  <c r="L3673" i="1"/>
  <c r="N3673" i="1" s="1"/>
  <c r="L3672" i="1"/>
  <c r="N3672" i="1" s="1"/>
  <c r="L3671" i="1"/>
  <c r="N3671" i="1" s="1"/>
  <c r="L3670" i="1"/>
  <c r="N3670" i="1" s="1"/>
  <c r="L3669" i="1"/>
  <c r="N3669" i="1" s="1"/>
  <c r="L3667" i="1"/>
  <c r="N3667" i="1" s="1"/>
  <c r="L3666" i="1"/>
  <c r="N3666" i="1" s="1"/>
  <c r="L3665" i="1"/>
  <c r="N3665" i="1" s="1"/>
  <c r="L3664" i="1"/>
  <c r="N3664" i="1" s="1"/>
  <c r="L3663" i="1"/>
  <c r="N3663" i="1" s="1"/>
  <c r="L3662" i="1"/>
  <c r="N3662" i="1" s="1"/>
  <c r="L3661" i="1"/>
  <c r="N3661" i="1" s="1"/>
  <c r="L3660" i="1"/>
  <c r="N3660" i="1" s="1"/>
  <c r="L3658" i="1"/>
  <c r="N3658" i="1" s="1"/>
  <c r="L3657" i="1"/>
  <c r="N3657" i="1" s="1"/>
  <c r="L3655" i="1"/>
  <c r="N3655" i="1" s="1"/>
  <c r="L3654" i="1"/>
  <c r="N3654" i="1" s="1"/>
  <c r="L3652" i="1"/>
  <c r="N3652" i="1" s="1"/>
  <c r="L3651" i="1"/>
  <c r="N3651" i="1" s="1"/>
  <c r="L3650" i="1"/>
  <c r="N3650" i="1" s="1"/>
  <c r="L3649" i="1"/>
  <c r="N3649" i="1" s="1"/>
  <c r="L3648" i="1"/>
  <c r="N3648" i="1" s="1"/>
  <c r="L3647" i="1"/>
  <c r="N3647" i="1" s="1"/>
  <c r="L3646" i="1"/>
  <c r="N3646" i="1" s="1"/>
  <c r="L3645" i="1"/>
  <c r="N3645" i="1" s="1"/>
  <c r="L3644" i="1"/>
  <c r="N3644" i="1" s="1"/>
  <c r="L3643" i="1"/>
  <c r="N3643" i="1" s="1"/>
  <c r="L3642" i="1"/>
  <c r="N3642" i="1" s="1"/>
  <c r="L3641" i="1"/>
  <c r="N3641" i="1" s="1"/>
  <c r="L3640" i="1"/>
  <c r="N3640" i="1" s="1"/>
  <c r="L3639" i="1"/>
  <c r="N3639" i="1" s="1"/>
  <c r="L3638" i="1"/>
  <c r="N3638" i="1" s="1"/>
  <c r="L3637" i="1"/>
  <c r="N3637" i="1" s="1"/>
  <c r="L3636" i="1"/>
  <c r="N3636" i="1" s="1"/>
  <c r="L3635" i="1"/>
  <c r="N3635" i="1" s="1"/>
  <c r="L3634" i="1"/>
  <c r="N3634" i="1" s="1"/>
  <c r="L3633" i="1"/>
  <c r="N3633" i="1" s="1"/>
  <c r="L3632" i="1"/>
  <c r="N3632" i="1" s="1"/>
  <c r="L3631" i="1"/>
  <c r="N3631" i="1" s="1"/>
  <c r="L3630" i="1"/>
  <c r="N3630" i="1" s="1"/>
  <c r="L3629" i="1"/>
  <c r="N3629" i="1" s="1"/>
  <c r="L3628" i="1"/>
  <c r="N3628" i="1" s="1"/>
  <c r="L3627" i="1"/>
  <c r="N3627" i="1" s="1"/>
  <c r="L3626" i="1"/>
  <c r="N3626" i="1" s="1"/>
  <c r="L3625" i="1"/>
  <c r="N3625" i="1" s="1"/>
  <c r="L3624" i="1"/>
  <c r="N3624" i="1" s="1"/>
  <c r="L3623" i="1"/>
  <c r="N3623" i="1" s="1"/>
  <c r="L3622" i="1"/>
  <c r="N3622" i="1" s="1"/>
  <c r="L3621" i="1"/>
  <c r="N3621" i="1" s="1"/>
  <c r="L3620" i="1"/>
  <c r="N3620" i="1" s="1"/>
  <c r="L3619" i="1"/>
  <c r="N3619" i="1" s="1"/>
  <c r="L3618" i="1"/>
  <c r="N3618" i="1" s="1"/>
  <c r="L3617" i="1"/>
  <c r="N3617" i="1" s="1"/>
  <c r="L3616" i="1"/>
  <c r="N3616" i="1" s="1"/>
  <c r="L3615" i="1"/>
  <c r="N3615" i="1" s="1"/>
  <c r="L3614" i="1"/>
  <c r="N3614" i="1" s="1"/>
  <c r="L3613" i="1"/>
  <c r="N3613" i="1" s="1"/>
  <c r="L3612" i="1"/>
  <c r="N3612" i="1" s="1"/>
  <c r="L3611" i="1"/>
  <c r="N3611" i="1" s="1"/>
  <c r="L3610" i="1"/>
  <c r="N3610" i="1" s="1"/>
  <c r="L3609" i="1"/>
  <c r="N3609" i="1" s="1"/>
  <c r="L3608" i="1"/>
  <c r="N3608" i="1" s="1"/>
  <c r="L3607" i="1"/>
  <c r="N3607" i="1" s="1"/>
  <c r="L3606" i="1"/>
  <c r="N3606" i="1" s="1"/>
  <c r="L3605" i="1"/>
  <c r="N3605" i="1" s="1"/>
  <c r="L3604" i="1"/>
  <c r="N3604" i="1" s="1"/>
  <c r="L3603" i="1"/>
  <c r="N3603" i="1" s="1"/>
  <c r="L3602" i="1"/>
  <c r="N3602" i="1" s="1"/>
  <c r="L3601" i="1"/>
  <c r="N3601" i="1" s="1"/>
  <c r="L3600" i="1"/>
  <c r="N3600" i="1" s="1"/>
  <c r="L3599" i="1"/>
  <c r="N3599" i="1" s="1"/>
  <c r="L3598" i="1"/>
  <c r="N3598" i="1" s="1"/>
  <c r="L3597" i="1"/>
  <c r="N3597" i="1" s="1"/>
  <c r="L3596" i="1"/>
  <c r="N3596" i="1" s="1"/>
  <c r="L3595" i="1"/>
  <c r="N3595" i="1" s="1"/>
  <c r="L3594" i="1"/>
  <c r="N3594" i="1" s="1"/>
  <c r="L3593" i="1"/>
  <c r="N3593" i="1" s="1"/>
  <c r="L3592" i="1"/>
  <c r="N3592" i="1" s="1"/>
  <c r="L3591" i="1"/>
  <c r="N3591" i="1" s="1"/>
  <c r="L3589" i="1"/>
  <c r="N3589" i="1" s="1"/>
  <c r="L3588" i="1"/>
  <c r="N3588" i="1" s="1"/>
  <c r="L3587" i="1"/>
  <c r="N3587" i="1" s="1"/>
  <c r="L3586" i="1"/>
  <c r="N3586" i="1" s="1"/>
  <c r="L3585" i="1"/>
  <c r="N3585" i="1" s="1"/>
  <c r="L3584" i="1"/>
  <c r="N3584" i="1" s="1"/>
  <c r="L3583" i="1"/>
  <c r="N3583" i="1" s="1"/>
  <c r="L3581" i="1"/>
  <c r="N3581" i="1" s="1"/>
  <c r="L3580" i="1"/>
  <c r="N3580" i="1" s="1"/>
  <c r="L3579" i="1"/>
  <c r="N3579" i="1" s="1"/>
  <c r="L3577" i="1"/>
  <c r="N3577" i="1" s="1"/>
  <c r="L3576" i="1"/>
  <c r="N3576" i="1" s="1"/>
  <c r="L3574" i="1"/>
  <c r="N3574" i="1" s="1"/>
  <c r="L3573" i="1"/>
  <c r="N3573" i="1" s="1"/>
  <c r="L3572" i="1"/>
  <c r="N3572" i="1" s="1"/>
  <c r="L3571" i="1"/>
  <c r="N3571" i="1" s="1"/>
  <c r="L3570" i="1"/>
  <c r="N3570" i="1" s="1"/>
  <c r="L3569" i="1"/>
  <c r="N3569" i="1" s="1"/>
  <c r="L3567" i="1"/>
  <c r="N3567" i="1" s="1"/>
  <c r="L3566" i="1"/>
  <c r="N3566" i="1" s="1"/>
  <c r="L3565" i="1"/>
  <c r="N3565" i="1" s="1"/>
  <c r="L3564" i="1"/>
  <c r="N3564" i="1" s="1"/>
  <c r="L3563" i="1"/>
  <c r="N3563" i="1" s="1"/>
  <c r="L3561" i="1"/>
  <c r="N3561" i="1" s="1"/>
  <c r="L3560" i="1"/>
  <c r="N3560" i="1" s="1"/>
  <c r="L3559" i="1"/>
  <c r="N3559" i="1" s="1"/>
  <c r="L3558" i="1"/>
  <c r="N3558" i="1" s="1"/>
  <c r="L3557" i="1"/>
  <c r="N3557" i="1" s="1"/>
  <c r="L3556" i="1"/>
  <c r="N3556" i="1" s="1"/>
  <c r="L3555" i="1"/>
  <c r="N3555" i="1" s="1"/>
  <c r="L3554" i="1"/>
  <c r="N3554" i="1" s="1"/>
  <c r="L3553" i="1"/>
  <c r="N3553" i="1" s="1"/>
  <c r="L3552" i="1"/>
  <c r="N3552" i="1" s="1"/>
  <c r="N3551" i="1"/>
  <c r="L3551" i="1"/>
  <c r="N3550" i="1"/>
  <c r="L3550" i="1"/>
  <c r="N3549" i="1"/>
  <c r="L3549" i="1"/>
  <c r="N3548" i="1"/>
  <c r="L3548" i="1"/>
  <c r="N3547" i="1"/>
  <c r="L3547" i="1"/>
  <c r="N3546" i="1"/>
  <c r="L3546" i="1"/>
  <c r="N3545" i="1"/>
  <c r="L3545" i="1"/>
  <c r="N3544" i="1"/>
  <c r="L3544" i="1"/>
  <c r="N3543" i="1"/>
  <c r="L3543" i="1"/>
  <c r="N3542" i="1"/>
  <c r="L3542" i="1"/>
  <c r="N3541" i="1"/>
  <c r="L3541" i="1"/>
  <c r="N3540" i="1"/>
  <c r="L3540" i="1"/>
  <c r="L3538" i="1"/>
  <c r="N3538" i="1" s="1"/>
  <c r="L3537" i="1"/>
  <c r="N3537" i="1" s="1"/>
  <c r="L3536" i="1"/>
  <c r="N3536" i="1" s="1"/>
  <c r="L3535" i="1"/>
  <c r="N3535" i="1" s="1"/>
  <c r="L3534" i="1"/>
  <c r="N3534" i="1" s="1"/>
  <c r="L3533" i="1"/>
  <c r="N3533" i="1" s="1"/>
  <c r="L3532" i="1"/>
  <c r="N3532" i="1" s="1"/>
  <c r="L3531" i="1"/>
  <c r="N3531" i="1" s="1"/>
  <c r="L3530" i="1"/>
  <c r="N3530" i="1" s="1"/>
  <c r="L3529" i="1"/>
  <c r="N3529" i="1" s="1"/>
  <c r="L3528" i="1"/>
  <c r="N3528" i="1" s="1"/>
  <c r="L3527" i="1"/>
  <c r="N3527" i="1" s="1"/>
  <c r="L3526" i="1"/>
  <c r="N3526" i="1" s="1"/>
  <c r="L3525" i="1"/>
  <c r="N3525" i="1" s="1"/>
  <c r="L3524" i="1"/>
  <c r="N3524" i="1" s="1"/>
  <c r="L3523" i="1"/>
  <c r="N3523" i="1" s="1"/>
  <c r="L3522" i="1"/>
  <c r="N3522" i="1" s="1"/>
  <c r="L3520" i="1"/>
  <c r="N3520" i="1" s="1"/>
  <c r="L3519" i="1"/>
  <c r="N3519" i="1" s="1"/>
  <c r="L3518" i="1"/>
  <c r="N3518" i="1" s="1"/>
  <c r="L3516" i="1"/>
  <c r="N3516" i="1" s="1"/>
  <c r="L3515" i="1"/>
  <c r="N3515" i="1" s="1"/>
  <c r="L3514" i="1"/>
  <c r="N3514" i="1" s="1"/>
  <c r="L3513" i="1"/>
  <c r="N3513" i="1" s="1"/>
  <c r="L3512" i="1"/>
  <c r="N3512" i="1" s="1"/>
  <c r="L3511" i="1"/>
  <c r="N3511" i="1" s="1"/>
  <c r="L3510" i="1"/>
  <c r="N3510" i="1" s="1"/>
  <c r="L3509" i="1"/>
  <c r="N3509" i="1" s="1"/>
  <c r="L3508" i="1"/>
  <c r="N3508" i="1" s="1"/>
  <c r="L3507" i="1"/>
  <c r="N3507" i="1" s="1"/>
  <c r="L3506" i="1"/>
  <c r="N3506" i="1" s="1"/>
  <c r="L3505" i="1"/>
  <c r="N3505" i="1" s="1"/>
  <c r="L3504" i="1"/>
  <c r="N3504" i="1" s="1"/>
  <c r="L3503" i="1"/>
  <c r="N3503" i="1" s="1"/>
  <c r="L3502" i="1"/>
  <c r="N3502" i="1" s="1"/>
  <c r="L3500" i="1"/>
  <c r="N3500" i="1" s="1"/>
  <c r="L3499" i="1"/>
  <c r="N3499" i="1" s="1"/>
  <c r="L3498" i="1"/>
  <c r="N3498" i="1" s="1"/>
  <c r="L3497" i="1"/>
  <c r="N3497" i="1" s="1"/>
  <c r="L3496" i="1"/>
  <c r="N3496" i="1" s="1"/>
  <c r="L3495" i="1"/>
  <c r="N3495" i="1" s="1"/>
  <c r="L3494" i="1"/>
  <c r="N3494" i="1" s="1"/>
  <c r="L3493" i="1"/>
  <c r="N3493" i="1" s="1"/>
  <c r="L3492" i="1"/>
  <c r="N3492" i="1" s="1"/>
  <c r="L3491" i="1"/>
  <c r="N3491" i="1" s="1"/>
  <c r="L3490" i="1"/>
  <c r="N3490" i="1" s="1"/>
  <c r="L3489" i="1"/>
  <c r="N3489" i="1" s="1"/>
  <c r="L3488" i="1"/>
  <c r="N3488" i="1" s="1"/>
  <c r="L3487" i="1"/>
  <c r="N3487" i="1" s="1"/>
  <c r="L3485" i="1"/>
  <c r="N3485" i="1" s="1"/>
  <c r="L3484" i="1"/>
  <c r="N3484" i="1" s="1"/>
  <c r="L3483" i="1"/>
  <c r="N3483" i="1" s="1"/>
  <c r="L3482" i="1"/>
  <c r="N3482" i="1" s="1"/>
  <c r="N3481" i="1"/>
  <c r="L3481" i="1"/>
  <c r="L3480" i="1"/>
  <c r="N3480" i="1" s="1"/>
  <c r="L3479" i="1"/>
  <c r="N3479" i="1" s="1"/>
  <c r="L3478" i="1"/>
  <c r="N3478" i="1" s="1"/>
  <c r="L3477" i="1"/>
  <c r="N3477" i="1" s="1"/>
  <c r="L3476" i="1"/>
  <c r="N3476" i="1" s="1"/>
  <c r="L3475" i="1"/>
  <c r="N3475" i="1" s="1"/>
  <c r="L3474" i="1"/>
  <c r="N3474" i="1" s="1"/>
  <c r="N3473" i="1"/>
  <c r="L3473" i="1"/>
  <c r="L3471" i="1"/>
  <c r="N3471" i="1" s="1"/>
  <c r="L3470" i="1"/>
  <c r="N3470" i="1" s="1"/>
  <c r="L3468" i="1"/>
  <c r="N3468" i="1" s="1"/>
  <c r="L3467" i="1"/>
  <c r="N3467" i="1" s="1"/>
  <c r="L3466" i="1"/>
  <c r="N3466" i="1" s="1"/>
  <c r="L3465" i="1"/>
  <c r="N3465" i="1" s="1"/>
  <c r="L3464" i="1"/>
  <c r="N3464" i="1" s="1"/>
  <c r="N3463" i="1"/>
  <c r="L3463" i="1"/>
  <c r="L3462" i="1"/>
  <c r="N3462" i="1" s="1"/>
  <c r="L3461" i="1"/>
  <c r="N3461" i="1" s="1"/>
  <c r="L3460" i="1"/>
  <c r="N3460" i="1" s="1"/>
  <c r="L3459" i="1"/>
  <c r="N3459" i="1" s="1"/>
  <c r="L3458" i="1"/>
  <c r="N3458" i="1" s="1"/>
  <c r="L3457" i="1"/>
  <c r="N3457" i="1" s="1"/>
  <c r="L3456" i="1"/>
  <c r="N3456" i="1" s="1"/>
  <c r="N3455" i="1"/>
  <c r="L3455" i="1"/>
  <c r="L3454" i="1"/>
  <c r="N3454" i="1" s="1"/>
  <c r="L3453" i="1"/>
  <c r="N3453" i="1" s="1"/>
  <c r="L3452" i="1"/>
  <c r="N3452" i="1" s="1"/>
  <c r="L3451" i="1"/>
  <c r="N3451" i="1" s="1"/>
  <c r="L3450" i="1"/>
  <c r="N3450" i="1" s="1"/>
  <c r="L3449" i="1"/>
  <c r="N3449" i="1" s="1"/>
  <c r="L3448" i="1"/>
  <c r="N3448" i="1" s="1"/>
  <c r="N3446" i="1"/>
  <c r="L3446" i="1"/>
  <c r="L3445" i="1"/>
  <c r="N3445" i="1" s="1"/>
  <c r="L3444" i="1"/>
  <c r="N3444" i="1" s="1"/>
  <c r="L3443" i="1"/>
  <c r="N3443" i="1" s="1"/>
  <c r="L3442" i="1"/>
  <c r="N3442" i="1" s="1"/>
  <c r="L3441" i="1"/>
  <c r="N3441" i="1" s="1"/>
  <c r="L3440" i="1"/>
  <c r="N3440" i="1" s="1"/>
  <c r="L3439" i="1"/>
  <c r="N3439" i="1" s="1"/>
  <c r="N3438" i="1"/>
  <c r="L3438" i="1"/>
  <c r="L3437" i="1"/>
  <c r="N3437" i="1" s="1"/>
  <c r="L3436" i="1"/>
  <c r="N3436" i="1" s="1"/>
  <c r="L3435" i="1"/>
  <c r="N3435" i="1" s="1"/>
  <c r="L3434" i="1"/>
  <c r="N3434" i="1" s="1"/>
  <c r="L3433" i="1"/>
  <c r="N3433" i="1" s="1"/>
  <c r="L3432" i="1"/>
  <c r="N3432" i="1" s="1"/>
  <c r="L3431" i="1"/>
  <c r="N3431" i="1" s="1"/>
  <c r="N3430" i="1"/>
  <c r="L3430" i="1"/>
  <c r="L3429" i="1"/>
  <c r="N3429" i="1" s="1"/>
  <c r="L3428" i="1"/>
  <c r="N3428" i="1" s="1"/>
  <c r="L3427" i="1"/>
  <c r="N3427" i="1" s="1"/>
  <c r="L3426" i="1"/>
  <c r="N3426" i="1" s="1"/>
  <c r="L3425" i="1"/>
  <c r="N3425" i="1" s="1"/>
  <c r="L3424" i="1"/>
  <c r="N3424" i="1" s="1"/>
  <c r="L3423" i="1"/>
  <c r="N3423" i="1" s="1"/>
  <c r="N3422" i="1"/>
  <c r="L3422" i="1"/>
  <c r="L3421" i="1"/>
  <c r="N3421" i="1" s="1"/>
  <c r="L3420" i="1"/>
  <c r="N3420" i="1" s="1"/>
  <c r="L3419" i="1"/>
  <c r="N3419" i="1" s="1"/>
  <c r="L3418" i="1"/>
  <c r="N3418" i="1" s="1"/>
  <c r="L3417" i="1"/>
  <c r="N3417" i="1" s="1"/>
  <c r="L3416" i="1"/>
  <c r="N3416" i="1" s="1"/>
  <c r="L3415" i="1"/>
  <c r="N3415" i="1" s="1"/>
  <c r="N3414" i="1"/>
  <c r="L3414" i="1"/>
  <c r="L3412" i="1"/>
  <c r="N3412" i="1" s="1"/>
  <c r="L3411" i="1"/>
  <c r="N3411" i="1" s="1"/>
  <c r="L3410" i="1"/>
  <c r="N3410" i="1" s="1"/>
  <c r="L3409" i="1"/>
  <c r="N3409" i="1" s="1"/>
  <c r="L3408" i="1"/>
  <c r="N3408" i="1" s="1"/>
  <c r="L3407" i="1"/>
  <c r="N3407" i="1" s="1"/>
  <c r="L3406" i="1"/>
  <c r="N3406" i="1" s="1"/>
  <c r="N3405" i="1"/>
  <c r="L3405" i="1"/>
  <c r="L3404" i="1"/>
  <c r="N3404" i="1" s="1"/>
  <c r="L3402" i="1"/>
  <c r="N3402" i="1" s="1"/>
  <c r="L3401" i="1"/>
  <c r="N3401" i="1" s="1"/>
  <c r="L3399" i="1"/>
  <c r="N3399" i="1" s="1"/>
  <c r="L3398" i="1"/>
  <c r="N3398" i="1" s="1"/>
  <c r="L3394" i="1"/>
  <c r="N3394" i="1" s="1"/>
  <c r="L3388" i="1"/>
  <c r="N3388" i="1" s="1"/>
  <c r="N3385" i="1"/>
  <c r="L3385" i="1"/>
  <c r="L3384" i="1"/>
  <c r="N3384" i="1" s="1"/>
  <c r="L3383" i="1"/>
  <c r="N3383" i="1" s="1"/>
  <c r="L3382" i="1"/>
  <c r="N3382" i="1" s="1"/>
  <c r="L3381" i="1"/>
  <c r="N3381" i="1" s="1"/>
  <c r="L3380" i="1"/>
  <c r="N3380" i="1" s="1"/>
  <c r="L3379" i="1"/>
  <c r="N3379" i="1" s="1"/>
  <c r="L3378" i="1"/>
  <c r="N3378" i="1" s="1"/>
  <c r="N3377" i="1"/>
  <c r="L3377" i="1"/>
  <c r="L3376" i="1"/>
  <c r="N3376" i="1" s="1"/>
  <c r="L3375" i="1"/>
  <c r="N3375" i="1" s="1"/>
  <c r="L3374" i="1"/>
  <c r="N3374" i="1" s="1"/>
  <c r="L3373" i="1"/>
  <c r="N3373" i="1" s="1"/>
  <c r="L3372" i="1"/>
  <c r="N3372" i="1" s="1"/>
  <c r="L3371" i="1"/>
  <c r="N3371" i="1" s="1"/>
  <c r="L3370" i="1"/>
  <c r="N3370" i="1" s="1"/>
  <c r="N3369" i="1"/>
  <c r="L3369" i="1"/>
  <c r="L3368" i="1"/>
  <c r="N3368" i="1" s="1"/>
  <c r="L3367" i="1"/>
  <c r="N3367" i="1" s="1"/>
  <c r="L3366" i="1"/>
  <c r="N3366" i="1" s="1"/>
  <c r="L3365" i="1"/>
  <c r="N3365" i="1" s="1"/>
  <c r="L3364" i="1"/>
  <c r="N3364" i="1" s="1"/>
  <c r="L3362" i="1"/>
  <c r="N3362" i="1" s="1"/>
  <c r="L3360" i="1"/>
  <c r="N3360" i="1" s="1"/>
  <c r="N3357" i="1"/>
  <c r="L3357" i="1"/>
  <c r="L3356" i="1"/>
  <c r="N3356" i="1" s="1"/>
  <c r="L3355" i="1"/>
  <c r="N3355" i="1" s="1"/>
  <c r="L3354" i="1"/>
  <c r="N3354" i="1" s="1"/>
  <c r="L3353" i="1"/>
  <c r="N3353" i="1" s="1"/>
  <c r="L3352" i="1"/>
  <c r="N3352" i="1" s="1"/>
  <c r="L3351" i="1"/>
  <c r="N3351" i="1" s="1"/>
  <c r="L3350" i="1"/>
  <c r="N3350" i="1" s="1"/>
  <c r="N3349" i="1"/>
  <c r="L3349" i="1"/>
  <c r="L3348" i="1"/>
  <c r="N3348" i="1" s="1"/>
  <c r="L3347" i="1"/>
  <c r="N3347" i="1" s="1"/>
  <c r="L3346" i="1"/>
  <c r="N3346" i="1" s="1"/>
  <c r="L3345" i="1"/>
  <c r="N3345" i="1" s="1"/>
  <c r="L3344" i="1"/>
  <c r="N3344" i="1" s="1"/>
  <c r="L3343" i="1"/>
  <c r="N3343" i="1" s="1"/>
  <c r="L3342" i="1"/>
  <c r="N3342" i="1" s="1"/>
  <c r="N3341" i="1"/>
  <c r="L3341" i="1"/>
  <c r="L3339" i="1"/>
  <c r="N3339" i="1" s="1"/>
  <c r="L3338" i="1"/>
  <c r="N3338" i="1" s="1"/>
  <c r="L3335" i="1"/>
  <c r="N3335" i="1" s="1"/>
  <c r="L3334" i="1"/>
  <c r="N3334" i="1" s="1"/>
  <c r="L3333" i="1"/>
  <c r="N3333" i="1" s="1"/>
  <c r="L3332" i="1"/>
  <c r="N3332" i="1" s="1"/>
  <c r="L3331" i="1"/>
  <c r="N3331" i="1" s="1"/>
  <c r="L3330" i="1"/>
  <c r="N3330" i="1" s="1"/>
  <c r="L3329" i="1"/>
  <c r="N3329" i="1" s="1"/>
  <c r="L3328" i="1"/>
  <c r="N3328" i="1" s="1"/>
  <c r="L3327" i="1"/>
  <c r="N3327" i="1" s="1"/>
  <c r="L3326" i="1"/>
  <c r="N3326" i="1" s="1"/>
  <c r="L3325" i="1"/>
  <c r="N3325" i="1" s="1"/>
  <c r="L3323" i="1"/>
  <c r="N3323" i="1" s="1"/>
  <c r="L3322" i="1"/>
  <c r="N3322" i="1" s="1"/>
  <c r="L3321" i="1"/>
  <c r="N3321" i="1" s="1"/>
  <c r="L3320" i="1"/>
  <c r="N3320" i="1" s="1"/>
  <c r="L3319" i="1"/>
  <c r="N3319" i="1" s="1"/>
  <c r="L3317" i="1"/>
  <c r="N3317" i="1" s="1"/>
  <c r="L3316" i="1"/>
  <c r="N3316" i="1" s="1"/>
  <c r="L3315" i="1"/>
  <c r="N3315" i="1" s="1"/>
  <c r="L3314" i="1"/>
  <c r="N3314" i="1" s="1"/>
  <c r="L3312" i="1"/>
  <c r="N3312" i="1" s="1"/>
  <c r="L3311" i="1"/>
  <c r="N3311" i="1" s="1"/>
  <c r="L3309" i="1"/>
  <c r="N3309" i="1" s="1"/>
  <c r="L3308" i="1"/>
  <c r="N3308" i="1" s="1"/>
  <c r="L3307" i="1"/>
  <c r="N3307" i="1" s="1"/>
  <c r="L3306" i="1"/>
  <c r="N3306" i="1" s="1"/>
  <c r="L3305" i="1"/>
  <c r="N3305" i="1" s="1"/>
  <c r="L3304" i="1"/>
  <c r="N3304" i="1" s="1"/>
  <c r="L3303" i="1"/>
  <c r="N3303" i="1" s="1"/>
  <c r="L3302" i="1"/>
  <c r="N3302" i="1" s="1"/>
  <c r="L3300" i="1"/>
  <c r="N3300" i="1" s="1"/>
  <c r="L3299" i="1"/>
  <c r="N3299" i="1" s="1"/>
  <c r="L3298" i="1"/>
  <c r="N3298" i="1" s="1"/>
  <c r="L3297" i="1"/>
  <c r="N3297" i="1" s="1"/>
  <c r="L3296" i="1"/>
  <c r="N3296" i="1" s="1"/>
  <c r="L3295" i="1"/>
  <c r="N3295" i="1" s="1"/>
  <c r="L3294" i="1"/>
  <c r="N3294" i="1" s="1"/>
  <c r="L3293" i="1"/>
  <c r="N3293" i="1" s="1"/>
  <c r="L3292" i="1"/>
  <c r="N3292" i="1" s="1"/>
  <c r="L3291" i="1"/>
  <c r="N3291" i="1" s="1"/>
  <c r="L3290" i="1"/>
  <c r="N3290" i="1" s="1"/>
  <c r="L3289" i="1"/>
  <c r="N3289" i="1" s="1"/>
  <c r="L3288" i="1"/>
  <c r="N3288" i="1" s="1"/>
  <c r="L3287" i="1"/>
  <c r="N3287" i="1" s="1"/>
  <c r="L3286" i="1"/>
  <c r="N3286" i="1" s="1"/>
  <c r="L3285" i="1"/>
  <c r="N3285" i="1" s="1"/>
  <c r="L3284" i="1"/>
  <c r="N3284" i="1" s="1"/>
  <c r="L3283" i="1"/>
  <c r="N3283" i="1" s="1"/>
  <c r="L3282" i="1"/>
  <c r="N3282" i="1" s="1"/>
  <c r="L3279" i="1"/>
  <c r="N3279" i="1" s="1"/>
  <c r="L3278" i="1"/>
  <c r="N3278" i="1" s="1"/>
  <c r="L3277" i="1"/>
  <c r="N3277" i="1" s="1"/>
  <c r="L3276" i="1"/>
  <c r="N3276" i="1" s="1"/>
  <c r="L3275" i="1"/>
  <c r="N3275" i="1" s="1"/>
  <c r="L3274" i="1"/>
  <c r="N3274" i="1" s="1"/>
  <c r="L3273" i="1"/>
  <c r="N3273" i="1" s="1"/>
  <c r="L3272" i="1"/>
  <c r="N3272" i="1" s="1"/>
  <c r="L3271" i="1"/>
  <c r="N3271" i="1" s="1"/>
  <c r="L3270" i="1"/>
  <c r="N3270" i="1" s="1"/>
  <c r="L3269" i="1"/>
  <c r="N3269" i="1" s="1"/>
  <c r="L3268" i="1"/>
  <c r="N3268" i="1" s="1"/>
  <c r="L3267" i="1"/>
  <c r="N3267" i="1" s="1"/>
  <c r="L3266" i="1"/>
  <c r="N3266" i="1" s="1"/>
  <c r="L3264" i="1"/>
  <c r="N3264" i="1" s="1"/>
  <c r="L3263" i="1"/>
  <c r="N3263" i="1" s="1"/>
  <c r="L3262" i="1"/>
  <c r="N3262" i="1" s="1"/>
  <c r="L3261" i="1"/>
  <c r="N3261" i="1" s="1"/>
  <c r="L3260" i="1"/>
  <c r="N3260" i="1" s="1"/>
  <c r="L3259" i="1"/>
  <c r="N3259" i="1" s="1"/>
  <c r="L3257" i="1"/>
  <c r="N3257" i="1" s="1"/>
  <c r="L3256" i="1"/>
  <c r="N3256" i="1" s="1"/>
  <c r="L3255" i="1"/>
  <c r="N3255" i="1" s="1"/>
  <c r="L3254" i="1"/>
  <c r="N3254" i="1" s="1"/>
  <c r="L3253" i="1"/>
  <c r="N3253" i="1" s="1"/>
  <c r="L3252" i="1"/>
  <c r="N3252" i="1" s="1"/>
  <c r="L3251" i="1"/>
  <c r="N3251" i="1" s="1"/>
  <c r="N3250" i="1"/>
  <c r="L3250" i="1"/>
  <c r="L3249" i="1"/>
  <c r="N3249" i="1" s="1"/>
  <c r="N3248" i="1"/>
  <c r="L3248" i="1"/>
  <c r="L3246" i="1"/>
  <c r="N3246" i="1" s="1"/>
  <c r="L3242" i="1"/>
  <c r="N3242" i="1" s="1"/>
  <c r="L3241" i="1"/>
  <c r="N3241" i="1" s="1"/>
  <c r="L3240" i="1"/>
  <c r="N3240" i="1" s="1"/>
  <c r="L3239" i="1"/>
  <c r="N3239" i="1" s="1"/>
  <c r="N3238" i="1"/>
  <c r="L3238" i="1"/>
  <c r="L3237" i="1"/>
  <c r="N3237" i="1" s="1"/>
  <c r="N3236" i="1"/>
  <c r="L3236" i="1"/>
  <c r="L3235" i="1"/>
  <c r="N3235" i="1" s="1"/>
  <c r="L3234" i="1"/>
  <c r="N3234" i="1" s="1"/>
  <c r="L3233" i="1"/>
  <c r="N3233" i="1" s="1"/>
  <c r="L3232" i="1"/>
  <c r="N3232" i="1" s="1"/>
  <c r="L3231" i="1"/>
  <c r="N3231" i="1" s="1"/>
  <c r="N3230" i="1"/>
  <c r="L3230" i="1"/>
  <c r="L3229" i="1"/>
  <c r="N3229" i="1" s="1"/>
  <c r="N3228" i="1"/>
  <c r="L3228" i="1"/>
  <c r="L3227" i="1"/>
  <c r="N3227" i="1" s="1"/>
  <c r="L3226" i="1"/>
  <c r="N3226" i="1" s="1"/>
  <c r="L3225" i="1"/>
  <c r="N3225" i="1" s="1"/>
  <c r="L3224" i="1"/>
  <c r="N3224" i="1" s="1"/>
  <c r="L3223" i="1"/>
  <c r="N3223" i="1" s="1"/>
  <c r="N3222" i="1"/>
  <c r="L3222" i="1"/>
  <c r="L3221" i="1"/>
  <c r="N3221" i="1" s="1"/>
  <c r="N3220" i="1"/>
  <c r="L3220" i="1"/>
  <c r="L3219" i="1"/>
  <c r="N3219" i="1" s="1"/>
  <c r="L3218" i="1"/>
  <c r="N3218" i="1" s="1"/>
  <c r="L3217" i="1"/>
  <c r="N3217" i="1" s="1"/>
  <c r="L3216" i="1"/>
  <c r="N3216" i="1" s="1"/>
  <c r="L3215" i="1"/>
  <c r="N3215" i="1" s="1"/>
  <c r="N3214" i="1"/>
  <c r="L3214" i="1"/>
  <c r="L3213" i="1"/>
  <c r="N3213" i="1" s="1"/>
  <c r="N3212" i="1"/>
  <c r="L3212" i="1"/>
  <c r="L3210" i="1"/>
  <c r="N3210" i="1" s="1"/>
  <c r="L3209" i="1"/>
  <c r="N3209" i="1" s="1"/>
  <c r="L3208" i="1"/>
  <c r="N3208" i="1" s="1"/>
  <c r="L3206" i="1"/>
  <c r="N3206" i="1" s="1"/>
  <c r="L3205" i="1"/>
  <c r="N3205" i="1" s="1"/>
  <c r="N3204" i="1"/>
  <c r="L3204" i="1"/>
  <c r="L3203" i="1"/>
  <c r="N3203" i="1" s="1"/>
  <c r="N3202" i="1"/>
  <c r="L3202" i="1"/>
  <c r="L3201" i="1"/>
  <c r="N3201" i="1" s="1"/>
  <c r="L3200" i="1"/>
  <c r="N3200" i="1" s="1"/>
  <c r="L3199" i="1"/>
  <c r="N3199" i="1" s="1"/>
  <c r="L3198" i="1"/>
  <c r="N3198" i="1" s="1"/>
  <c r="L3197" i="1"/>
  <c r="N3197" i="1" s="1"/>
  <c r="N3196" i="1"/>
  <c r="L3196" i="1"/>
  <c r="L3195" i="1"/>
  <c r="N3195" i="1" s="1"/>
  <c r="N3194" i="1"/>
  <c r="L3194" i="1"/>
  <c r="L3193" i="1"/>
  <c r="N3193" i="1" s="1"/>
  <c r="L3192" i="1"/>
  <c r="N3192" i="1" s="1"/>
  <c r="L3191" i="1"/>
  <c r="N3191" i="1" s="1"/>
  <c r="L3190" i="1"/>
  <c r="N3190" i="1" s="1"/>
  <c r="L3189" i="1"/>
  <c r="N3189" i="1" s="1"/>
  <c r="N3188" i="1"/>
  <c r="L3188" i="1"/>
  <c r="L3187" i="1"/>
  <c r="N3187" i="1" s="1"/>
  <c r="N3186" i="1"/>
  <c r="L3186" i="1"/>
  <c r="L3185" i="1"/>
  <c r="N3185" i="1" s="1"/>
  <c r="L3184" i="1"/>
  <c r="N3184" i="1" s="1"/>
  <c r="L3183" i="1"/>
  <c r="N3183" i="1" s="1"/>
  <c r="L3182" i="1"/>
  <c r="N3182" i="1" s="1"/>
  <c r="L3181" i="1"/>
  <c r="N3181" i="1" s="1"/>
  <c r="N3180" i="1"/>
  <c r="L3180" i="1"/>
  <c r="L3179" i="1"/>
  <c r="N3179" i="1" s="1"/>
  <c r="N3176" i="1"/>
  <c r="L3176" i="1"/>
  <c r="L3175" i="1"/>
  <c r="N3175" i="1" s="1"/>
  <c r="L3174" i="1"/>
  <c r="N3174" i="1" s="1"/>
  <c r="L3173" i="1"/>
  <c r="N3173" i="1" s="1"/>
  <c r="L3172" i="1"/>
  <c r="N3172" i="1" s="1"/>
  <c r="L3171" i="1"/>
  <c r="N3171" i="1" s="1"/>
  <c r="N3170" i="1"/>
  <c r="L3170" i="1"/>
  <c r="L3169" i="1"/>
  <c r="N3169" i="1" s="1"/>
  <c r="N3168" i="1"/>
  <c r="L3168" i="1"/>
  <c r="L3167" i="1"/>
  <c r="N3167" i="1" s="1"/>
  <c r="L3166" i="1"/>
  <c r="N3166" i="1" s="1"/>
  <c r="L3165" i="1"/>
  <c r="N3165" i="1" s="1"/>
  <c r="L3164" i="1"/>
  <c r="N3164" i="1" s="1"/>
  <c r="L3163" i="1"/>
  <c r="N3163" i="1" s="1"/>
  <c r="N3162" i="1"/>
  <c r="L3162" i="1"/>
  <c r="L3161" i="1"/>
  <c r="N3161" i="1" s="1"/>
  <c r="N3160" i="1"/>
  <c r="L3160" i="1"/>
  <c r="L3159" i="1"/>
  <c r="N3159" i="1" s="1"/>
  <c r="L3158" i="1"/>
  <c r="N3158" i="1" s="1"/>
  <c r="L3157" i="1"/>
  <c r="N3157" i="1" s="1"/>
  <c r="L3156" i="1"/>
  <c r="N3156" i="1" s="1"/>
  <c r="L3154" i="1"/>
  <c r="N3154" i="1" s="1"/>
  <c r="N3148" i="1"/>
  <c r="L3148" i="1"/>
  <c r="L3147" i="1"/>
  <c r="N3147" i="1" s="1"/>
  <c r="N3146" i="1"/>
  <c r="L3146" i="1"/>
  <c r="L3145" i="1"/>
  <c r="N3145" i="1" s="1"/>
  <c r="L3144" i="1"/>
  <c r="N3144" i="1" s="1"/>
  <c r="L3143" i="1"/>
  <c r="N3143" i="1" s="1"/>
  <c r="L3142" i="1"/>
  <c r="N3142" i="1" s="1"/>
  <c r="L3141" i="1"/>
  <c r="N3141" i="1" s="1"/>
  <c r="N3140" i="1"/>
  <c r="L3140" i="1"/>
  <c r="L3139" i="1"/>
  <c r="N3139" i="1" s="1"/>
  <c r="N3138" i="1"/>
  <c r="L3138" i="1"/>
  <c r="L3137" i="1"/>
  <c r="N3137" i="1" s="1"/>
  <c r="L3136" i="1"/>
  <c r="N3136" i="1" s="1"/>
  <c r="L3135" i="1"/>
  <c r="N3135" i="1" s="1"/>
  <c r="L3134" i="1"/>
  <c r="N3134" i="1" s="1"/>
  <c r="L3133" i="1"/>
  <c r="N3133" i="1" s="1"/>
  <c r="N3132" i="1"/>
  <c r="L3132" i="1"/>
  <c r="L3131" i="1"/>
  <c r="N3131" i="1" s="1"/>
  <c r="N3130" i="1"/>
  <c r="L3130" i="1"/>
  <c r="L3129" i="1"/>
  <c r="N3129" i="1" s="1"/>
  <c r="L3128" i="1"/>
  <c r="N3128" i="1" s="1"/>
  <c r="L3127" i="1"/>
  <c r="N3127" i="1" s="1"/>
  <c r="L3126" i="1"/>
  <c r="N3126" i="1" s="1"/>
  <c r="L3125" i="1"/>
  <c r="N3125" i="1" s="1"/>
  <c r="N3124" i="1"/>
  <c r="L3124" i="1"/>
  <c r="L3122" i="1"/>
  <c r="N3122" i="1" s="1"/>
  <c r="N3120" i="1"/>
  <c r="L3120" i="1"/>
  <c r="L3117" i="1"/>
  <c r="N3117" i="1" s="1"/>
  <c r="L3116" i="1"/>
  <c r="N3116" i="1" s="1"/>
  <c r="L3115" i="1"/>
  <c r="N3115" i="1" s="1"/>
  <c r="L3114" i="1"/>
  <c r="N3114" i="1" s="1"/>
  <c r="L3113" i="1"/>
  <c r="N3113" i="1" s="1"/>
  <c r="N3112" i="1"/>
  <c r="L3112" i="1"/>
  <c r="L3111" i="1"/>
  <c r="N3111" i="1" s="1"/>
  <c r="N3110" i="1"/>
  <c r="L3110" i="1"/>
  <c r="L3109" i="1"/>
  <c r="N3109" i="1" s="1"/>
  <c r="L3108" i="1"/>
  <c r="N3108" i="1" s="1"/>
  <c r="L3107" i="1"/>
  <c r="N3107" i="1" s="1"/>
  <c r="L3106" i="1"/>
  <c r="N3106" i="1" s="1"/>
  <c r="L3105" i="1"/>
  <c r="N3105" i="1" s="1"/>
  <c r="N3104" i="1"/>
  <c r="L3104" i="1"/>
  <c r="L3103" i="1"/>
  <c r="N3103" i="1" s="1"/>
  <c r="N3102" i="1"/>
  <c r="L3102" i="1"/>
  <c r="L3101" i="1"/>
  <c r="N3101" i="1" s="1"/>
  <c r="L3100" i="1"/>
  <c r="N3100" i="1" s="1"/>
  <c r="L3099" i="1"/>
  <c r="N3099" i="1" s="1"/>
  <c r="L3098" i="1"/>
  <c r="N3098" i="1" s="1"/>
  <c r="L3097" i="1"/>
  <c r="N3097" i="1" s="1"/>
  <c r="N3096" i="1"/>
  <c r="L3096" i="1"/>
  <c r="L3095" i="1"/>
  <c r="N3095" i="1" s="1"/>
  <c r="N3094" i="1"/>
  <c r="L3094" i="1"/>
  <c r="L3093" i="1"/>
  <c r="N3093" i="1" s="1"/>
  <c r="L3092" i="1"/>
  <c r="N3092" i="1" s="1"/>
  <c r="L3091" i="1"/>
  <c r="N3091" i="1" s="1"/>
  <c r="L3086" i="1"/>
  <c r="N3086" i="1" s="1"/>
  <c r="L3085" i="1"/>
  <c r="N3085" i="1" s="1"/>
  <c r="N3084" i="1"/>
  <c r="L3084" i="1"/>
  <c r="L3083" i="1"/>
  <c r="N3083" i="1" s="1"/>
  <c r="N3082" i="1"/>
  <c r="L3082" i="1"/>
  <c r="L3081" i="1"/>
  <c r="N3081" i="1" s="1"/>
  <c r="L3080" i="1"/>
  <c r="N3080" i="1" s="1"/>
  <c r="L3079" i="1"/>
  <c r="N3079" i="1" s="1"/>
  <c r="L3078" i="1"/>
  <c r="N3078" i="1" s="1"/>
  <c r="L3077" i="1"/>
  <c r="N3077" i="1" s="1"/>
  <c r="N3076" i="1"/>
  <c r="L3076" i="1"/>
  <c r="L3075" i="1"/>
  <c r="N3075" i="1" s="1"/>
  <c r="N3074" i="1"/>
  <c r="L3074" i="1"/>
  <c r="L3073" i="1"/>
  <c r="N3073" i="1" s="1"/>
  <c r="L3072" i="1"/>
  <c r="N3072" i="1" s="1"/>
  <c r="L3071" i="1"/>
  <c r="N3071" i="1" s="1"/>
  <c r="L3070" i="1"/>
  <c r="N3070" i="1" s="1"/>
  <c r="L3068" i="1"/>
  <c r="N3068" i="1" s="1"/>
  <c r="N3067" i="1"/>
  <c r="L3067" i="1"/>
  <c r="L3066" i="1"/>
  <c r="N3066" i="1" s="1"/>
  <c r="N3065" i="1"/>
  <c r="L3065" i="1"/>
  <c r="L3064" i="1"/>
  <c r="N3064" i="1" s="1"/>
  <c r="L3063" i="1"/>
  <c r="N3063" i="1" s="1"/>
  <c r="L3062" i="1"/>
  <c r="N3062" i="1" s="1"/>
  <c r="L3061" i="1"/>
  <c r="N3061" i="1" s="1"/>
  <c r="L3060" i="1"/>
  <c r="N3060" i="1" s="1"/>
  <c r="N3059" i="1"/>
  <c r="L3059" i="1"/>
  <c r="L3058" i="1"/>
  <c r="N3058" i="1" s="1"/>
  <c r="N3057" i="1"/>
  <c r="L3057" i="1"/>
  <c r="L3055" i="1"/>
  <c r="N3055" i="1" s="1"/>
  <c r="L3054" i="1"/>
  <c r="N3054" i="1" s="1"/>
  <c r="L3053" i="1"/>
  <c r="N3053" i="1" s="1"/>
  <c r="L3052" i="1"/>
  <c r="N3052" i="1" s="1"/>
  <c r="L3051" i="1"/>
  <c r="N3051" i="1" s="1"/>
  <c r="N3050" i="1"/>
  <c r="L3050" i="1"/>
  <c r="L3049" i="1"/>
  <c r="N3049" i="1" s="1"/>
  <c r="N3048" i="1"/>
  <c r="L3048" i="1"/>
  <c r="L3047" i="1"/>
  <c r="N3047" i="1" s="1"/>
  <c r="L3046" i="1"/>
  <c r="N3046" i="1" s="1"/>
  <c r="L3045" i="1"/>
  <c r="N3045" i="1" s="1"/>
  <c r="L3044" i="1"/>
  <c r="N3044" i="1" s="1"/>
  <c r="L3043" i="1"/>
  <c r="N3043" i="1" s="1"/>
  <c r="N3042" i="1"/>
  <c r="L3042" i="1"/>
  <c r="L3041" i="1"/>
  <c r="N3041" i="1" s="1"/>
  <c r="N3040" i="1"/>
  <c r="L3040" i="1"/>
  <c r="L3039" i="1"/>
  <c r="N3039" i="1" s="1"/>
  <c r="L3038" i="1"/>
  <c r="N3038" i="1" s="1"/>
  <c r="L3037" i="1"/>
  <c r="N3037" i="1" s="1"/>
  <c r="L3036" i="1"/>
  <c r="N3036" i="1" s="1"/>
  <c r="L3035" i="1"/>
  <c r="N3035" i="1" s="1"/>
  <c r="N3034" i="1"/>
  <c r="L3034" i="1"/>
  <c r="L3033" i="1"/>
  <c r="N3033" i="1" s="1"/>
  <c r="N3032" i="1"/>
  <c r="L3032" i="1"/>
  <c r="L3031" i="1"/>
  <c r="N3031" i="1" s="1"/>
  <c r="L3030" i="1"/>
  <c r="N3030" i="1" s="1"/>
  <c r="L3029" i="1"/>
  <c r="N3029" i="1" s="1"/>
  <c r="L3027" i="1"/>
  <c r="N3027" i="1" s="1"/>
  <c r="L3026" i="1"/>
  <c r="N3026" i="1" s="1"/>
  <c r="N3025" i="1"/>
  <c r="L3025" i="1"/>
  <c r="L3024" i="1"/>
  <c r="N3024" i="1" s="1"/>
  <c r="N3023" i="1"/>
  <c r="L3023" i="1"/>
  <c r="L3022" i="1"/>
  <c r="N3022" i="1" s="1"/>
  <c r="L3021" i="1"/>
  <c r="N3021" i="1" s="1"/>
  <c r="L3020" i="1"/>
  <c r="N3020" i="1" s="1"/>
  <c r="L3019" i="1"/>
  <c r="N3019" i="1" s="1"/>
  <c r="L3018" i="1"/>
  <c r="N3018" i="1" s="1"/>
  <c r="N3017" i="1"/>
  <c r="L3017" i="1"/>
  <c r="L3016" i="1"/>
  <c r="N3016" i="1" s="1"/>
  <c r="N3015" i="1"/>
  <c r="L3015" i="1"/>
  <c r="L3011" i="1"/>
  <c r="N3011" i="1" s="1"/>
  <c r="L3008" i="1"/>
  <c r="N3008" i="1" s="1"/>
  <c r="L3007" i="1"/>
  <c r="N3007" i="1" s="1"/>
  <c r="L3006" i="1"/>
  <c r="N3006" i="1" s="1"/>
  <c r="L3005" i="1"/>
  <c r="N3005" i="1" s="1"/>
  <c r="N3004" i="1"/>
  <c r="L3004" i="1"/>
  <c r="L3003" i="1"/>
  <c r="N3003" i="1" s="1"/>
  <c r="N3002" i="1"/>
  <c r="L3002" i="1"/>
  <c r="L3001" i="1"/>
  <c r="N3001" i="1" s="1"/>
  <c r="L3000" i="1"/>
  <c r="N3000" i="1" s="1"/>
  <c r="L2999" i="1"/>
  <c r="N2999" i="1" s="1"/>
  <c r="L2998" i="1"/>
  <c r="N2998" i="1" s="1"/>
  <c r="L2997" i="1"/>
  <c r="N2997" i="1" s="1"/>
  <c r="N2996" i="1"/>
  <c r="L2996" i="1"/>
  <c r="L2995" i="1"/>
  <c r="N2995" i="1" s="1"/>
  <c r="N2994" i="1"/>
  <c r="L2994" i="1"/>
  <c r="L2993" i="1"/>
  <c r="N2993" i="1" s="1"/>
  <c r="L2992" i="1"/>
  <c r="N2992" i="1" s="1"/>
  <c r="L2991" i="1"/>
  <c r="N2991" i="1" s="1"/>
  <c r="L2990" i="1"/>
  <c r="N2990" i="1" s="1"/>
  <c r="L2989" i="1"/>
  <c r="N2989" i="1" s="1"/>
  <c r="N2988" i="1"/>
  <c r="L2988" i="1"/>
  <c r="L2987" i="1"/>
  <c r="N2987" i="1" s="1"/>
  <c r="N2986" i="1"/>
  <c r="L2986" i="1"/>
  <c r="L2985" i="1"/>
  <c r="N2985" i="1" s="1"/>
  <c r="N2984" i="1"/>
  <c r="L2984" i="1"/>
  <c r="L2981" i="1"/>
  <c r="N2981" i="1" s="1"/>
  <c r="N2979" i="1"/>
  <c r="L2979" i="1"/>
  <c r="L2978" i="1"/>
  <c r="N2978" i="1" s="1"/>
  <c r="N2977" i="1"/>
  <c r="L2977" i="1"/>
  <c r="L2976" i="1"/>
  <c r="N2976" i="1" s="1"/>
  <c r="N2975" i="1"/>
  <c r="L2975" i="1"/>
  <c r="L2974" i="1"/>
  <c r="N2974" i="1" s="1"/>
  <c r="N2973" i="1"/>
  <c r="L2973" i="1"/>
  <c r="L2972" i="1"/>
  <c r="N2972" i="1" s="1"/>
  <c r="N2971" i="1"/>
  <c r="L2971" i="1"/>
  <c r="L2970" i="1"/>
  <c r="N2970" i="1" s="1"/>
  <c r="N2969" i="1"/>
  <c r="L2969" i="1"/>
  <c r="L2968" i="1"/>
  <c r="N2968" i="1" s="1"/>
  <c r="N2967" i="1"/>
  <c r="L2967" i="1"/>
  <c r="L2966" i="1"/>
  <c r="N2966" i="1" s="1"/>
  <c r="N2965" i="1"/>
  <c r="L2965" i="1"/>
  <c r="L2964" i="1"/>
  <c r="N2964" i="1" s="1"/>
  <c r="N2963" i="1"/>
  <c r="L2963" i="1"/>
  <c r="L2962" i="1"/>
  <c r="N2962" i="1" s="1"/>
  <c r="N2961" i="1"/>
  <c r="L2961" i="1"/>
  <c r="L2960" i="1"/>
  <c r="N2960" i="1" s="1"/>
  <c r="N2959" i="1"/>
  <c r="L2959" i="1"/>
  <c r="L2958" i="1"/>
  <c r="N2958" i="1" s="1"/>
  <c r="N2957" i="1"/>
  <c r="L2957" i="1"/>
  <c r="L2956" i="1"/>
  <c r="N2956" i="1" s="1"/>
  <c r="N2955" i="1"/>
  <c r="L2955" i="1"/>
  <c r="N2953" i="1"/>
  <c r="L2953" i="1"/>
  <c r="N2950" i="1"/>
  <c r="L2950" i="1"/>
  <c r="N2949" i="1"/>
  <c r="L2949" i="1"/>
  <c r="N2948" i="1"/>
  <c r="L2948" i="1"/>
  <c r="N2946" i="1"/>
  <c r="L2946" i="1"/>
  <c r="N2945" i="1"/>
  <c r="L2945" i="1"/>
  <c r="N2944" i="1"/>
  <c r="L2944" i="1"/>
  <c r="N2943" i="1"/>
  <c r="L2943" i="1"/>
  <c r="N2942" i="1"/>
  <c r="L2942" i="1"/>
  <c r="N2941" i="1"/>
  <c r="L2941" i="1"/>
  <c r="N2940" i="1"/>
  <c r="L2940" i="1"/>
  <c r="N2939" i="1"/>
  <c r="L2939" i="1"/>
  <c r="N2938" i="1"/>
  <c r="L2938" i="1"/>
  <c r="N2937" i="1"/>
  <c r="L2937" i="1"/>
  <c r="N2936" i="1"/>
  <c r="L2936" i="1"/>
  <c r="N2935" i="1"/>
  <c r="L2935" i="1"/>
  <c r="N2934" i="1"/>
  <c r="L2934" i="1"/>
  <c r="N2933" i="1"/>
  <c r="L2933" i="1"/>
  <c r="N2932" i="1"/>
  <c r="L2932" i="1"/>
  <c r="N2931" i="1"/>
  <c r="L2931" i="1"/>
  <c r="N2930" i="1"/>
  <c r="L2930" i="1"/>
  <c r="N2929" i="1"/>
  <c r="L2929" i="1"/>
  <c r="N2928" i="1"/>
  <c r="L2928" i="1"/>
  <c r="N2927" i="1"/>
  <c r="L2927" i="1"/>
  <c r="N2926" i="1"/>
  <c r="L2926" i="1"/>
  <c r="N2925" i="1"/>
  <c r="L2925" i="1"/>
  <c r="N2924" i="1"/>
  <c r="L2924" i="1"/>
  <c r="N2923" i="1"/>
  <c r="L2923" i="1"/>
  <c r="N2922" i="1"/>
  <c r="L2922" i="1"/>
  <c r="N2921" i="1"/>
  <c r="L2921" i="1"/>
  <c r="N2920" i="1"/>
  <c r="L2920" i="1"/>
  <c r="N2919" i="1"/>
  <c r="L2919" i="1"/>
  <c r="N2918" i="1"/>
  <c r="L2918" i="1"/>
  <c r="N2917" i="1"/>
  <c r="L2917" i="1"/>
  <c r="N2916" i="1"/>
  <c r="L2916" i="1"/>
  <c r="N2915" i="1"/>
  <c r="L2915" i="1"/>
  <c r="N2914" i="1"/>
  <c r="L2914" i="1"/>
  <c r="N2912" i="1"/>
  <c r="L2912" i="1"/>
  <c r="N2910" i="1"/>
  <c r="L2910" i="1"/>
  <c r="N2907" i="1"/>
  <c r="L2907" i="1"/>
  <c r="N2906" i="1"/>
  <c r="L2906" i="1"/>
  <c r="N2905" i="1"/>
  <c r="L2905" i="1"/>
  <c r="N2904" i="1"/>
  <c r="L2904" i="1"/>
  <c r="N2903" i="1"/>
  <c r="L2903" i="1"/>
  <c r="N2902" i="1"/>
  <c r="L2902" i="1"/>
  <c r="N2901" i="1"/>
  <c r="L2901" i="1"/>
  <c r="N2900" i="1"/>
  <c r="L2900" i="1"/>
  <c r="N2899" i="1"/>
  <c r="L2899" i="1"/>
  <c r="N2898" i="1"/>
  <c r="L2898" i="1"/>
  <c r="N2897" i="1"/>
  <c r="L2897" i="1"/>
  <c r="N2896" i="1"/>
  <c r="L2896" i="1"/>
  <c r="N2895" i="1"/>
  <c r="L2895" i="1"/>
  <c r="N2894" i="1"/>
  <c r="L2894" i="1"/>
  <c r="N2893" i="1"/>
  <c r="L2893" i="1"/>
  <c r="N2892" i="1"/>
  <c r="L2892" i="1"/>
  <c r="N2891" i="1"/>
  <c r="L2891" i="1"/>
  <c r="N2890" i="1"/>
  <c r="L2890" i="1"/>
  <c r="N2889" i="1"/>
  <c r="L2889" i="1"/>
  <c r="N2888" i="1"/>
  <c r="L2888" i="1"/>
  <c r="N2887" i="1"/>
  <c r="L2887" i="1"/>
  <c r="N2886" i="1"/>
  <c r="L2886" i="1"/>
  <c r="N2885" i="1"/>
  <c r="L2885" i="1"/>
  <c r="N2884" i="1"/>
  <c r="L2884" i="1"/>
  <c r="N2883" i="1"/>
  <c r="L2883" i="1"/>
  <c r="N2882" i="1"/>
  <c r="L2882" i="1"/>
  <c r="N2881" i="1"/>
  <c r="L2881" i="1"/>
  <c r="N2880" i="1"/>
  <c r="L2880" i="1"/>
  <c r="N2879" i="1"/>
  <c r="L2879" i="1"/>
  <c r="N2877" i="1"/>
  <c r="L2877" i="1"/>
  <c r="N2875" i="1"/>
  <c r="L2875" i="1"/>
  <c r="N2874" i="1"/>
  <c r="L2874" i="1"/>
  <c r="N2872" i="1"/>
  <c r="L2872" i="1"/>
  <c r="N2870" i="1"/>
  <c r="L2870" i="1"/>
  <c r="N2868" i="1"/>
  <c r="L2868" i="1"/>
  <c r="N2866" i="1"/>
  <c r="L2866" i="1"/>
  <c r="N2865" i="1"/>
  <c r="L2865" i="1"/>
  <c r="N2864" i="1"/>
  <c r="L2864" i="1"/>
  <c r="N2863" i="1"/>
  <c r="L2863" i="1"/>
  <c r="N2862" i="1"/>
  <c r="L2862" i="1"/>
  <c r="N2861" i="1"/>
  <c r="L2861" i="1"/>
  <c r="N2860" i="1"/>
  <c r="L2860" i="1"/>
  <c r="N2859" i="1"/>
  <c r="L2859" i="1"/>
  <c r="N2858" i="1"/>
  <c r="L2858" i="1"/>
  <c r="N2857" i="1"/>
  <c r="L2857" i="1"/>
  <c r="N2856" i="1"/>
  <c r="L2856" i="1"/>
  <c r="N2855" i="1"/>
  <c r="L2855" i="1"/>
  <c r="N2854" i="1"/>
  <c r="L2854" i="1"/>
  <c r="N2853" i="1"/>
  <c r="L2853" i="1"/>
  <c r="N2852" i="1"/>
  <c r="L2852" i="1"/>
  <c r="N2851" i="1"/>
  <c r="L2851" i="1"/>
  <c r="N2850" i="1"/>
  <c r="L2850" i="1"/>
  <c r="N2849" i="1"/>
  <c r="L2849" i="1"/>
  <c r="N2848" i="1"/>
  <c r="L2848" i="1"/>
  <c r="N2847" i="1"/>
  <c r="L2847" i="1"/>
  <c r="N2845" i="1"/>
  <c r="L2845" i="1"/>
  <c r="N2844" i="1"/>
  <c r="L2844" i="1"/>
  <c r="N2843" i="1"/>
  <c r="L2843" i="1"/>
  <c r="N2842" i="1"/>
  <c r="L2842" i="1"/>
  <c r="N2840" i="1"/>
  <c r="L2840" i="1"/>
  <c r="N2839" i="1"/>
  <c r="L2839" i="1"/>
  <c r="N2838" i="1"/>
  <c r="L2838" i="1"/>
  <c r="N2837" i="1"/>
  <c r="L2837" i="1"/>
  <c r="N2836" i="1"/>
  <c r="L2836" i="1"/>
  <c r="N2835" i="1"/>
  <c r="L2835" i="1"/>
  <c r="N2834" i="1"/>
  <c r="L2834" i="1"/>
  <c r="N2833" i="1"/>
  <c r="L2833" i="1"/>
  <c r="N2832" i="1"/>
  <c r="L2832" i="1"/>
  <c r="N2831" i="1"/>
  <c r="L2831" i="1"/>
  <c r="N2830" i="1"/>
  <c r="L2830" i="1"/>
  <c r="N2829" i="1"/>
  <c r="L2829" i="1"/>
  <c r="N2828" i="1"/>
  <c r="L2828" i="1"/>
  <c r="N2827" i="1"/>
  <c r="L2827" i="1"/>
  <c r="N2826" i="1"/>
  <c r="L2826" i="1"/>
  <c r="N2825" i="1"/>
  <c r="L2825" i="1"/>
  <c r="N2824" i="1"/>
  <c r="L2824" i="1"/>
  <c r="N2823" i="1"/>
  <c r="L2823" i="1"/>
  <c r="N2821" i="1"/>
  <c r="L2821" i="1"/>
  <c r="N2820" i="1"/>
  <c r="L2820" i="1"/>
  <c r="N2819" i="1"/>
  <c r="L2819" i="1"/>
  <c r="N2818" i="1"/>
  <c r="L2818" i="1"/>
  <c r="L2817" i="1"/>
  <c r="N2817" i="1" s="1"/>
  <c r="N2816" i="1"/>
  <c r="L2816" i="1"/>
  <c r="L2815" i="1"/>
  <c r="N2815" i="1" s="1"/>
  <c r="N2814" i="1"/>
  <c r="L2814" i="1"/>
  <c r="L2813" i="1"/>
  <c r="N2813" i="1" s="1"/>
  <c r="N2812" i="1"/>
  <c r="L2812" i="1"/>
  <c r="L2811" i="1"/>
  <c r="N2811" i="1" s="1"/>
  <c r="N2810" i="1"/>
  <c r="L2810" i="1"/>
  <c r="L2809" i="1"/>
  <c r="N2809" i="1" s="1"/>
  <c r="N2808" i="1"/>
  <c r="L2808" i="1"/>
  <c r="L2806" i="1"/>
  <c r="N2806" i="1" s="1"/>
  <c r="N2805" i="1"/>
  <c r="L2805" i="1"/>
  <c r="L2804" i="1"/>
  <c r="N2804" i="1" s="1"/>
  <c r="N2802" i="1"/>
  <c r="L2802" i="1"/>
  <c r="L2801" i="1"/>
  <c r="N2801" i="1" s="1"/>
  <c r="N2800" i="1"/>
  <c r="L2800" i="1"/>
  <c r="L2799" i="1"/>
  <c r="N2799" i="1" s="1"/>
  <c r="N2798" i="1"/>
  <c r="L2798" i="1"/>
  <c r="L2797" i="1"/>
  <c r="N2797" i="1" s="1"/>
  <c r="N2796" i="1"/>
  <c r="L2796" i="1"/>
  <c r="L2794" i="1"/>
  <c r="N2794" i="1" s="1"/>
  <c r="N2793" i="1"/>
  <c r="L2793" i="1"/>
  <c r="L2792" i="1"/>
  <c r="N2792" i="1" s="1"/>
  <c r="N2791" i="1"/>
  <c r="L2791" i="1"/>
  <c r="L2790" i="1"/>
  <c r="N2790" i="1" s="1"/>
  <c r="N2789" i="1"/>
  <c r="L2789" i="1"/>
  <c r="L2788" i="1"/>
  <c r="N2788" i="1" s="1"/>
  <c r="N2787" i="1"/>
  <c r="L2787" i="1"/>
  <c r="L2786" i="1"/>
  <c r="N2786" i="1" s="1"/>
  <c r="N2784" i="1"/>
  <c r="L2784" i="1"/>
  <c r="L2783" i="1"/>
  <c r="N2783" i="1" s="1"/>
  <c r="N2782" i="1"/>
  <c r="L2782" i="1"/>
  <c r="L2781" i="1"/>
  <c r="N2781" i="1" s="1"/>
  <c r="N2780" i="1"/>
  <c r="L2780" i="1"/>
  <c r="L2779" i="1"/>
  <c r="N2779" i="1" s="1"/>
  <c r="N2778" i="1"/>
  <c r="L2778" i="1"/>
  <c r="L2777" i="1"/>
  <c r="N2777" i="1" s="1"/>
  <c r="N2776" i="1"/>
  <c r="L2776" i="1"/>
  <c r="L2775" i="1"/>
  <c r="N2775" i="1" s="1"/>
  <c r="N2773" i="1"/>
  <c r="L2773" i="1"/>
  <c r="L2772" i="1"/>
  <c r="N2772" i="1" s="1"/>
  <c r="N2771" i="1"/>
  <c r="L2771" i="1"/>
  <c r="L2770" i="1"/>
  <c r="N2770" i="1" s="1"/>
  <c r="N2769" i="1"/>
  <c r="L2769" i="1"/>
  <c r="L2768" i="1"/>
  <c r="N2768" i="1" s="1"/>
  <c r="N2767" i="1"/>
  <c r="L2767" i="1"/>
  <c r="L2766" i="1"/>
  <c r="N2766" i="1" s="1"/>
  <c r="N2765" i="1"/>
  <c r="L2765" i="1"/>
  <c r="L2764" i="1"/>
  <c r="N2764" i="1" s="1"/>
  <c r="N2763" i="1"/>
  <c r="L2763" i="1"/>
  <c r="L2762" i="1"/>
  <c r="N2762" i="1" s="1"/>
  <c r="N2761" i="1"/>
  <c r="L2761" i="1"/>
  <c r="L2760" i="1"/>
  <c r="N2760" i="1" s="1"/>
  <c r="N2759" i="1"/>
  <c r="L2759" i="1"/>
  <c r="L2758" i="1"/>
  <c r="N2758" i="1" s="1"/>
  <c r="N2757" i="1"/>
  <c r="L2757" i="1"/>
  <c r="L2756" i="1"/>
  <c r="N2756" i="1" s="1"/>
  <c r="N2755" i="1"/>
  <c r="L2755" i="1"/>
  <c r="L2754" i="1"/>
  <c r="N2754" i="1" s="1"/>
  <c r="N2752" i="1"/>
  <c r="L2752" i="1"/>
  <c r="L2751" i="1"/>
  <c r="N2751" i="1" s="1"/>
  <c r="N2750" i="1"/>
  <c r="L2750" i="1"/>
  <c r="L2749" i="1"/>
  <c r="N2749" i="1" s="1"/>
  <c r="N2748" i="1"/>
  <c r="L2748" i="1"/>
  <c r="L2747" i="1"/>
  <c r="N2747" i="1" s="1"/>
  <c r="N2743" i="1"/>
  <c r="L2743" i="1"/>
  <c r="L2741" i="1"/>
  <c r="N2741" i="1" s="1"/>
  <c r="N2740" i="1"/>
  <c r="L2740" i="1"/>
  <c r="L2739" i="1"/>
  <c r="N2739" i="1" s="1"/>
  <c r="N2738" i="1"/>
  <c r="L2738" i="1"/>
  <c r="L2737" i="1"/>
  <c r="N2737" i="1" s="1"/>
  <c r="N2736" i="1"/>
  <c r="L2736" i="1"/>
  <c r="L2735" i="1"/>
  <c r="N2735" i="1" s="1"/>
  <c r="N2734" i="1"/>
  <c r="L2734" i="1"/>
  <c r="L2733" i="1"/>
  <c r="N2733" i="1" s="1"/>
  <c r="N2731" i="1"/>
  <c r="L2731" i="1"/>
  <c r="L2730" i="1"/>
  <c r="N2730" i="1" s="1"/>
  <c r="N2729" i="1"/>
  <c r="L2729" i="1"/>
  <c r="L2728" i="1"/>
  <c r="N2728" i="1" s="1"/>
  <c r="N2727" i="1"/>
  <c r="L2727" i="1"/>
  <c r="L2726" i="1"/>
  <c r="N2726" i="1" s="1"/>
  <c r="N2725" i="1"/>
  <c r="L2725" i="1"/>
  <c r="L2724" i="1"/>
  <c r="N2724" i="1" s="1"/>
  <c r="N2723" i="1"/>
  <c r="L2723" i="1"/>
  <c r="L2722" i="1"/>
  <c r="N2722" i="1" s="1"/>
  <c r="N2721" i="1"/>
  <c r="L2721" i="1"/>
  <c r="L2720" i="1"/>
  <c r="N2720" i="1" s="1"/>
  <c r="N2718" i="1"/>
  <c r="L2718" i="1"/>
  <c r="L2717" i="1"/>
  <c r="N2717" i="1" s="1"/>
  <c r="N2716" i="1"/>
  <c r="L2716" i="1"/>
  <c r="L2715" i="1"/>
  <c r="N2715" i="1" s="1"/>
  <c r="N2714" i="1"/>
  <c r="L2714" i="1"/>
  <c r="L2713" i="1"/>
  <c r="N2713" i="1" s="1"/>
  <c r="N2712" i="1"/>
  <c r="L2712" i="1"/>
  <c r="L2711" i="1"/>
  <c r="N2711" i="1" s="1"/>
  <c r="N2710" i="1"/>
  <c r="L2710" i="1"/>
  <c r="L2708" i="1"/>
  <c r="N2708" i="1" s="1"/>
  <c r="N2707" i="1"/>
  <c r="L2707" i="1"/>
  <c r="L2706" i="1"/>
  <c r="N2706" i="1" s="1"/>
  <c r="N2705" i="1"/>
  <c r="L2705" i="1"/>
  <c r="L2704" i="1"/>
  <c r="N2704" i="1" s="1"/>
  <c r="N2703" i="1"/>
  <c r="L2703" i="1"/>
  <c r="L2702" i="1"/>
  <c r="N2702" i="1" s="1"/>
  <c r="L2701" i="1"/>
  <c r="N2701" i="1" s="1"/>
  <c r="L2700" i="1"/>
  <c r="N2700" i="1" s="1"/>
  <c r="L2699" i="1"/>
  <c r="N2699" i="1" s="1"/>
  <c r="L2698" i="1"/>
  <c r="N2698" i="1" s="1"/>
  <c r="L2697" i="1"/>
  <c r="N2697" i="1" s="1"/>
  <c r="L2696" i="1"/>
  <c r="N2696" i="1" s="1"/>
  <c r="N2694" i="1"/>
  <c r="L2694" i="1"/>
  <c r="L2693" i="1"/>
  <c r="N2693" i="1" s="1"/>
  <c r="L2692" i="1"/>
  <c r="N2692" i="1" s="1"/>
  <c r="L2690" i="1"/>
  <c r="N2690" i="1" s="1"/>
  <c r="L2689" i="1"/>
  <c r="N2689" i="1" s="1"/>
  <c r="L2688" i="1"/>
  <c r="N2688" i="1" s="1"/>
  <c r="L2687" i="1"/>
  <c r="N2687" i="1" s="1"/>
  <c r="L2685" i="1"/>
  <c r="N2685" i="1" s="1"/>
  <c r="N2684" i="1"/>
  <c r="L2684" i="1"/>
  <c r="L2683" i="1"/>
  <c r="N2683" i="1" s="1"/>
  <c r="L2682" i="1"/>
  <c r="N2682" i="1" s="1"/>
  <c r="L2681" i="1"/>
  <c r="N2681" i="1" s="1"/>
  <c r="L2679" i="1"/>
  <c r="N2679" i="1" s="1"/>
  <c r="L2676" i="1"/>
  <c r="N2676" i="1" s="1"/>
  <c r="L2675" i="1"/>
  <c r="N2675" i="1" s="1"/>
  <c r="L2674" i="1"/>
  <c r="N2674" i="1" s="1"/>
  <c r="N2673" i="1"/>
  <c r="L2673" i="1"/>
  <c r="L2672" i="1"/>
  <c r="N2672" i="1" s="1"/>
  <c r="L2671" i="1"/>
  <c r="N2671" i="1" s="1"/>
  <c r="L2670" i="1"/>
  <c r="N2670" i="1" s="1"/>
  <c r="L2669" i="1"/>
  <c r="N2669" i="1" s="1"/>
  <c r="L2668" i="1"/>
  <c r="N2668" i="1" s="1"/>
  <c r="L2667" i="1"/>
  <c r="N2667" i="1" s="1"/>
  <c r="L2666" i="1"/>
  <c r="N2666" i="1" s="1"/>
  <c r="N2664" i="1"/>
  <c r="L2664" i="1"/>
  <c r="L2663" i="1"/>
  <c r="N2663" i="1" s="1"/>
  <c r="L2661" i="1"/>
  <c r="N2661" i="1" s="1"/>
  <c r="N2660" i="1"/>
  <c r="L2660" i="1"/>
  <c r="L2659" i="1"/>
  <c r="N2659" i="1" s="1"/>
  <c r="N2658" i="1"/>
  <c r="L2658" i="1"/>
  <c r="L2657" i="1"/>
  <c r="N2657" i="1" s="1"/>
  <c r="N2656" i="1"/>
  <c r="L2656" i="1"/>
  <c r="L2655" i="1"/>
  <c r="N2655" i="1" s="1"/>
  <c r="N2654" i="1"/>
  <c r="L2654" i="1"/>
  <c r="L2653" i="1"/>
  <c r="N2653" i="1" s="1"/>
  <c r="N2652" i="1"/>
  <c r="L2652" i="1"/>
  <c r="L2651" i="1"/>
  <c r="N2651" i="1" s="1"/>
  <c r="N2649" i="1"/>
  <c r="L2649" i="1"/>
  <c r="L2648" i="1"/>
  <c r="N2648" i="1" s="1"/>
  <c r="N2647" i="1"/>
  <c r="L2647" i="1"/>
  <c r="L2646" i="1"/>
  <c r="N2646" i="1" s="1"/>
  <c r="N2645" i="1"/>
  <c r="L2645" i="1"/>
  <c r="L2644" i="1"/>
  <c r="N2644" i="1" s="1"/>
  <c r="N2643" i="1"/>
  <c r="L2643" i="1"/>
  <c r="L2642" i="1"/>
  <c r="N2642" i="1" s="1"/>
  <c r="N2641" i="1"/>
  <c r="L2641" i="1"/>
  <c r="L2640" i="1"/>
  <c r="N2640" i="1" s="1"/>
  <c r="N2639" i="1"/>
  <c r="L2639" i="1"/>
  <c r="L2638" i="1"/>
  <c r="N2638" i="1" s="1"/>
  <c r="N2637" i="1"/>
  <c r="L2637" i="1"/>
  <c r="L2634" i="1"/>
  <c r="N2634" i="1" s="1"/>
  <c r="N2633" i="1"/>
  <c r="L2633" i="1"/>
  <c r="L2630" i="1"/>
  <c r="N2630" i="1" s="1"/>
  <c r="N2629" i="1"/>
  <c r="L2629" i="1"/>
  <c r="L2628" i="1"/>
  <c r="N2628" i="1" s="1"/>
  <c r="N2627" i="1"/>
  <c r="L2627" i="1"/>
  <c r="L2626" i="1"/>
  <c r="N2626" i="1" s="1"/>
  <c r="N2625" i="1"/>
  <c r="L2625" i="1"/>
  <c r="L2624" i="1"/>
  <c r="N2624" i="1" s="1"/>
  <c r="N2623" i="1"/>
  <c r="L2623" i="1"/>
  <c r="L2622" i="1"/>
  <c r="N2622" i="1" s="1"/>
  <c r="N2621" i="1"/>
  <c r="L2621" i="1"/>
  <c r="L2620" i="1"/>
  <c r="N2620" i="1" s="1"/>
  <c r="L2618" i="1"/>
  <c r="N2618" i="1" s="1"/>
  <c r="N2616" i="1"/>
  <c r="L2616" i="1"/>
  <c r="L2615" i="1"/>
  <c r="N2615" i="1" s="1"/>
  <c r="N2614" i="1"/>
  <c r="L2614" i="1"/>
  <c r="L2613" i="1"/>
  <c r="N2613" i="1" s="1"/>
  <c r="N2612" i="1"/>
  <c r="L2612" i="1"/>
  <c r="L2610" i="1"/>
  <c r="N2610" i="1" s="1"/>
  <c r="N2609" i="1"/>
  <c r="L2609" i="1"/>
  <c r="L2608" i="1"/>
  <c r="N2608" i="1" s="1"/>
  <c r="L2607" i="1"/>
  <c r="N2607" i="1" s="1"/>
  <c r="L2606" i="1"/>
  <c r="N2606" i="1" s="1"/>
  <c r="L2605" i="1"/>
  <c r="N2605" i="1" s="1"/>
  <c r="L2604" i="1"/>
  <c r="N2604" i="1" s="1"/>
  <c r="L2603" i="1"/>
  <c r="N2603" i="1" s="1"/>
  <c r="L2602" i="1"/>
  <c r="N2602" i="1" s="1"/>
  <c r="L2601" i="1"/>
  <c r="N2601" i="1" s="1"/>
  <c r="L2598" i="1"/>
  <c r="N2598" i="1" s="1"/>
  <c r="L2597" i="1"/>
  <c r="N2597" i="1" s="1"/>
  <c r="L2596" i="1"/>
  <c r="N2596" i="1" s="1"/>
  <c r="L2595" i="1"/>
  <c r="N2595" i="1" s="1"/>
  <c r="N2594" i="1"/>
  <c r="L2594" i="1"/>
  <c r="L2593" i="1"/>
  <c r="N2593" i="1" s="1"/>
  <c r="L2592" i="1"/>
  <c r="N2592" i="1" s="1"/>
  <c r="N2591" i="1"/>
  <c r="L2591" i="1"/>
  <c r="L2590" i="1"/>
  <c r="N2590" i="1" s="1"/>
  <c r="N2589" i="1"/>
  <c r="L2589" i="1"/>
  <c r="L2588" i="1"/>
  <c r="N2588" i="1" s="1"/>
  <c r="N2587" i="1"/>
  <c r="L2587" i="1"/>
  <c r="L2585" i="1"/>
  <c r="N2585" i="1" s="1"/>
  <c r="N2584" i="1"/>
  <c r="L2584" i="1"/>
  <c r="L2583" i="1"/>
  <c r="N2583" i="1" s="1"/>
  <c r="N2582" i="1"/>
  <c r="L2582" i="1"/>
  <c r="L2581" i="1"/>
  <c r="N2581" i="1" s="1"/>
  <c r="N2580" i="1"/>
  <c r="L2580" i="1"/>
  <c r="L2578" i="1"/>
  <c r="N2578" i="1" s="1"/>
  <c r="L2577" i="1"/>
  <c r="N2577" i="1" s="1"/>
  <c r="N2576" i="1"/>
  <c r="L2576" i="1"/>
  <c r="L2575" i="1"/>
  <c r="N2575" i="1" s="1"/>
  <c r="N2574" i="1"/>
  <c r="L2574" i="1"/>
  <c r="L2573" i="1"/>
  <c r="N2573" i="1" s="1"/>
  <c r="N2572" i="1"/>
  <c r="L2572" i="1"/>
  <c r="L2571" i="1"/>
  <c r="N2571" i="1" s="1"/>
  <c r="N2570" i="1"/>
  <c r="L2570" i="1"/>
  <c r="L2569" i="1"/>
  <c r="N2569" i="1" s="1"/>
  <c r="N2568" i="1"/>
  <c r="L2568" i="1"/>
  <c r="L2567" i="1"/>
  <c r="N2567" i="1" s="1"/>
  <c r="N2566" i="1"/>
  <c r="L2566" i="1"/>
  <c r="L2565" i="1"/>
  <c r="N2565" i="1" s="1"/>
  <c r="N2564" i="1"/>
  <c r="L2564" i="1"/>
  <c r="L2562" i="1"/>
  <c r="N2562" i="1" s="1"/>
  <c r="N2561" i="1"/>
  <c r="L2561" i="1"/>
  <c r="L2560" i="1"/>
  <c r="N2560" i="1" s="1"/>
  <c r="N2559" i="1"/>
  <c r="L2559" i="1"/>
  <c r="L2558" i="1"/>
  <c r="N2558" i="1" s="1"/>
  <c r="N2557" i="1"/>
  <c r="L2557" i="1"/>
  <c r="L2556" i="1"/>
  <c r="N2556" i="1" s="1"/>
  <c r="N2555" i="1"/>
  <c r="L2555" i="1"/>
  <c r="L2554" i="1"/>
  <c r="N2554" i="1" s="1"/>
  <c r="N2553" i="1"/>
  <c r="L2553" i="1"/>
  <c r="L2552" i="1"/>
  <c r="N2552" i="1" s="1"/>
  <c r="N2551" i="1"/>
  <c r="L2551" i="1"/>
  <c r="L2550" i="1"/>
  <c r="N2550" i="1" s="1"/>
  <c r="N2549" i="1"/>
  <c r="L2549" i="1"/>
  <c r="L2548" i="1"/>
  <c r="N2548" i="1" s="1"/>
  <c r="N2547" i="1"/>
  <c r="L2547" i="1"/>
  <c r="L2546" i="1"/>
  <c r="N2546" i="1" s="1"/>
  <c r="N2545" i="1"/>
  <c r="L2545" i="1"/>
  <c r="L2544" i="1"/>
  <c r="N2544" i="1" s="1"/>
  <c r="N2543" i="1"/>
  <c r="L2543" i="1"/>
  <c r="L2542" i="1"/>
  <c r="N2542" i="1" s="1"/>
  <c r="N2541" i="1"/>
  <c r="L2541" i="1"/>
  <c r="L2540" i="1"/>
  <c r="N2540" i="1" s="1"/>
  <c r="N2539" i="1"/>
  <c r="L2539" i="1"/>
  <c r="L2538" i="1"/>
  <c r="N2538" i="1" s="1"/>
  <c r="N2537" i="1"/>
  <c r="L2537" i="1"/>
  <c r="L2536" i="1"/>
  <c r="N2536" i="1" s="1"/>
  <c r="N2535" i="1"/>
  <c r="L2535" i="1"/>
  <c r="L2534" i="1"/>
  <c r="N2534" i="1" s="1"/>
  <c r="N2533" i="1"/>
  <c r="L2533" i="1"/>
  <c r="L2532" i="1"/>
  <c r="N2532" i="1" s="1"/>
  <c r="N2531" i="1"/>
  <c r="L2531" i="1"/>
  <c r="L2530" i="1"/>
  <c r="N2530" i="1" s="1"/>
  <c r="N2529" i="1"/>
  <c r="L2529" i="1"/>
  <c r="L2528" i="1"/>
  <c r="N2528" i="1" s="1"/>
  <c r="N2527" i="1"/>
  <c r="L2527" i="1"/>
  <c r="L2526" i="1"/>
  <c r="N2526" i="1" s="1"/>
  <c r="N2525" i="1"/>
  <c r="L2525" i="1"/>
  <c r="L2524" i="1"/>
  <c r="N2524" i="1" s="1"/>
  <c r="N2523" i="1"/>
  <c r="L2523" i="1"/>
  <c r="L2522" i="1"/>
  <c r="N2522" i="1" s="1"/>
  <c r="N2521" i="1"/>
  <c r="L2521" i="1"/>
  <c r="L2520" i="1"/>
  <c r="N2520" i="1" s="1"/>
  <c r="N2519" i="1"/>
  <c r="L2519" i="1"/>
  <c r="L2518" i="1"/>
  <c r="N2518" i="1" s="1"/>
  <c r="N2517" i="1"/>
  <c r="L2517" i="1"/>
  <c r="L2516" i="1"/>
  <c r="N2516" i="1" s="1"/>
  <c r="N2515" i="1"/>
  <c r="L2515" i="1"/>
  <c r="L2514" i="1"/>
  <c r="N2514" i="1" s="1"/>
  <c r="N2513" i="1"/>
  <c r="L2513" i="1"/>
  <c r="L2512" i="1"/>
  <c r="N2512" i="1" s="1"/>
  <c r="L2511" i="1"/>
  <c r="N2511" i="1" s="1"/>
  <c r="L2510" i="1"/>
  <c r="N2510" i="1" s="1"/>
  <c r="L2509" i="1"/>
  <c r="N2509" i="1" s="1"/>
  <c r="N2508" i="1"/>
  <c r="L2508" i="1"/>
  <c r="L2507" i="1"/>
  <c r="N2507" i="1" s="1"/>
  <c r="N2506" i="1"/>
  <c r="L2506" i="1"/>
  <c r="L2505" i="1"/>
  <c r="N2505" i="1" s="1"/>
  <c r="N2504" i="1"/>
  <c r="L2504" i="1"/>
  <c r="L2503" i="1"/>
  <c r="N2503" i="1" s="1"/>
  <c r="N2502" i="1"/>
  <c r="L2502" i="1"/>
  <c r="L2501" i="1"/>
  <c r="N2501" i="1" s="1"/>
  <c r="N2500" i="1"/>
  <c r="L2500" i="1"/>
  <c r="L2499" i="1"/>
  <c r="N2499" i="1" s="1"/>
  <c r="N2498" i="1"/>
  <c r="L2498" i="1"/>
  <c r="L2497" i="1"/>
  <c r="N2497" i="1" s="1"/>
  <c r="N2496" i="1"/>
  <c r="L2496" i="1"/>
  <c r="L2495" i="1"/>
  <c r="N2495" i="1" s="1"/>
  <c r="N2494" i="1"/>
  <c r="L2494" i="1"/>
  <c r="L2493" i="1"/>
  <c r="N2493" i="1" s="1"/>
  <c r="N2492" i="1"/>
  <c r="L2492" i="1"/>
  <c r="L2491" i="1"/>
  <c r="N2491" i="1" s="1"/>
  <c r="N2490" i="1"/>
  <c r="L2490" i="1"/>
  <c r="L2489" i="1"/>
  <c r="N2489" i="1" s="1"/>
  <c r="L2487" i="1"/>
  <c r="N2487" i="1" s="1"/>
  <c r="L2486" i="1"/>
  <c r="N2486" i="1" s="1"/>
  <c r="L2485" i="1"/>
  <c r="N2485" i="1" s="1"/>
  <c r="N2484" i="1"/>
  <c r="L2484" i="1"/>
  <c r="L2483" i="1"/>
  <c r="N2483" i="1" s="1"/>
  <c r="N2482" i="1"/>
  <c r="L2482" i="1"/>
  <c r="L2480" i="1"/>
  <c r="N2480" i="1" s="1"/>
  <c r="N2477" i="1"/>
  <c r="L2477" i="1"/>
  <c r="L2476" i="1"/>
  <c r="N2476" i="1" s="1"/>
  <c r="N2475" i="1"/>
  <c r="L2475" i="1"/>
  <c r="L2474" i="1"/>
  <c r="N2474" i="1" s="1"/>
  <c r="N2473" i="1"/>
  <c r="L2473" i="1"/>
  <c r="L2472" i="1"/>
  <c r="N2472" i="1" s="1"/>
  <c r="N2471" i="1"/>
  <c r="L2471" i="1"/>
  <c r="L2470" i="1"/>
  <c r="N2470" i="1" s="1"/>
  <c r="N2469" i="1"/>
  <c r="L2469" i="1"/>
  <c r="L2467" i="1"/>
  <c r="N2467" i="1" s="1"/>
  <c r="L2465" i="1"/>
  <c r="N2465" i="1" s="1"/>
  <c r="L2464" i="1"/>
  <c r="N2464" i="1" s="1"/>
  <c r="L2463" i="1"/>
  <c r="N2463" i="1" s="1"/>
  <c r="L2462" i="1"/>
  <c r="N2462" i="1" s="1"/>
  <c r="L2461" i="1"/>
  <c r="N2461" i="1" s="1"/>
  <c r="L2460" i="1"/>
  <c r="N2460" i="1" s="1"/>
  <c r="L2459" i="1"/>
  <c r="N2459" i="1" s="1"/>
  <c r="L2458" i="1"/>
  <c r="N2458" i="1" s="1"/>
  <c r="L2457" i="1"/>
  <c r="N2457" i="1" s="1"/>
  <c r="L2456" i="1"/>
  <c r="N2456" i="1" s="1"/>
  <c r="L2455" i="1"/>
  <c r="N2455" i="1" s="1"/>
  <c r="L2454" i="1"/>
  <c r="N2454" i="1" s="1"/>
  <c r="L2453" i="1"/>
  <c r="N2453" i="1" s="1"/>
  <c r="L2452" i="1"/>
  <c r="N2452" i="1" s="1"/>
  <c r="L2451" i="1"/>
  <c r="N2451" i="1" s="1"/>
  <c r="L2450" i="1"/>
  <c r="N2450" i="1" s="1"/>
  <c r="L2448" i="1"/>
  <c r="N2448" i="1" s="1"/>
  <c r="N2447" i="1"/>
  <c r="L2447" i="1"/>
  <c r="L2446" i="1"/>
  <c r="N2446" i="1" s="1"/>
  <c r="N2445" i="1"/>
  <c r="L2445" i="1"/>
  <c r="L2444" i="1"/>
  <c r="N2444" i="1" s="1"/>
  <c r="N2443" i="1"/>
  <c r="L2443" i="1"/>
  <c r="L2442" i="1"/>
  <c r="N2442" i="1" s="1"/>
  <c r="L2441" i="1"/>
  <c r="N2441" i="1" s="1"/>
  <c r="L2440" i="1"/>
  <c r="N2440" i="1" s="1"/>
  <c r="L2439" i="1"/>
  <c r="N2439" i="1" s="1"/>
  <c r="L2438" i="1"/>
  <c r="N2438" i="1" s="1"/>
  <c r="L2437" i="1"/>
  <c r="N2437" i="1" s="1"/>
  <c r="L2436" i="1"/>
  <c r="N2436" i="1" s="1"/>
  <c r="L2435" i="1"/>
  <c r="N2435" i="1" s="1"/>
  <c r="N2434" i="1"/>
  <c r="L2434" i="1"/>
  <c r="L2433" i="1"/>
  <c r="N2433" i="1" s="1"/>
  <c r="N2431" i="1"/>
  <c r="L2431" i="1"/>
  <c r="L2430" i="1"/>
  <c r="N2430" i="1" s="1"/>
  <c r="N2429" i="1"/>
  <c r="L2429" i="1"/>
  <c r="L2428" i="1"/>
  <c r="N2428" i="1" s="1"/>
  <c r="N2427" i="1"/>
  <c r="L2427" i="1"/>
  <c r="L2426" i="1"/>
  <c r="N2426" i="1" s="1"/>
  <c r="N2425" i="1"/>
  <c r="L2425" i="1"/>
  <c r="L2424" i="1"/>
  <c r="N2424" i="1" s="1"/>
  <c r="N2423" i="1"/>
  <c r="L2423" i="1"/>
  <c r="L2420" i="1"/>
  <c r="N2420" i="1" s="1"/>
  <c r="N2419" i="1"/>
  <c r="L2419" i="1"/>
  <c r="L2418" i="1"/>
  <c r="N2418" i="1" s="1"/>
  <c r="N2417" i="1"/>
  <c r="L2417" i="1"/>
  <c r="L2415" i="1"/>
  <c r="N2415" i="1" s="1"/>
  <c r="N2414" i="1"/>
  <c r="L2414" i="1"/>
  <c r="L2413" i="1"/>
  <c r="N2413" i="1" s="1"/>
  <c r="N2412" i="1"/>
  <c r="L2412" i="1"/>
  <c r="L2411" i="1"/>
  <c r="N2411" i="1" s="1"/>
  <c r="N2410" i="1"/>
  <c r="L2410" i="1"/>
  <c r="L2409" i="1"/>
  <c r="N2409" i="1" s="1"/>
  <c r="N2408" i="1"/>
  <c r="L2408" i="1"/>
  <c r="L2407" i="1"/>
  <c r="N2407" i="1" s="1"/>
  <c r="N2406" i="1"/>
  <c r="L2406" i="1"/>
  <c r="L2405" i="1"/>
  <c r="N2405" i="1" s="1"/>
  <c r="N2404" i="1"/>
  <c r="L2404" i="1"/>
  <c r="L2403" i="1"/>
  <c r="N2403" i="1" s="1"/>
  <c r="N2402" i="1"/>
  <c r="L2402" i="1"/>
  <c r="L2401" i="1"/>
  <c r="N2401" i="1" s="1"/>
  <c r="N2400" i="1"/>
  <c r="L2400" i="1"/>
  <c r="L2399" i="1"/>
  <c r="N2399" i="1" s="1"/>
  <c r="N2398" i="1"/>
  <c r="L2398" i="1"/>
  <c r="L2397" i="1"/>
  <c r="N2397" i="1" s="1"/>
  <c r="N2396" i="1"/>
  <c r="L2396" i="1"/>
  <c r="L2394" i="1"/>
  <c r="N2394" i="1" s="1"/>
  <c r="N2392" i="1"/>
  <c r="L2392" i="1"/>
  <c r="L2391" i="1"/>
  <c r="N2391" i="1" s="1"/>
  <c r="N2390" i="1"/>
  <c r="L2390" i="1"/>
  <c r="L2389" i="1"/>
  <c r="N2389" i="1" s="1"/>
  <c r="N2388" i="1"/>
  <c r="L2388" i="1"/>
  <c r="L2387" i="1"/>
  <c r="N2387" i="1" s="1"/>
  <c r="N2386" i="1"/>
  <c r="L2386" i="1"/>
  <c r="L2385" i="1"/>
  <c r="N2385" i="1" s="1"/>
  <c r="N2384" i="1"/>
  <c r="L2384" i="1"/>
  <c r="L2383" i="1"/>
  <c r="N2383" i="1" s="1"/>
  <c r="N2382" i="1"/>
  <c r="L2382" i="1"/>
  <c r="L2378" i="1"/>
  <c r="N2378" i="1" s="1"/>
  <c r="N2377" i="1"/>
  <c r="L2377" i="1"/>
  <c r="L2376" i="1"/>
  <c r="N2376" i="1" s="1"/>
  <c r="N2375" i="1"/>
  <c r="L2375" i="1"/>
  <c r="L2374" i="1"/>
  <c r="N2374" i="1" s="1"/>
  <c r="N2373" i="1"/>
  <c r="L2373" i="1"/>
  <c r="L2372" i="1"/>
  <c r="N2372" i="1" s="1"/>
  <c r="N2371" i="1"/>
  <c r="L2371" i="1"/>
  <c r="L2370" i="1"/>
  <c r="N2370" i="1" s="1"/>
  <c r="N2369" i="1"/>
  <c r="L2369" i="1"/>
  <c r="L2368" i="1"/>
  <c r="N2368" i="1" s="1"/>
  <c r="N2367" i="1"/>
  <c r="L2367" i="1"/>
  <c r="L2366" i="1"/>
  <c r="N2366" i="1" s="1"/>
  <c r="N2364" i="1"/>
  <c r="L2364" i="1"/>
  <c r="L2363" i="1"/>
  <c r="N2363" i="1" s="1"/>
  <c r="N2362" i="1"/>
  <c r="L2362" i="1"/>
  <c r="L2361" i="1"/>
  <c r="N2361" i="1" s="1"/>
  <c r="N2360" i="1"/>
  <c r="L2360" i="1"/>
  <c r="L2359" i="1"/>
  <c r="N2359" i="1" s="1"/>
  <c r="N2358" i="1"/>
  <c r="L2358" i="1"/>
  <c r="L2357" i="1"/>
  <c r="N2357" i="1" s="1"/>
  <c r="N2356" i="1"/>
  <c r="L2356" i="1"/>
  <c r="L2355" i="1"/>
  <c r="N2355" i="1" s="1"/>
  <c r="N2354" i="1"/>
  <c r="L2354" i="1"/>
  <c r="L2353" i="1"/>
  <c r="N2353" i="1" s="1"/>
  <c r="N2352" i="1"/>
  <c r="L2352" i="1"/>
  <c r="L2350" i="1"/>
  <c r="N2350" i="1" s="1"/>
  <c r="N2349" i="1"/>
  <c r="L2349" i="1"/>
  <c r="L2348" i="1"/>
  <c r="N2348" i="1" s="1"/>
  <c r="N2347" i="1"/>
  <c r="L2347" i="1"/>
  <c r="L2346" i="1"/>
  <c r="N2346" i="1" s="1"/>
  <c r="N2345" i="1"/>
  <c r="L2345" i="1"/>
  <c r="L2344" i="1"/>
  <c r="N2344" i="1" s="1"/>
  <c r="N2343" i="1"/>
  <c r="L2343" i="1"/>
  <c r="L2342" i="1"/>
  <c r="N2342" i="1" s="1"/>
  <c r="N2341" i="1"/>
  <c r="L2341" i="1"/>
  <c r="L2340" i="1"/>
  <c r="N2340" i="1" s="1"/>
  <c r="N2339" i="1"/>
  <c r="L2339" i="1"/>
  <c r="L2338" i="1"/>
  <c r="N2338" i="1" s="1"/>
  <c r="N2337" i="1"/>
  <c r="L2337" i="1"/>
  <c r="L2336" i="1"/>
  <c r="N2336" i="1" s="1"/>
  <c r="N2335" i="1"/>
  <c r="L2335" i="1"/>
  <c r="L2334" i="1"/>
  <c r="N2334" i="1" s="1"/>
  <c r="N2333" i="1"/>
  <c r="L2333" i="1"/>
  <c r="L2332" i="1"/>
  <c r="N2332" i="1" s="1"/>
  <c r="N2331" i="1"/>
  <c r="L2331" i="1"/>
  <c r="L2330" i="1"/>
  <c r="N2330" i="1" s="1"/>
  <c r="N2329" i="1"/>
  <c r="L2329" i="1"/>
  <c r="L2328" i="1"/>
  <c r="N2328" i="1" s="1"/>
  <c r="N2327" i="1"/>
  <c r="L2327" i="1"/>
  <c r="L2326" i="1"/>
  <c r="N2326" i="1" s="1"/>
  <c r="N2325" i="1"/>
  <c r="L2325" i="1"/>
  <c r="L2324" i="1"/>
  <c r="N2324" i="1" s="1"/>
  <c r="N2323" i="1"/>
  <c r="L2323" i="1"/>
  <c r="L2322" i="1"/>
  <c r="N2322" i="1" s="1"/>
  <c r="N2321" i="1"/>
  <c r="L2321" i="1"/>
  <c r="L2320" i="1"/>
  <c r="N2320" i="1" s="1"/>
  <c r="N2319" i="1"/>
  <c r="L2319" i="1"/>
  <c r="L2318" i="1"/>
  <c r="N2318" i="1" s="1"/>
  <c r="N2317" i="1"/>
  <c r="L2317" i="1"/>
  <c r="L2316" i="1"/>
  <c r="N2316" i="1" s="1"/>
  <c r="N2315" i="1"/>
  <c r="L2315" i="1"/>
  <c r="L2314" i="1"/>
  <c r="N2314" i="1" s="1"/>
  <c r="N2313" i="1"/>
  <c r="L2313" i="1"/>
  <c r="L2312" i="1"/>
  <c r="N2312" i="1" s="1"/>
  <c r="N2311" i="1"/>
  <c r="L2311" i="1"/>
  <c r="L2310" i="1"/>
  <c r="N2310" i="1" s="1"/>
  <c r="N2309" i="1"/>
  <c r="L2309" i="1"/>
  <c r="L2308" i="1"/>
  <c r="N2308" i="1" s="1"/>
  <c r="N2307" i="1"/>
  <c r="L2307" i="1"/>
  <c r="L2306" i="1"/>
  <c r="N2306" i="1" s="1"/>
  <c r="N2305" i="1"/>
  <c r="L2305" i="1"/>
  <c r="L2304" i="1"/>
  <c r="N2304" i="1" s="1"/>
  <c r="N2303" i="1"/>
  <c r="L2303" i="1"/>
  <c r="L2301" i="1"/>
  <c r="N2301" i="1" s="1"/>
  <c r="N2300" i="1"/>
  <c r="L2300" i="1"/>
  <c r="L2299" i="1"/>
  <c r="N2299" i="1" s="1"/>
  <c r="N2298" i="1"/>
  <c r="L2298" i="1"/>
  <c r="L2297" i="1"/>
  <c r="N2297" i="1" s="1"/>
  <c r="N2296" i="1"/>
  <c r="L2296" i="1"/>
  <c r="L2295" i="1"/>
  <c r="N2295" i="1" s="1"/>
  <c r="N2294" i="1"/>
  <c r="L2294" i="1"/>
  <c r="L2291" i="1"/>
  <c r="N2291" i="1" s="1"/>
  <c r="N2290" i="1"/>
  <c r="L2290" i="1"/>
  <c r="L2289" i="1"/>
  <c r="N2289" i="1" s="1"/>
  <c r="N2288" i="1"/>
  <c r="L2288" i="1"/>
  <c r="L2287" i="1"/>
  <c r="N2287" i="1" s="1"/>
  <c r="N2286" i="1"/>
  <c r="L2286" i="1"/>
  <c r="L2285" i="1"/>
  <c r="N2285" i="1" s="1"/>
  <c r="N2284" i="1"/>
  <c r="L2284" i="1"/>
  <c r="L2283" i="1"/>
  <c r="N2283" i="1" s="1"/>
  <c r="N2282" i="1"/>
  <c r="L2282" i="1"/>
  <c r="L2281" i="1"/>
  <c r="N2281" i="1" s="1"/>
  <c r="N2280" i="1"/>
  <c r="L2280" i="1"/>
  <c r="L2279" i="1"/>
  <c r="N2279" i="1" s="1"/>
  <c r="N2278" i="1"/>
  <c r="L2278" i="1"/>
  <c r="L2277" i="1"/>
  <c r="N2277" i="1" s="1"/>
  <c r="N2276" i="1"/>
  <c r="L2276" i="1"/>
  <c r="L2274" i="1"/>
  <c r="N2274" i="1" s="1"/>
  <c r="N2273" i="1"/>
  <c r="L2273" i="1"/>
  <c r="L2271" i="1"/>
  <c r="N2271" i="1" s="1"/>
  <c r="N2269" i="1"/>
  <c r="L2269" i="1"/>
  <c r="L2268" i="1"/>
  <c r="N2268" i="1" s="1"/>
  <c r="N2267" i="1"/>
  <c r="L2267" i="1"/>
  <c r="L2266" i="1"/>
  <c r="N2266" i="1" s="1"/>
  <c r="N2265" i="1"/>
  <c r="L2265" i="1"/>
  <c r="L2264" i="1"/>
  <c r="N2264" i="1" s="1"/>
  <c r="N2263" i="1"/>
  <c r="L2263" i="1"/>
  <c r="L2262" i="1"/>
  <c r="N2262" i="1" s="1"/>
  <c r="N2261" i="1"/>
  <c r="L2261" i="1"/>
  <c r="L2260" i="1"/>
  <c r="N2260" i="1" s="1"/>
  <c r="N2259" i="1"/>
  <c r="L2259" i="1"/>
  <c r="L2258" i="1"/>
  <c r="N2258" i="1" s="1"/>
  <c r="N2257" i="1"/>
  <c r="L2257" i="1"/>
  <c r="L2256" i="1"/>
  <c r="N2256" i="1" s="1"/>
  <c r="N2255" i="1"/>
  <c r="L2255" i="1"/>
  <c r="L2254" i="1"/>
  <c r="N2254" i="1" s="1"/>
  <c r="N2253" i="1"/>
  <c r="L2253" i="1"/>
  <c r="L2252" i="1"/>
  <c r="N2252" i="1" s="1"/>
  <c r="N2251" i="1"/>
  <c r="L2251" i="1"/>
  <c r="L2249" i="1"/>
  <c r="N2249" i="1" s="1"/>
  <c r="N2248" i="1"/>
  <c r="L2248" i="1"/>
  <c r="L2247" i="1"/>
  <c r="N2247" i="1" s="1"/>
  <c r="N2246" i="1"/>
  <c r="L2246" i="1"/>
  <c r="L2245" i="1"/>
  <c r="N2245" i="1" s="1"/>
  <c r="N2244" i="1"/>
  <c r="L2244" i="1"/>
  <c r="L2243" i="1"/>
  <c r="N2243" i="1" s="1"/>
  <c r="N2241" i="1"/>
  <c r="L2241" i="1"/>
  <c r="L2240" i="1"/>
  <c r="N2240" i="1" s="1"/>
  <c r="N2239" i="1"/>
  <c r="L2239" i="1"/>
  <c r="L2238" i="1"/>
  <c r="N2238" i="1" s="1"/>
  <c r="N2237" i="1"/>
  <c r="L2237" i="1"/>
  <c r="L2236" i="1"/>
  <c r="N2236" i="1" s="1"/>
  <c r="N2235" i="1"/>
  <c r="L2235" i="1"/>
  <c r="L2234" i="1"/>
  <c r="N2234" i="1" s="1"/>
  <c r="N2233" i="1"/>
  <c r="L2233" i="1"/>
  <c r="L2232" i="1"/>
  <c r="N2232" i="1" s="1"/>
  <c r="N2231" i="1"/>
  <c r="L2231" i="1"/>
  <c r="L2230" i="1"/>
  <c r="N2230" i="1" s="1"/>
  <c r="N2229" i="1"/>
  <c r="L2229" i="1"/>
  <c r="L2228" i="1"/>
  <c r="N2228" i="1" s="1"/>
  <c r="N2227" i="1"/>
  <c r="L2227" i="1"/>
  <c r="L2226" i="1"/>
  <c r="N2226" i="1" s="1"/>
  <c r="N2225" i="1"/>
  <c r="L2225" i="1"/>
  <c r="L2223" i="1"/>
  <c r="N2223" i="1" s="1"/>
  <c r="N2222" i="1"/>
  <c r="L2222" i="1"/>
  <c r="L2221" i="1"/>
  <c r="N2221" i="1" s="1"/>
  <c r="N2220" i="1"/>
  <c r="L2220" i="1"/>
  <c r="L2219" i="1"/>
  <c r="N2219" i="1" s="1"/>
  <c r="N2218" i="1"/>
  <c r="L2218" i="1"/>
  <c r="L2217" i="1"/>
  <c r="N2217" i="1" s="1"/>
  <c r="N2216" i="1"/>
  <c r="L2216" i="1"/>
  <c r="L2215" i="1"/>
  <c r="N2215" i="1" s="1"/>
  <c r="N2214" i="1"/>
  <c r="L2214" i="1"/>
  <c r="L2213" i="1"/>
  <c r="N2213" i="1" s="1"/>
  <c r="N2211" i="1"/>
  <c r="L2211" i="1"/>
  <c r="L2210" i="1"/>
  <c r="N2210" i="1" s="1"/>
  <c r="N2209" i="1"/>
  <c r="L2209" i="1"/>
  <c r="L2208" i="1"/>
  <c r="N2208" i="1" s="1"/>
  <c r="N2207" i="1"/>
  <c r="L2207" i="1"/>
  <c r="L2206" i="1"/>
  <c r="N2206" i="1" s="1"/>
  <c r="N2205" i="1"/>
  <c r="L2205" i="1"/>
  <c r="L2204" i="1"/>
  <c r="N2204" i="1" s="1"/>
  <c r="N2202" i="1"/>
  <c r="L2202" i="1"/>
  <c r="L2201" i="1"/>
  <c r="N2201" i="1" s="1"/>
  <c r="N2200" i="1"/>
  <c r="L2200" i="1"/>
  <c r="L2199" i="1"/>
  <c r="N2199" i="1" s="1"/>
  <c r="N2198" i="1"/>
  <c r="L2198" i="1"/>
  <c r="L2197" i="1"/>
  <c r="N2197" i="1" s="1"/>
  <c r="N2196" i="1"/>
  <c r="L2196" i="1"/>
  <c r="L2195" i="1"/>
  <c r="N2195" i="1" s="1"/>
  <c r="N2194" i="1"/>
  <c r="L2194" i="1"/>
  <c r="L2193" i="1"/>
  <c r="N2193" i="1" s="1"/>
  <c r="N2192" i="1"/>
  <c r="L2192" i="1"/>
  <c r="L2191" i="1"/>
  <c r="N2191" i="1" s="1"/>
  <c r="N2190" i="1"/>
  <c r="L2190" i="1"/>
  <c r="L2189" i="1"/>
  <c r="N2189" i="1" s="1"/>
  <c r="N2188" i="1"/>
  <c r="L2188" i="1"/>
  <c r="L2187" i="1"/>
  <c r="N2187" i="1" s="1"/>
  <c r="N2186" i="1"/>
  <c r="L2186" i="1"/>
  <c r="L2185" i="1"/>
  <c r="N2185" i="1" s="1"/>
  <c r="N2184" i="1"/>
  <c r="L2184" i="1"/>
  <c r="L2183" i="1"/>
  <c r="N2183" i="1" s="1"/>
  <c r="N2182" i="1"/>
  <c r="L2182" i="1"/>
  <c r="L2181" i="1"/>
  <c r="N2181" i="1" s="1"/>
  <c r="N2180" i="1"/>
  <c r="L2180" i="1"/>
  <c r="L2179" i="1"/>
  <c r="N2179" i="1" s="1"/>
  <c r="N2178" i="1"/>
  <c r="L2178" i="1"/>
  <c r="L2176" i="1"/>
  <c r="N2176" i="1" s="1"/>
  <c r="N2175" i="1"/>
  <c r="L2175" i="1"/>
  <c r="L2174" i="1"/>
  <c r="N2174" i="1" s="1"/>
  <c r="N2173" i="1"/>
  <c r="L2173" i="1"/>
  <c r="L2172" i="1"/>
  <c r="N2172" i="1" s="1"/>
  <c r="N2171" i="1"/>
  <c r="L2171" i="1"/>
  <c r="L2170" i="1"/>
  <c r="N2170" i="1" s="1"/>
  <c r="N2169" i="1"/>
  <c r="L2169" i="1"/>
  <c r="L2168" i="1"/>
  <c r="N2168" i="1" s="1"/>
  <c r="N2167" i="1"/>
  <c r="L2167" i="1"/>
  <c r="L2166" i="1"/>
  <c r="N2166" i="1" s="1"/>
  <c r="N2165" i="1"/>
  <c r="L2165" i="1"/>
  <c r="L2162" i="1"/>
  <c r="N2162" i="1" s="1"/>
  <c r="N2161" i="1"/>
  <c r="L2161" i="1"/>
  <c r="L2160" i="1"/>
  <c r="N2160" i="1" s="1"/>
  <c r="N2158" i="1"/>
  <c r="L2158" i="1"/>
  <c r="L2157" i="1"/>
  <c r="N2157" i="1" s="1"/>
  <c r="N2156" i="1"/>
  <c r="L2156" i="1"/>
  <c r="L2155" i="1"/>
  <c r="N2155" i="1" s="1"/>
  <c r="N2154" i="1"/>
  <c r="L2154" i="1"/>
  <c r="L2153" i="1"/>
  <c r="N2153" i="1" s="1"/>
  <c r="N2152" i="1"/>
  <c r="L2152" i="1"/>
  <c r="L2151" i="1"/>
  <c r="N2151" i="1" s="1"/>
  <c r="N2150" i="1"/>
  <c r="L2150" i="1"/>
  <c r="L2149" i="1"/>
  <c r="N2149" i="1" s="1"/>
  <c r="N2148" i="1"/>
  <c r="L2148" i="1"/>
  <c r="L2147" i="1"/>
  <c r="N2147" i="1" s="1"/>
  <c r="N2146" i="1"/>
  <c r="L2146" i="1"/>
  <c r="L2145" i="1"/>
  <c r="N2145" i="1" s="1"/>
  <c r="N2144" i="1"/>
  <c r="L2144" i="1"/>
  <c r="L2143" i="1"/>
  <c r="N2143" i="1" s="1"/>
  <c r="N2142" i="1"/>
  <c r="L2142" i="1"/>
  <c r="L2141" i="1"/>
  <c r="N2141" i="1" s="1"/>
  <c r="N2140" i="1"/>
  <c r="L2140" i="1"/>
  <c r="L2139" i="1"/>
  <c r="N2139" i="1" s="1"/>
  <c r="N2138" i="1"/>
  <c r="L2138" i="1"/>
  <c r="L2137" i="1"/>
  <c r="N2137" i="1" s="1"/>
  <c r="N2136" i="1"/>
  <c r="L2136" i="1"/>
  <c r="L2135" i="1"/>
  <c r="N2135" i="1" s="1"/>
  <c r="N2134" i="1"/>
  <c r="L2134" i="1"/>
  <c r="L2132" i="1"/>
  <c r="N2132" i="1" s="1"/>
  <c r="N2131" i="1"/>
  <c r="L2131" i="1"/>
  <c r="L2130" i="1"/>
  <c r="N2130" i="1" s="1"/>
  <c r="N2129" i="1"/>
  <c r="L2129" i="1"/>
  <c r="L2128" i="1"/>
  <c r="N2128" i="1" s="1"/>
  <c r="N2127" i="1"/>
  <c r="L2127" i="1"/>
  <c r="L2126" i="1"/>
  <c r="N2126" i="1" s="1"/>
  <c r="N2125" i="1"/>
  <c r="L2125" i="1"/>
  <c r="L2124" i="1"/>
  <c r="N2124" i="1" s="1"/>
  <c r="N2123" i="1"/>
  <c r="L2123" i="1"/>
  <c r="L2122" i="1"/>
  <c r="N2122" i="1" s="1"/>
  <c r="N2121" i="1"/>
  <c r="L2121" i="1"/>
  <c r="L2120" i="1"/>
  <c r="N2120" i="1" s="1"/>
  <c r="N2119" i="1"/>
  <c r="L2119" i="1"/>
  <c r="L2118" i="1"/>
  <c r="N2118" i="1" s="1"/>
  <c r="L2117" i="1"/>
  <c r="N2117" i="1" s="1"/>
  <c r="L2116" i="1"/>
  <c r="N2116" i="1" s="1"/>
  <c r="L2115" i="1"/>
  <c r="N2115" i="1" s="1"/>
  <c r="L2114" i="1"/>
  <c r="N2114" i="1" s="1"/>
  <c r="L2113" i="1"/>
  <c r="N2113" i="1" s="1"/>
  <c r="L2112" i="1"/>
  <c r="N2112" i="1" s="1"/>
  <c r="L2111" i="1"/>
  <c r="N2111" i="1" s="1"/>
  <c r="L2110" i="1"/>
  <c r="N2110" i="1" s="1"/>
  <c r="L2109" i="1"/>
  <c r="N2109" i="1" s="1"/>
  <c r="L2108" i="1"/>
  <c r="N2108" i="1" s="1"/>
  <c r="L2107" i="1"/>
  <c r="N2107" i="1" s="1"/>
  <c r="L2106" i="1"/>
  <c r="N2106" i="1" s="1"/>
  <c r="L2105" i="1"/>
  <c r="N2105" i="1" s="1"/>
  <c r="L2104" i="1"/>
  <c r="N2104" i="1" s="1"/>
  <c r="L2103" i="1"/>
  <c r="N2103" i="1" s="1"/>
  <c r="L2102" i="1"/>
  <c r="N2102" i="1" s="1"/>
  <c r="L2101" i="1"/>
  <c r="N2101" i="1" s="1"/>
  <c r="L2100" i="1"/>
  <c r="N2100" i="1" s="1"/>
  <c r="L2099" i="1"/>
  <c r="N2099" i="1" s="1"/>
  <c r="L2097" i="1"/>
  <c r="N2097" i="1" s="1"/>
  <c r="L2096" i="1"/>
  <c r="N2096" i="1" s="1"/>
  <c r="L2095" i="1"/>
  <c r="N2095" i="1" s="1"/>
  <c r="L2093" i="1"/>
  <c r="N2093" i="1" s="1"/>
  <c r="L2092" i="1"/>
  <c r="N2092" i="1" s="1"/>
  <c r="L2091" i="1"/>
  <c r="N2091" i="1" s="1"/>
  <c r="L2090" i="1"/>
  <c r="N2090" i="1" s="1"/>
  <c r="L2089" i="1"/>
  <c r="N2089" i="1" s="1"/>
  <c r="L2088" i="1"/>
  <c r="N2088" i="1" s="1"/>
  <c r="L2087" i="1"/>
  <c r="N2087" i="1" s="1"/>
  <c r="L2086" i="1"/>
  <c r="N2086" i="1" s="1"/>
  <c r="L2084" i="1"/>
  <c r="N2084" i="1" s="1"/>
  <c r="L2083" i="1"/>
  <c r="N2083" i="1" s="1"/>
  <c r="L2082" i="1"/>
  <c r="N2082" i="1" s="1"/>
  <c r="L2080" i="1"/>
  <c r="N2080" i="1" s="1"/>
  <c r="L2079" i="1"/>
  <c r="N2079" i="1" s="1"/>
  <c r="L2077" i="1"/>
  <c r="N2077" i="1" s="1"/>
  <c r="L2076" i="1"/>
  <c r="N2076" i="1" s="1"/>
  <c r="L2075" i="1"/>
  <c r="N2075" i="1" s="1"/>
  <c r="L2074" i="1"/>
  <c r="N2074" i="1" s="1"/>
  <c r="L2073" i="1"/>
  <c r="N2073" i="1" s="1"/>
  <c r="L2072" i="1"/>
  <c r="N2072" i="1" s="1"/>
  <c r="L2071" i="1"/>
  <c r="N2071" i="1" s="1"/>
  <c r="L2070" i="1"/>
  <c r="N2070" i="1" s="1"/>
  <c r="L2065" i="1"/>
  <c r="N2065" i="1" s="1"/>
  <c r="L2064" i="1"/>
  <c r="N2064" i="1" s="1"/>
  <c r="L2063" i="1"/>
  <c r="N2063" i="1" s="1"/>
  <c r="L2062" i="1"/>
  <c r="N2062" i="1" s="1"/>
  <c r="L2061" i="1"/>
  <c r="N2061" i="1" s="1"/>
  <c r="L2060" i="1"/>
  <c r="N2060" i="1" s="1"/>
  <c r="L2059" i="1"/>
  <c r="N2059" i="1" s="1"/>
  <c r="L2058" i="1"/>
  <c r="N2058" i="1" s="1"/>
  <c r="L2057" i="1"/>
  <c r="N2057" i="1" s="1"/>
  <c r="L2056" i="1"/>
  <c r="N2056" i="1" s="1"/>
  <c r="L2055" i="1"/>
  <c r="N2055" i="1" s="1"/>
  <c r="L2054" i="1"/>
  <c r="N2054" i="1" s="1"/>
  <c r="L2053" i="1"/>
  <c r="N2053"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1" i="1"/>
  <c r="N2031" i="1" s="1"/>
  <c r="L2030" i="1"/>
  <c r="N2030" i="1" s="1"/>
  <c r="L2029" i="1"/>
  <c r="N2029"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N1999" i="1" s="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3" i="1"/>
  <c r="N1983" i="1" s="1"/>
  <c r="L1982" i="1"/>
  <c r="N1982" i="1" s="1"/>
  <c r="L1981" i="1"/>
  <c r="N1981" i="1" s="1"/>
  <c r="L1980" i="1"/>
  <c r="N1980" i="1" s="1"/>
  <c r="L1979" i="1"/>
  <c r="N1979" i="1" s="1"/>
  <c r="L1978" i="1"/>
  <c r="N1978" i="1" s="1"/>
  <c r="L1977" i="1"/>
  <c r="N1977" i="1" s="1"/>
  <c r="L1976" i="1"/>
  <c r="N1976"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5" i="1"/>
  <c r="N1945" i="1" s="1"/>
  <c r="L1944" i="1"/>
  <c r="N1944" i="1" s="1"/>
  <c r="L1943" i="1"/>
  <c r="N1943" i="1" s="1"/>
  <c r="L1940" i="1"/>
  <c r="N1940" i="1" s="1"/>
  <c r="L1939" i="1"/>
  <c r="N1939" i="1" s="1"/>
  <c r="N1938" i="1"/>
  <c r="L1938" i="1"/>
  <c r="L1937" i="1"/>
  <c r="N1937" i="1" s="1"/>
  <c r="L1936" i="1"/>
  <c r="N1936" i="1" s="1"/>
  <c r="L1935" i="1"/>
  <c r="N1935" i="1" s="1"/>
  <c r="N1934" i="1"/>
  <c r="L1934" i="1"/>
  <c r="L1933" i="1"/>
  <c r="N1933" i="1" s="1"/>
  <c r="L1932" i="1"/>
  <c r="N1932" i="1" s="1"/>
  <c r="L1931" i="1"/>
  <c r="N1931" i="1" s="1"/>
  <c r="N1929" i="1"/>
  <c r="L1929" i="1"/>
  <c r="L1928" i="1"/>
  <c r="N1928" i="1" s="1"/>
  <c r="L1927" i="1"/>
  <c r="N1927" i="1" s="1"/>
  <c r="L1926" i="1"/>
  <c r="N1926" i="1" s="1"/>
  <c r="L1925" i="1"/>
  <c r="N1925" i="1" s="1"/>
  <c r="L1923" i="1"/>
  <c r="N1923"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N1871" i="1" s="1"/>
  <c r="L1870" i="1"/>
  <c r="N1870" i="1" s="1"/>
  <c r="L1869" i="1"/>
  <c r="N1869" i="1" s="1"/>
  <c r="L1868" i="1"/>
  <c r="N1868" i="1" s="1"/>
  <c r="L1867" i="1"/>
  <c r="N1867" i="1" s="1"/>
  <c r="L1866" i="1"/>
  <c r="N1866" i="1" s="1"/>
  <c r="L1865" i="1"/>
  <c r="N1865" i="1" s="1"/>
  <c r="L1864" i="1"/>
  <c r="N1864" i="1" s="1"/>
  <c r="L1863" i="1"/>
  <c r="N1863" i="1" s="1"/>
  <c r="L1862" i="1"/>
  <c r="N1862"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5" i="1"/>
  <c r="N1815" i="1" s="1"/>
  <c r="L1814" i="1"/>
  <c r="N1814" i="1" s="1"/>
  <c r="L1813" i="1"/>
  <c r="N1813" i="1" s="1"/>
  <c r="L1812" i="1"/>
  <c r="N1812" i="1" s="1"/>
  <c r="L1811" i="1"/>
  <c r="N1811" i="1" s="1"/>
  <c r="L1810" i="1"/>
  <c r="N1810" i="1" s="1"/>
  <c r="L1809" i="1"/>
  <c r="N1809" i="1" s="1"/>
  <c r="L1808" i="1"/>
  <c r="N1808" i="1" s="1"/>
  <c r="L1807" i="1"/>
  <c r="N1807" i="1" s="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3" i="1"/>
  <c r="N1793" i="1" s="1"/>
  <c r="L1792" i="1"/>
  <c r="N1792" i="1" s="1"/>
  <c r="L1791" i="1"/>
  <c r="N1791" i="1" s="1"/>
  <c r="L1790" i="1"/>
  <c r="N1790" i="1" s="1"/>
  <c r="L1788" i="1"/>
  <c r="N1788" i="1" s="1"/>
  <c r="L1787" i="1"/>
  <c r="N1787" i="1" s="1"/>
  <c r="L1785" i="1"/>
  <c r="N1785" i="1" s="1"/>
  <c r="L1784" i="1"/>
  <c r="N1784" i="1" s="1"/>
  <c r="L1783" i="1"/>
  <c r="N1783"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N1743" i="1" s="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86" i="1"/>
  <c r="N1686" i="1" s="1"/>
  <c r="L1685" i="1"/>
  <c r="N1685" i="1" s="1"/>
  <c r="L1684" i="1"/>
  <c r="N1684" i="1" s="1"/>
  <c r="L1683" i="1"/>
  <c r="N1683" i="1" s="1"/>
  <c r="L1682" i="1"/>
  <c r="N1682" i="1" s="1"/>
  <c r="L1681" i="1"/>
  <c r="N1681" i="1" s="1"/>
  <c r="L1680" i="1"/>
  <c r="N1680" i="1" s="1"/>
  <c r="L1679" i="1"/>
  <c r="N1679" i="1" s="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6" i="1"/>
  <c r="N1646" i="1" s="1"/>
  <c r="L1645" i="1"/>
  <c r="N1645" i="1" s="1"/>
  <c r="L1644" i="1"/>
  <c r="N1644" i="1" s="1"/>
  <c r="L1643" i="1"/>
  <c r="N1643" i="1" s="1"/>
  <c r="L1642" i="1"/>
  <c r="N1642" i="1" s="1"/>
  <c r="L1640" i="1"/>
  <c r="N1640" i="1" s="1"/>
  <c r="L1639" i="1"/>
  <c r="N1639" i="1" s="1"/>
  <c r="L1638" i="1"/>
  <c r="N1638" i="1" s="1"/>
  <c r="L1637" i="1"/>
  <c r="N1637" i="1" s="1"/>
  <c r="L1636" i="1"/>
  <c r="N1636"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8" i="1"/>
  <c r="N1618" i="1" s="1"/>
  <c r="L1617" i="1"/>
  <c r="N1617" i="1" s="1"/>
  <c r="L1616" i="1"/>
  <c r="N1616" i="1" s="1"/>
  <c r="L1615" i="1"/>
  <c r="N1615" i="1" s="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1" i="1"/>
  <c r="N1601"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2" i="1"/>
  <c r="N1552" i="1" s="1"/>
  <c r="L1550" i="1"/>
  <c r="N1550" i="1" s="1"/>
  <c r="L1549" i="1"/>
  <c r="N1549" i="1" s="1"/>
  <c r="L1548" i="1"/>
  <c r="N1548" i="1" s="1"/>
  <c r="L1547" i="1"/>
  <c r="N1547" i="1" s="1"/>
  <c r="L1544" i="1"/>
  <c r="N1544" i="1" s="1"/>
  <c r="L1543" i="1"/>
  <c r="N1543" i="1" s="1"/>
  <c r="L1542" i="1"/>
  <c r="N1542" i="1" s="1"/>
  <c r="L1541" i="1"/>
  <c r="N1541" i="1" s="1"/>
  <c r="L1540" i="1"/>
  <c r="N1540" i="1" s="1"/>
  <c r="L1539" i="1"/>
  <c r="N1539" i="1" s="1"/>
  <c r="L1537" i="1"/>
  <c r="N1537" i="1" s="1"/>
  <c r="L1536" i="1"/>
  <c r="N1536" i="1" s="1"/>
  <c r="L1534" i="1"/>
  <c r="N1534" i="1" s="1"/>
  <c r="L1532" i="1"/>
  <c r="N1532" i="1" s="1"/>
  <c r="L1531" i="1"/>
  <c r="N1531" i="1" s="1"/>
  <c r="L1530" i="1"/>
  <c r="N1530" i="1" s="1"/>
  <c r="L1529" i="1"/>
  <c r="N1529" i="1" s="1"/>
  <c r="L1528" i="1"/>
  <c r="N1528" i="1" s="1"/>
  <c r="L1527" i="1"/>
  <c r="N1527" i="1" s="1"/>
  <c r="L1525" i="1"/>
  <c r="N1525" i="1" s="1"/>
  <c r="L1524" i="1"/>
  <c r="N1524" i="1" s="1"/>
  <c r="L1523" i="1"/>
  <c r="N1523" i="1" s="1"/>
  <c r="N1522" i="1"/>
  <c r="L1522" i="1"/>
  <c r="L1521" i="1"/>
  <c r="N1521" i="1" s="1"/>
  <c r="N1520" i="1"/>
  <c r="L1520" i="1"/>
  <c r="L1519" i="1"/>
  <c r="N1519" i="1" s="1"/>
  <c r="N1518" i="1"/>
  <c r="L1518" i="1"/>
  <c r="L1517" i="1"/>
  <c r="N1517" i="1" s="1"/>
  <c r="N1516" i="1"/>
  <c r="L1516" i="1"/>
  <c r="L1515" i="1"/>
  <c r="N1515" i="1" s="1"/>
  <c r="N1514" i="1"/>
  <c r="L1514" i="1"/>
  <c r="L1513" i="1"/>
  <c r="N1513" i="1" s="1"/>
  <c r="N1512" i="1"/>
  <c r="L1512" i="1"/>
  <c r="L1511" i="1"/>
  <c r="N1511" i="1" s="1"/>
  <c r="N1510" i="1"/>
  <c r="L1510" i="1"/>
  <c r="L1509" i="1"/>
  <c r="N1509" i="1" s="1"/>
  <c r="N1508" i="1"/>
  <c r="L1508" i="1"/>
  <c r="L1507" i="1"/>
  <c r="N1507" i="1" s="1"/>
  <c r="N1506" i="1"/>
  <c r="L1506" i="1"/>
  <c r="L1505" i="1"/>
  <c r="N1505" i="1" s="1"/>
  <c r="N1504" i="1"/>
  <c r="L1504" i="1"/>
  <c r="L1503" i="1"/>
  <c r="N1503" i="1" s="1"/>
  <c r="N1502" i="1"/>
  <c r="L1502" i="1"/>
  <c r="L1501" i="1"/>
  <c r="N1501" i="1" s="1"/>
  <c r="N1500" i="1"/>
  <c r="L1500" i="1"/>
  <c r="L1499" i="1"/>
  <c r="N1499" i="1" s="1"/>
  <c r="N1498" i="1"/>
  <c r="L1498" i="1"/>
  <c r="L1496" i="1"/>
  <c r="N1496" i="1" s="1"/>
  <c r="N1495" i="1"/>
  <c r="L1495" i="1"/>
  <c r="L1494" i="1"/>
  <c r="N1494" i="1" s="1"/>
  <c r="N1493" i="1"/>
  <c r="L1493" i="1"/>
  <c r="L1492" i="1"/>
  <c r="N1492" i="1" s="1"/>
  <c r="N1491" i="1"/>
  <c r="L1491" i="1"/>
  <c r="L1489" i="1"/>
  <c r="N1489" i="1" s="1"/>
  <c r="L1488" i="1"/>
  <c r="N1488" i="1" s="1"/>
  <c r="L1486" i="1"/>
  <c r="N1486" i="1" s="1"/>
  <c r="L1485" i="1"/>
  <c r="N1485" i="1" s="1"/>
  <c r="L1484" i="1"/>
  <c r="N1484" i="1" s="1"/>
  <c r="L1483" i="1"/>
  <c r="N1483" i="1" s="1"/>
  <c r="L1482" i="1"/>
  <c r="N1482" i="1" s="1"/>
  <c r="L1481" i="1"/>
  <c r="N1481" i="1" s="1"/>
  <c r="L1478" i="1"/>
  <c r="N1478" i="1" s="1"/>
  <c r="L1477" i="1"/>
  <c r="N1477" i="1" s="1"/>
  <c r="L1476" i="1"/>
  <c r="N1476" i="1" s="1"/>
  <c r="L1475" i="1"/>
  <c r="N1475" i="1" s="1"/>
  <c r="L1474" i="1"/>
  <c r="N1474" i="1" s="1"/>
  <c r="L1473" i="1"/>
  <c r="N1473" i="1" s="1"/>
  <c r="L1472" i="1"/>
  <c r="N1472" i="1" s="1"/>
  <c r="L1470" i="1"/>
  <c r="N1470" i="1" s="1"/>
  <c r="N1469" i="1"/>
  <c r="L1469" i="1"/>
  <c r="L1468" i="1"/>
  <c r="N1468" i="1" s="1"/>
  <c r="N1467" i="1"/>
  <c r="L1467" i="1"/>
  <c r="L1466" i="1"/>
  <c r="N1466" i="1" s="1"/>
  <c r="N1465" i="1"/>
  <c r="L1465" i="1"/>
  <c r="L1464" i="1"/>
  <c r="N1464" i="1" s="1"/>
  <c r="N1463" i="1"/>
  <c r="L1463" i="1"/>
  <c r="L1462" i="1"/>
  <c r="N1462" i="1" s="1"/>
  <c r="N1461" i="1"/>
  <c r="L1461" i="1"/>
  <c r="L1460" i="1"/>
  <c r="N1460" i="1" s="1"/>
  <c r="N1459" i="1"/>
  <c r="L1459" i="1"/>
  <c r="L1458" i="1"/>
  <c r="N1458" i="1" s="1"/>
  <c r="N1457" i="1"/>
  <c r="L1457" i="1"/>
  <c r="L1456" i="1"/>
  <c r="N1456" i="1" s="1"/>
  <c r="N1455" i="1"/>
  <c r="L1455" i="1"/>
  <c r="L1454" i="1"/>
  <c r="N1454" i="1" s="1"/>
  <c r="N1453" i="1"/>
  <c r="L1453" i="1"/>
  <c r="L1452" i="1"/>
  <c r="N1452" i="1" s="1"/>
  <c r="N1451" i="1"/>
  <c r="L1451" i="1"/>
  <c r="L1449" i="1"/>
  <c r="N1449" i="1" s="1"/>
  <c r="L1448" i="1"/>
  <c r="N1448" i="1" s="1"/>
  <c r="L1447" i="1"/>
  <c r="N1447" i="1" s="1"/>
  <c r="L1446" i="1"/>
  <c r="N1446" i="1" s="1"/>
  <c r="L1445" i="1"/>
  <c r="N1445" i="1" s="1"/>
  <c r="L1444" i="1"/>
  <c r="N1444" i="1" s="1"/>
  <c r="L1443" i="1"/>
  <c r="N1443" i="1" s="1"/>
  <c r="L1442" i="1"/>
  <c r="N1442" i="1" s="1"/>
  <c r="L1441" i="1"/>
  <c r="N1441" i="1" s="1"/>
  <c r="L1440" i="1"/>
  <c r="N1440" i="1" s="1"/>
  <c r="L1439" i="1"/>
  <c r="N1439" i="1" s="1"/>
  <c r="L1438" i="1"/>
  <c r="N1438" i="1" s="1"/>
  <c r="L1437" i="1"/>
  <c r="N1437" i="1" s="1"/>
  <c r="L1436" i="1"/>
  <c r="N1436" i="1" s="1"/>
  <c r="L1435" i="1"/>
  <c r="N1435" i="1" s="1"/>
  <c r="L1433" i="1"/>
  <c r="N1433" i="1" s="1"/>
  <c r="L1432" i="1"/>
  <c r="N1432" i="1" s="1"/>
  <c r="L1430" i="1"/>
  <c r="N1430" i="1" s="1"/>
  <c r="L1429" i="1"/>
  <c r="N1429" i="1" s="1"/>
  <c r="L1428" i="1"/>
  <c r="N1428" i="1" s="1"/>
  <c r="L1427" i="1"/>
  <c r="N1427" i="1" s="1"/>
  <c r="L1426" i="1"/>
  <c r="N1426" i="1" s="1"/>
  <c r="L1425" i="1"/>
  <c r="N1425" i="1" s="1"/>
  <c r="L1424" i="1"/>
  <c r="N1424" i="1" s="1"/>
  <c r="L1423" i="1"/>
  <c r="N1423" i="1" s="1"/>
  <c r="L1422" i="1"/>
  <c r="N1422" i="1" s="1"/>
  <c r="L1421" i="1"/>
  <c r="N1421" i="1" s="1"/>
  <c r="L1420" i="1"/>
  <c r="N1420" i="1" s="1"/>
  <c r="L1419" i="1"/>
  <c r="N1419" i="1" s="1"/>
  <c r="L1418" i="1"/>
  <c r="N1418" i="1" s="1"/>
  <c r="L1416" i="1"/>
  <c r="N1416" i="1" s="1"/>
  <c r="L1413" i="1"/>
  <c r="N1413" i="1" s="1"/>
  <c r="L1412" i="1"/>
  <c r="N1412" i="1" s="1"/>
  <c r="L1411" i="1"/>
  <c r="N1411" i="1" s="1"/>
  <c r="L1410" i="1"/>
  <c r="N1410" i="1" s="1"/>
  <c r="L1409" i="1"/>
  <c r="N1409" i="1" s="1"/>
  <c r="L1407" i="1"/>
  <c r="N1407" i="1" s="1"/>
  <c r="L1406" i="1"/>
  <c r="N1406" i="1" s="1"/>
  <c r="L1405" i="1"/>
  <c r="N1405" i="1" s="1"/>
  <c r="L1403" i="1"/>
  <c r="N1403" i="1" s="1"/>
  <c r="L1400" i="1"/>
  <c r="N1400" i="1" s="1"/>
  <c r="L1399" i="1"/>
  <c r="N1399" i="1" s="1"/>
  <c r="L1398" i="1"/>
  <c r="N1398" i="1" s="1"/>
  <c r="L1397" i="1"/>
  <c r="N1397" i="1" s="1"/>
  <c r="L1396" i="1"/>
  <c r="N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79" i="1"/>
  <c r="N1379" i="1" s="1"/>
  <c r="L1378" i="1"/>
  <c r="N1378" i="1" s="1"/>
  <c r="L1377" i="1"/>
  <c r="N1377" i="1" s="1"/>
  <c r="L1376" i="1"/>
  <c r="N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5" i="1"/>
  <c r="N1345" i="1" s="1"/>
  <c r="L1344" i="1"/>
  <c r="N1344" i="1" s="1"/>
  <c r="L1343" i="1"/>
  <c r="N1343" i="1" s="1"/>
  <c r="L1342" i="1"/>
  <c r="N1342" i="1" s="1"/>
  <c r="L1341" i="1"/>
  <c r="N1341" i="1" s="1"/>
  <c r="L1340" i="1"/>
  <c r="N1340" i="1" s="1"/>
  <c r="L1338" i="1"/>
  <c r="N1338" i="1" s="1"/>
  <c r="L1337" i="1"/>
  <c r="N1337" i="1" s="1"/>
  <c r="L1336" i="1"/>
  <c r="N1336" i="1" s="1"/>
  <c r="L1335" i="1"/>
  <c r="N1335" i="1" s="1"/>
  <c r="L1334" i="1"/>
  <c r="N1334" i="1" s="1"/>
  <c r="L1332" i="1"/>
  <c r="N1332" i="1" s="1"/>
  <c r="L1331" i="1"/>
  <c r="N1331" i="1" s="1"/>
  <c r="L1330" i="1"/>
  <c r="N1330" i="1" s="1"/>
  <c r="L1329" i="1"/>
  <c r="N1329" i="1" s="1"/>
  <c r="L1328" i="1"/>
  <c r="N1328" i="1" s="1"/>
  <c r="L1323" i="1"/>
  <c r="N1323" i="1" s="1"/>
  <c r="L1322" i="1"/>
  <c r="N1322" i="1" s="1"/>
  <c r="L1321" i="1"/>
  <c r="N1321" i="1" s="1"/>
  <c r="L1320" i="1"/>
  <c r="N1320" i="1" s="1"/>
  <c r="L1319" i="1"/>
  <c r="N1319" i="1" s="1"/>
  <c r="L1318" i="1"/>
  <c r="N1318" i="1" s="1"/>
  <c r="N1317" i="1"/>
  <c r="L1317" i="1"/>
  <c r="L1314" i="1"/>
  <c r="N1314" i="1" s="1"/>
  <c r="N1313" i="1"/>
  <c r="L1313" i="1"/>
  <c r="L1312" i="1"/>
  <c r="N1312" i="1" s="1"/>
  <c r="N1311" i="1"/>
  <c r="L1311" i="1"/>
  <c r="L1310" i="1"/>
  <c r="N1310" i="1" s="1"/>
  <c r="N1309" i="1"/>
  <c r="L1309" i="1"/>
  <c r="L1308" i="1"/>
  <c r="N1308" i="1" s="1"/>
  <c r="N1307" i="1"/>
  <c r="L1307" i="1"/>
  <c r="L1306" i="1"/>
  <c r="N1306" i="1" s="1"/>
  <c r="N1305" i="1"/>
  <c r="L1305" i="1"/>
  <c r="L1304" i="1"/>
  <c r="N1304" i="1" s="1"/>
  <c r="N1303" i="1"/>
  <c r="L1303" i="1"/>
  <c r="L1302" i="1"/>
  <c r="N1302" i="1" s="1"/>
  <c r="N1301" i="1"/>
  <c r="L1301" i="1"/>
  <c r="L1298" i="1"/>
  <c r="N1298" i="1" s="1"/>
  <c r="N1297" i="1"/>
  <c r="L1297" i="1"/>
  <c r="L1296" i="1"/>
  <c r="N1296" i="1" s="1"/>
  <c r="N1295" i="1"/>
  <c r="L1295" i="1"/>
  <c r="L1294" i="1"/>
  <c r="N1294" i="1" s="1"/>
  <c r="N1293" i="1"/>
  <c r="L1293" i="1"/>
  <c r="L1292" i="1"/>
  <c r="N1292" i="1" s="1"/>
  <c r="N1291" i="1"/>
  <c r="L1291" i="1"/>
  <c r="L1290" i="1"/>
  <c r="N1290" i="1" s="1"/>
  <c r="N1289" i="1"/>
  <c r="L1289" i="1"/>
  <c r="L1288" i="1"/>
  <c r="N1288" i="1" s="1"/>
  <c r="N1287" i="1"/>
  <c r="L1287" i="1"/>
  <c r="L1286" i="1"/>
  <c r="N1286" i="1" s="1"/>
  <c r="L1285" i="1"/>
  <c r="N1285" i="1" s="1"/>
  <c r="L1284" i="1"/>
  <c r="N1284" i="1" s="1"/>
  <c r="L1283" i="1"/>
  <c r="N1283" i="1" s="1"/>
  <c r="L1282" i="1"/>
  <c r="N1282" i="1" s="1"/>
  <c r="L1281" i="1"/>
  <c r="N1281" i="1" s="1"/>
  <c r="L1280" i="1"/>
  <c r="N1280"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L1267" i="1"/>
  <c r="N1267" i="1" s="1"/>
  <c r="L1266" i="1"/>
  <c r="N1266" i="1" s="1"/>
  <c r="L1265" i="1"/>
  <c r="N1265" i="1" s="1"/>
  <c r="L1264" i="1"/>
  <c r="N1264" i="1" s="1"/>
  <c r="L1263" i="1"/>
  <c r="N1263" i="1" s="1"/>
  <c r="L1262" i="1"/>
  <c r="N1262" i="1" s="1"/>
  <c r="L1261" i="1"/>
  <c r="N1261" i="1" s="1"/>
  <c r="L1260" i="1"/>
  <c r="N1260" i="1" s="1"/>
  <c r="L1258" i="1"/>
  <c r="N1258" i="1" s="1"/>
  <c r="L1257" i="1"/>
  <c r="N1257" i="1" s="1"/>
  <c r="L1256" i="1"/>
  <c r="N1256" i="1" s="1"/>
  <c r="N1255" i="1"/>
  <c r="L1255" i="1"/>
  <c r="L1254" i="1"/>
  <c r="N1254" i="1" s="1"/>
  <c r="N1253" i="1"/>
  <c r="L1253" i="1"/>
  <c r="L1252" i="1"/>
  <c r="N1252" i="1" s="1"/>
  <c r="N1251" i="1"/>
  <c r="L1251" i="1"/>
  <c r="L1250" i="1"/>
  <c r="N1250" i="1" s="1"/>
  <c r="N1249" i="1"/>
  <c r="L1249" i="1"/>
  <c r="L1248" i="1"/>
  <c r="N1248" i="1" s="1"/>
  <c r="N1247" i="1"/>
  <c r="L1247" i="1"/>
  <c r="L1246" i="1"/>
  <c r="N1246" i="1" s="1"/>
  <c r="N1245" i="1"/>
  <c r="L1245" i="1"/>
  <c r="L1244" i="1"/>
  <c r="N1244" i="1" s="1"/>
  <c r="N1243" i="1"/>
  <c r="L1243" i="1"/>
  <c r="L1242" i="1"/>
  <c r="N1242" i="1" s="1"/>
  <c r="N1241" i="1"/>
  <c r="L1241" i="1"/>
  <c r="L1240" i="1"/>
  <c r="N1240" i="1" s="1"/>
  <c r="N1239" i="1"/>
  <c r="L1239" i="1"/>
  <c r="L1238" i="1"/>
  <c r="N1238"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09" i="1"/>
  <c r="N1209" i="1" s="1"/>
  <c r="L1208" i="1"/>
  <c r="N1208" i="1" s="1"/>
  <c r="L1207" i="1"/>
  <c r="N1207" i="1" s="1"/>
  <c r="L1206" i="1"/>
  <c r="N1206" i="1" s="1"/>
  <c r="L1205" i="1"/>
  <c r="N1205" i="1" s="1"/>
  <c r="L1204" i="1"/>
  <c r="N1204" i="1" s="1"/>
  <c r="L1201" i="1"/>
  <c r="N1201" i="1" s="1"/>
  <c r="L1200" i="1"/>
  <c r="N1200" i="1" s="1"/>
  <c r="L1199" i="1"/>
  <c r="N1199" i="1" s="1"/>
  <c r="L1198" i="1"/>
  <c r="N1198" i="1" s="1"/>
  <c r="L1197" i="1"/>
  <c r="N1197" i="1" s="1"/>
  <c r="L1196" i="1"/>
  <c r="N1196" i="1" s="1"/>
  <c r="L1195" i="1"/>
  <c r="N1195" i="1" s="1"/>
  <c r="L1194" i="1"/>
  <c r="N1194" i="1" s="1"/>
  <c r="L1193" i="1"/>
  <c r="N1193" i="1" s="1"/>
  <c r="L1191" i="1"/>
  <c r="N1191" i="1" s="1"/>
  <c r="L1190" i="1"/>
  <c r="N1190" i="1" s="1"/>
  <c r="L1189" i="1"/>
  <c r="N1189" i="1" s="1"/>
  <c r="L1188" i="1"/>
  <c r="N1188" i="1" s="1"/>
  <c r="L1187" i="1"/>
  <c r="N1187" i="1" s="1"/>
  <c r="L1186" i="1"/>
  <c r="N1186" i="1" s="1"/>
  <c r="L1185" i="1"/>
  <c r="N1185" i="1" s="1"/>
  <c r="L1184" i="1"/>
  <c r="N1184" i="1" s="1"/>
  <c r="L1183" i="1"/>
  <c r="N1183" i="1" s="1"/>
  <c r="L1182" i="1"/>
  <c r="N1182" i="1" s="1"/>
  <c r="L1181" i="1"/>
  <c r="N1181" i="1" s="1"/>
  <c r="L1180" i="1"/>
  <c r="N1180" i="1" s="1"/>
  <c r="L1179" i="1"/>
  <c r="N1179" i="1" s="1"/>
  <c r="N1177" i="1"/>
  <c r="L1177" i="1"/>
  <c r="L1175" i="1"/>
  <c r="N1175" i="1" s="1"/>
  <c r="L1173" i="1"/>
  <c r="N1173"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8" i="1"/>
  <c r="N1158" i="1" s="1"/>
  <c r="L1157" i="1"/>
  <c r="N1157" i="1" s="1"/>
  <c r="L1156" i="1"/>
  <c r="N1156" i="1" s="1"/>
  <c r="L1155" i="1"/>
  <c r="N1155" i="1" s="1"/>
  <c r="L1154" i="1"/>
  <c r="N1154" i="1" s="1"/>
  <c r="N1153" i="1"/>
  <c r="L1153" i="1"/>
  <c r="L1151" i="1"/>
  <c r="N1151" i="1" s="1"/>
  <c r="N1150" i="1"/>
  <c r="L1150" i="1"/>
  <c r="L1149" i="1"/>
  <c r="N1149" i="1" s="1"/>
  <c r="N1148" i="1"/>
  <c r="L1148" i="1"/>
  <c r="L1147" i="1"/>
  <c r="N1147" i="1" s="1"/>
  <c r="N1146" i="1"/>
  <c r="L1146" i="1"/>
  <c r="L1144" i="1"/>
  <c r="N1144" i="1" s="1"/>
  <c r="N1143" i="1"/>
  <c r="L1143" i="1"/>
  <c r="L1142" i="1"/>
  <c r="N1142" i="1" s="1"/>
  <c r="L1141" i="1"/>
  <c r="N1141" i="1" s="1"/>
  <c r="L1140" i="1"/>
  <c r="N1140" i="1" s="1"/>
  <c r="L1139" i="1"/>
  <c r="N1139" i="1" s="1"/>
  <c r="L1138" i="1"/>
  <c r="N1138" i="1" s="1"/>
  <c r="L1136" i="1"/>
  <c r="N1136" i="1" s="1"/>
  <c r="L1135" i="1"/>
  <c r="N1135" i="1" s="1"/>
  <c r="L1134" i="1"/>
  <c r="N1134"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0" i="1"/>
  <c r="N1120" i="1" s="1"/>
  <c r="L1119" i="1"/>
  <c r="N1119"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L1093" i="1"/>
  <c r="N1093" i="1" s="1"/>
  <c r="L1092" i="1"/>
  <c r="N1092" i="1" s="1"/>
  <c r="L1091" i="1"/>
  <c r="N1091" i="1" s="1"/>
  <c r="L1090" i="1"/>
  <c r="N1090" i="1" s="1"/>
  <c r="L1089" i="1"/>
  <c r="N1089"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L1050" i="1"/>
  <c r="N1050" i="1" s="1"/>
  <c r="L1049" i="1"/>
  <c r="N1049" i="1" s="1"/>
  <c r="L1048" i="1"/>
  <c r="N1048" i="1" s="1"/>
  <c r="L1047" i="1"/>
  <c r="N1047" i="1" s="1"/>
  <c r="L1046" i="1"/>
  <c r="N1046" i="1" s="1"/>
  <c r="L1045" i="1"/>
  <c r="N1045" i="1" s="1"/>
  <c r="L1044" i="1"/>
  <c r="N1044" i="1" s="1"/>
  <c r="L1043" i="1"/>
  <c r="N1043" i="1" s="1"/>
  <c r="L1042" i="1"/>
  <c r="N1042" i="1" s="1"/>
  <c r="L1041" i="1"/>
  <c r="N1041" i="1" s="1"/>
  <c r="L1040" i="1"/>
  <c r="N1040" i="1" s="1"/>
  <c r="L1039" i="1"/>
  <c r="N1039" i="1" s="1"/>
  <c r="L1038" i="1"/>
  <c r="N1038" i="1" s="1"/>
  <c r="L1037" i="1"/>
  <c r="N1037" i="1" s="1"/>
  <c r="L1036" i="1"/>
  <c r="N1036" i="1" s="1"/>
  <c r="L1035" i="1"/>
  <c r="N1035" i="1" s="1"/>
  <c r="L1034" i="1"/>
  <c r="N1034" i="1" s="1"/>
  <c r="L1033" i="1"/>
  <c r="N1033" i="1" s="1"/>
  <c r="L1032" i="1"/>
  <c r="N1032" i="1" s="1"/>
  <c r="L1031" i="1"/>
  <c r="N1031" i="1" s="1"/>
  <c r="L1030" i="1"/>
  <c r="N1030" i="1" s="1"/>
  <c r="L1029" i="1"/>
  <c r="N1029" i="1" s="1"/>
  <c r="L1028" i="1"/>
  <c r="N1028" i="1" s="1"/>
  <c r="L1027" i="1"/>
  <c r="N1027" i="1" s="1"/>
  <c r="L1026" i="1"/>
  <c r="N1026" i="1" s="1"/>
  <c r="N1024" i="1"/>
  <c r="L1024" i="1"/>
  <c r="L1023" i="1"/>
  <c r="N1023" i="1" s="1"/>
  <c r="N1022" i="1"/>
  <c r="L1022" i="1"/>
  <c r="L1021" i="1"/>
  <c r="N1021" i="1" s="1"/>
  <c r="L1019" i="1"/>
  <c r="N1019" i="1" s="1"/>
  <c r="L1018" i="1"/>
  <c r="N1018" i="1" s="1"/>
  <c r="L1017" i="1"/>
  <c r="N1017" i="1" s="1"/>
  <c r="L1016" i="1"/>
  <c r="N1016" i="1" s="1"/>
  <c r="L1015" i="1"/>
  <c r="N1015" i="1" s="1"/>
  <c r="L1014" i="1"/>
  <c r="N1014" i="1" s="1"/>
  <c r="L1013" i="1"/>
  <c r="N1013" i="1" s="1"/>
  <c r="L1012" i="1"/>
  <c r="N1012" i="1" s="1"/>
  <c r="L1011" i="1"/>
  <c r="N1011" i="1" s="1"/>
  <c r="L1010" i="1"/>
  <c r="N1010" i="1" s="1"/>
  <c r="L1009" i="1"/>
  <c r="N1009" i="1" s="1"/>
  <c r="L1008" i="1"/>
  <c r="N1008" i="1" s="1"/>
  <c r="L1007" i="1"/>
  <c r="N1007" i="1" s="1"/>
  <c r="L1006" i="1"/>
  <c r="N1006" i="1" s="1"/>
  <c r="L1005" i="1"/>
  <c r="N1005" i="1" s="1"/>
  <c r="L1004" i="1"/>
  <c r="N1004" i="1" s="1"/>
  <c r="L1003" i="1"/>
  <c r="N1003" i="1" s="1"/>
  <c r="L1002" i="1"/>
  <c r="N1002" i="1" s="1"/>
  <c r="L1000" i="1"/>
  <c r="N1000" i="1" s="1"/>
  <c r="L999" i="1"/>
  <c r="N999" i="1" s="1"/>
  <c r="L997" i="1"/>
  <c r="N997" i="1" s="1"/>
  <c r="L996" i="1"/>
  <c r="N996" i="1" s="1"/>
  <c r="L995" i="1"/>
  <c r="N995" i="1" s="1"/>
  <c r="L994" i="1"/>
  <c r="N994" i="1" s="1"/>
  <c r="L993" i="1"/>
  <c r="N993" i="1" s="1"/>
  <c r="L992" i="1"/>
  <c r="N992" i="1" s="1"/>
  <c r="L991" i="1"/>
  <c r="N991" i="1" s="1"/>
  <c r="L990" i="1"/>
  <c r="N990" i="1" s="1"/>
  <c r="L989" i="1"/>
  <c r="N989" i="1" s="1"/>
  <c r="L986" i="1"/>
  <c r="N986" i="1" s="1"/>
  <c r="L985" i="1"/>
  <c r="N985" i="1" s="1"/>
  <c r="L984" i="1"/>
  <c r="N984" i="1" s="1"/>
  <c r="L983" i="1"/>
  <c r="N983" i="1" s="1"/>
  <c r="L982" i="1"/>
  <c r="N982" i="1" s="1"/>
  <c r="L981" i="1"/>
  <c r="N981" i="1" s="1"/>
  <c r="L980" i="1"/>
  <c r="N980" i="1" s="1"/>
  <c r="L979" i="1"/>
  <c r="N979" i="1" s="1"/>
  <c r="L978" i="1"/>
  <c r="N978" i="1" s="1"/>
  <c r="L977" i="1"/>
  <c r="N977" i="1" s="1"/>
  <c r="L976" i="1"/>
  <c r="N976" i="1" s="1"/>
  <c r="L975" i="1"/>
  <c r="N975" i="1" s="1"/>
  <c r="L974" i="1"/>
  <c r="N974" i="1" s="1"/>
  <c r="L973" i="1"/>
  <c r="N973" i="1" s="1"/>
  <c r="L972" i="1"/>
  <c r="N972" i="1" s="1"/>
  <c r="L971" i="1"/>
  <c r="N971" i="1" s="1"/>
  <c r="L970" i="1"/>
  <c r="N970" i="1" s="1"/>
  <c r="L969" i="1"/>
  <c r="N969" i="1" s="1"/>
  <c r="L968" i="1"/>
  <c r="N968" i="1" s="1"/>
  <c r="L967" i="1"/>
  <c r="N967" i="1" s="1"/>
  <c r="L966" i="1"/>
  <c r="N966" i="1" s="1"/>
  <c r="L965" i="1"/>
  <c r="N965" i="1" s="1"/>
  <c r="L964" i="1"/>
  <c r="N964" i="1" s="1"/>
  <c r="L963" i="1"/>
  <c r="N963" i="1" s="1"/>
  <c r="L962" i="1"/>
  <c r="N962" i="1" s="1"/>
  <c r="L961" i="1"/>
  <c r="N961" i="1" s="1"/>
  <c r="L960" i="1"/>
  <c r="N960" i="1" s="1"/>
  <c r="L959" i="1"/>
  <c r="N959" i="1" s="1"/>
  <c r="L958" i="1"/>
  <c r="N958" i="1" s="1"/>
  <c r="L957" i="1"/>
  <c r="N957" i="1" s="1"/>
  <c r="L956" i="1"/>
  <c r="N956" i="1" s="1"/>
  <c r="L954" i="1"/>
  <c r="N954" i="1" s="1"/>
  <c r="L953" i="1"/>
  <c r="N953" i="1" s="1"/>
  <c r="L952" i="1"/>
  <c r="N952" i="1" s="1"/>
  <c r="L951" i="1"/>
  <c r="N951" i="1" s="1"/>
  <c r="L950" i="1"/>
  <c r="N950" i="1" s="1"/>
  <c r="L949" i="1"/>
  <c r="N949" i="1" s="1"/>
  <c r="L948" i="1"/>
  <c r="N948" i="1" s="1"/>
  <c r="L947" i="1"/>
  <c r="N947" i="1" s="1"/>
  <c r="L946" i="1"/>
  <c r="N946" i="1" s="1"/>
  <c r="L945" i="1"/>
  <c r="N945" i="1" s="1"/>
  <c r="L944" i="1"/>
  <c r="N944" i="1" s="1"/>
  <c r="L943" i="1"/>
  <c r="N943" i="1" s="1"/>
  <c r="L941" i="1"/>
  <c r="N941" i="1" s="1"/>
  <c r="L940" i="1"/>
  <c r="N940" i="1" s="1"/>
  <c r="L939" i="1"/>
  <c r="N939" i="1" s="1"/>
  <c r="L938" i="1"/>
  <c r="N938" i="1" s="1"/>
  <c r="L937" i="1"/>
  <c r="N937" i="1" s="1"/>
  <c r="L936" i="1"/>
  <c r="N936" i="1" s="1"/>
  <c r="L935" i="1"/>
  <c r="N935" i="1" s="1"/>
  <c r="L934" i="1"/>
  <c r="N934" i="1" s="1"/>
  <c r="N933" i="1"/>
  <c r="L933" i="1"/>
  <c r="L932" i="1"/>
  <c r="N932" i="1" s="1"/>
  <c r="N931" i="1"/>
  <c r="L931" i="1"/>
  <c r="L929" i="1"/>
  <c r="N929" i="1" s="1"/>
  <c r="L928" i="1"/>
  <c r="N928" i="1" s="1"/>
  <c r="L927" i="1"/>
  <c r="N927" i="1" s="1"/>
  <c r="L926" i="1"/>
  <c r="N926" i="1" s="1"/>
  <c r="L925" i="1"/>
  <c r="N925" i="1" s="1"/>
  <c r="L924" i="1"/>
  <c r="N924" i="1" s="1"/>
  <c r="L923" i="1"/>
  <c r="N923" i="1" s="1"/>
  <c r="L922" i="1"/>
  <c r="N922" i="1" s="1"/>
  <c r="L921" i="1"/>
  <c r="N921" i="1" s="1"/>
  <c r="L920" i="1"/>
  <c r="N920" i="1" s="1"/>
  <c r="L919" i="1"/>
  <c r="N919" i="1" s="1"/>
  <c r="L918" i="1"/>
  <c r="N918" i="1" s="1"/>
  <c r="L917" i="1"/>
  <c r="N917" i="1" s="1"/>
  <c r="L916" i="1"/>
  <c r="N916" i="1" s="1"/>
  <c r="L915" i="1"/>
  <c r="N915" i="1" s="1"/>
  <c r="L914" i="1"/>
  <c r="N914" i="1" s="1"/>
  <c r="L913" i="1"/>
  <c r="N913" i="1" s="1"/>
  <c r="L912" i="1"/>
  <c r="N912" i="1" s="1"/>
  <c r="L911" i="1"/>
  <c r="N911" i="1" s="1"/>
  <c r="L910" i="1"/>
  <c r="N910" i="1" s="1"/>
  <c r="L909" i="1"/>
  <c r="N909" i="1" s="1"/>
  <c r="L908" i="1"/>
  <c r="N908" i="1" s="1"/>
  <c r="L907" i="1"/>
  <c r="N907" i="1" s="1"/>
  <c r="L906" i="1"/>
  <c r="N906" i="1" s="1"/>
  <c r="L905" i="1"/>
  <c r="N905" i="1" s="1"/>
  <c r="L904" i="1"/>
  <c r="N904" i="1" s="1"/>
  <c r="L903" i="1"/>
  <c r="N903" i="1" s="1"/>
  <c r="L902" i="1"/>
  <c r="N902" i="1" s="1"/>
  <c r="L901" i="1"/>
  <c r="N901" i="1" s="1"/>
  <c r="L900" i="1"/>
  <c r="N900" i="1" s="1"/>
  <c r="L899" i="1"/>
  <c r="N899" i="1" s="1"/>
  <c r="L898" i="1"/>
  <c r="N898" i="1" s="1"/>
  <c r="L897" i="1"/>
  <c r="N897" i="1" s="1"/>
  <c r="L896" i="1"/>
  <c r="N896" i="1" s="1"/>
  <c r="L895" i="1"/>
  <c r="N895" i="1" s="1"/>
  <c r="L894" i="1"/>
  <c r="N894" i="1" s="1"/>
  <c r="L893" i="1"/>
  <c r="N893" i="1" s="1"/>
  <c r="L892" i="1"/>
  <c r="N892" i="1" s="1"/>
  <c r="L891" i="1"/>
  <c r="N891" i="1" s="1"/>
  <c r="L890" i="1"/>
  <c r="N890" i="1" s="1"/>
  <c r="L889" i="1"/>
  <c r="N889" i="1" s="1"/>
  <c r="L888" i="1"/>
  <c r="N888" i="1" s="1"/>
  <c r="L887" i="1"/>
  <c r="N887" i="1" s="1"/>
  <c r="L886" i="1"/>
  <c r="N886" i="1" s="1"/>
  <c r="L885" i="1"/>
  <c r="N885" i="1" s="1"/>
  <c r="L884" i="1"/>
  <c r="N884" i="1" s="1"/>
  <c r="L883" i="1"/>
  <c r="N883" i="1" s="1"/>
  <c r="L882" i="1"/>
  <c r="N882" i="1" s="1"/>
  <c r="L881" i="1"/>
  <c r="N881" i="1" s="1"/>
  <c r="L880" i="1"/>
  <c r="N880" i="1" s="1"/>
  <c r="L879" i="1"/>
  <c r="N879" i="1" s="1"/>
  <c r="L878" i="1"/>
  <c r="N878" i="1" s="1"/>
  <c r="L877" i="1"/>
  <c r="N877" i="1" s="1"/>
  <c r="L876" i="1"/>
  <c r="N876" i="1" s="1"/>
  <c r="L875" i="1"/>
  <c r="N875" i="1" s="1"/>
  <c r="L874" i="1"/>
  <c r="N874" i="1" s="1"/>
  <c r="L873" i="1"/>
  <c r="N873" i="1" s="1"/>
  <c r="L872" i="1"/>
  <c r="N872" i="1" s="1"/>
  <c r="L871" i="1"/>
  <c r="N871" i="1" s="1"/>
  <c r="L870" i="1"/>
  <c r="N870" i="1" s="1"/>
  <c r="L869" i="1"/>
  <c r="N869" i="1" s="1"/>
  <c r="L868" i="1"/>
  <c r="N868" i="1" s="1"/>
  <c r="L867" i="1"/>
  <c r="N867" i="1" s="1"/>
  <c r="L866" i="1"/>
  <c r="N866" i="1" s="1"/>
  <c r="L865" i="1"/>
  <c r="N865" i="1" s="1"/>
  <c r="L864" i="1"/>
  <c r="N864" i="1" s="1"/>
  <c r="L863" i="1"/>
  <c r="N863" i="1" s="1"/>
  <c r="L862" i="1"/>
  <c r="N862" i="1" s="1"/>
  <c r="L861" i="1"/>
  <c r="N861" i="1" s="1"/>
  <c r="L860" i="1"/>
  <c r="N860" i="1" s="1"/>
  <c r="L859" i="1"/>
  <c r="N859" i="1" s="1"/>
  <c r="L858" i="1"/>
  <c r="N858" i="1" s="1"/>
  <c r="L857" i="1"/>
  <c r="N857" i="1" s="1"/>
  <c r="L856" i="1"/>
  <c r="N856" i="1" s="1"/>
  <c r="L855" i="1"/>
  <c r="N855" i="1" s="1"/>
  <c r="L854" i="1"/>
  <c r="N854" i="1" s="1"/>
  <c r="L853" i="1"/>
  <c r="N853" i="1" s="1"/>
  <c r="L852" i="1"/>
  <c r="N852" i="1" s="1"/>
  <c r="L851" i="1"/>
  <c r="N851" i="1" s="1"/>
  <c r="L850" i="1"/>
  <c r="N850" i="1" s="1"/>
  <c r="L848" i="1"/>
  <c r="N848" i="1" s="1"/>
  <c r="N847" i="1"/>
  <c r="L847" i="1"/>
  <c r="L846" i="1"/>
  <c r="N846" i="1" s="1"/>
  <c r="N845" i="1"/>
  <c r="L845" i="1"/>
  <c r="L844" i="1"/>
  <c r="N844" i="1" s="1"/>
  <c r="N843" i="1"/>
  <c r="L843" i="1"/>
  <c r="L842" i="1"/>
  <c r="N842" i="1" s="1"/>
  <c r="N841" i="1"/>
  <c r="L841" i="1"/>
  <c r="L840" i="1"/>
  <c r="N840" i="1" s="1"/>
  <c r="L838" i="1"/>
  <c r="N838" i="1" s="1"/>
  <c r="L837" i="1"/>
  <c r="N837" i="1" s="1"/>
  <c r="L836" i="1"/>
  <c r="N836" i="1" s="1"/>
  <c r="L835" i="1"/>
  <c r="N835" i="1" s="1"/>
  <c r="L834" i="1"/>
  <c r="N834" i="1" s="1"/>
  <c r="L833" i="1"/>
  <c r="N833" i="1" s="1"/>
  <c r="L832" i="1"/>
  <c r="N832" i="1" s="1"/>
  <c r="L830" i="1"/>
  <c r="N830" i="1" s="1"/>
  <c r="L829" i="1"/>
  <c r="N829" i="1" s="1"/>
  <c r="L826" i="1"/>
  <c r="N826" i="1" s="1"/>
  <c r="L825" i="1"/>
  <c r="N825" i="1" s="1"/>
  <c r="L824" i="1"/>
  <c r="N824" i="1" s="1"/>
  <c r="L823" i="1"/>
  <c r="N823" i="1" s="1"/>
  <c r="L822" i="1"/>
  <c r="N822" i="1" s="1"/>
  <c r="L821" i="1"/>
  <c r="N821" i="1" s="1"/>
  <c r="L820" i="1"/>
  <c r="N820" i="1" s="1"/>
  <c r="L819" i="1"/>
  <c r="N819" i="1" s="1"/>
  <c r="L818" i="1"/>
  <c r="N818" i="1" s="1"/>
  <c r="L817" i="1"/>
  <c r="N817"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L791" i="1"/>
  <c r="N791" i="1" s="1"/>
  <c r="L790" i="1"/>
  <c r="N790" i="1" s="1"/>
  <c r="L789" i="1"/>
  <c r="N789" i="1" s="1"/>
  <c r="L788" i="1"/>
  <c r="N788" i="1" s="1"/>
  <c r="L787" i="1"/>
  <c r="N787" i="1" s="1"/>
  <c r="L786" i="1"/>
  <c r="N786" i="1" s="1"/>
  <c r="L785" i="1"/>
  <c r="N785" i="1" s="1"/>
  <c r="L784" i="1"/>
  <c r="N784" i="1" s="1"/>
  <c r="L783" i="1"/>
  <c r="N783"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N763" i="1"/>
  <c r="L763" i="1"/>
  <c r="L762" i="1"/>
  <c r="N762" i="1" s="1"/>
  <c r="N761" i="1"/>
  <c r="L761" i="1"/>
  <c r="L760" i="1"/>
  <c r="N760" i="1" s="1"/>
  <c r="N759" i="1"/>
  <c r="L759" i="1"/>
  <c r="L758" i="1"/>
  <c r="N758" i="1" s="1"/>
  <c r="N757" i="1"/>
  <c r="L757" i="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4" i="1"/>
  <c r="N734" i="1" s="1"/>
  <c r="N733" i="1"/>
  <c r="L733" i="1"/>
  <c r="L732" i="1"/>
  <c r="N732" i="1" s="1"/>
  <c r="N731" i="1"/>
  <c r="L731" i="1"/>
  <c r="L730" i="1"/>
  <c r="N730" i="1" s="1"/>
  <c r="N729" i="1"/>
  <c r="L729" i="1"/>
  <c r="L728" i="1"/>
  <c r="N728" i="1" s="1"/>
  <c r="N727" i="1"/>
  <c r="L727" i="1"/>
  <c r="L726" i="1"/>
  <c r="N726" i="1" s="1"/>
  <c r="N725" i="1"/>
  <c r="L725" i="1"/>
  <c r="L724" i="1"/>
  <c r="N724" i="1" s="1"/>
  <c r="L722" i="1"/>
  <c r="N722" i="1" s="1"/>
  <c r="L721" i="1"/>
  <c r="N721" i="1" s="1"/>
  <c r="L720" i="1"/>
  <c r="N720" i="1" s="1"/>
  <c r="L719" i="1"/>
  <c r="N719" i="1" s="1"/>
  <c r="N717" i="1"/>
  <c r="L717" i="1"/>
  <c r="L716" i="1"/>
  <c r="N716" i="1" s="1"/>
  <c r="N715" i="1"/>
  <c r="L715" i="1"/>
  <c r="L714" i="1"/>
  <c r="N714" i="1" s="1"/>
  <c r="N713" i="1"/>
  <c r="L713" i="1"/>
  <c r="L712" i="1"/>
  <c r="N712" i="1" s="1"/>
  <c r="N711" i="1"/>
  <c r="L711" i="1"/>
  <c r="L710" i="1"/>
  <c r="N710" i="1" s="1"/>
  <c r="N709" i="1"/>
  <c r="L709" i="1"/>
  <c r="L708" i="1"/>
  <c r="N708" i="1" s="1"/>
  <c r="N707" i="1"/>
  <c r="L707" i="1"/>
  <c r="L706" i="1"/>
  <c r="N706" i="1" s="1"/>
  <c r="N705" i="1"/>
  <c r="L705" i="1"/>
  <c r="L704" i="1"/>
  <c r="N704" i="1" s="1"/>
  <c r="N703" i="1"/>
  <c r="L703" i="1"/>
  <c r="L702" i="1"/>
  <c r="N702" i="1" s="1"/>
  <c r="N701" i="1"/>
  <c r="L701" i="1"/>
  <c r="L700" i="1"/>
  <c r="N700" i="1" s="1"/>
  <c r="N699" i="1"/>
  <c r="L699" i="1"/>
  <c r="L698" i="1"/>
  <c r="N698" i="1" s="1"/>
  <c r="N697" i="1"/>
  <c r="L697" i="1"/>
  <c r="L696" i="1"/>
  <c r="N696" i="1" s="1"/>
  <c r="N695" i="1"/>
  <c r="L695" i="1"/>
  <c r="L694" i="1"/>
  <c r="N694" i="1" s="1"/>
  <c r="N693" i="1"/>
  <c r="L693" i="1"/>
  <c r="L692" i="1"/>
  <c r="N692" i="1" s="1"/>
  <c r="N691" i="1"/>
  <c r="L691" i="1"/>
  <c r="L690" i="1"/>
  <c r="N690" i="1" s="1"/>
  <c r="N689" i="1"/>
  <c r="L689" i="1"/>
  <c r="L688" i="1"/>
  <c r="N688" i="1" s="1"/>
  <c r="N687" i="1"/>
  <c r="L687" i="1"/>
  <c r="L686" i="1"/>
  <c r="N686" i="1" s="1"/>
  <c r="N685" i="1"/>
  <c r="L685" i="1"/>
  <c r="L684" i="1"/>
  <c r="N684" i="1" s="1"/>
  <c r="N683" i="1"/>
  <c r="L683" i="1"/>
  <c r="L682" i="1"/>
  <c r="N682" i="1" s="1"/>
  <c r="N681" i="1"/>
  <c r="L681" i="1"/>
  <c r="L680" i="1"/>
  <c r="N680" i="1" s="1"/>
  <c r="L678" i="1"/>
  <c r="N678" i="1" s="1"/>
  <c r="L677" i="1"/>
  <c r="N677" i="1" s="1"/>
  <c r="L676" i="1"/>
  <c r="N676" i="1" s="1"/>
  <c r="L675" i="1"/>
  <c r="N675" i="1" s="1"/>
  <c r="L674" i="1"/>
  <c r="N674" i="1" s="1"/>
  <c r="L673" i="1"/>
  <c r="N673" i="1" s="1"/>
  <c r="L672" i="1"/>
  <c r="N672" i="1" s="1"/>
  <c r="L671" i="1"/>
  <c r="N671" i="1" s="1"/>
  <c r="L670" i="1"/>
  <c r="N670" i="1" s="1"/>
  <c r="L669" i="1"/>
  <c r="N669" i="1" s="1"/>
  <c r="L668" i="1"/>
  <c r="N668" i="1" s="1"/>
  <c r="L667" i="1"/>
  <c r="N667" i="1" s="1"/>
  <c r="L666" i="1"/>
  <c r="N666" i="1" s="1"/>
  <c r="L665" i="1"/>
  <c r="N665" i="1" s="1"/>
  <c r="L664" i="1"/>
  <c r="N664" i="1" s="1"/>
  <c r="L663" i="1"/>
  <c r="N663" i="1" s="1"/>
  <c r="L662" i="1"/>
  <c r="N662" i="1" s="1"/>
  <c r="L661" i="1"/>
  <c r="N661" i="1" s="1"/>
  <c r="L660" i="1"/>
  <c r="N660" i="1" s="1"/>
  <c r="L659" i="1"/>
  <c r="N659" i="1" s="1"/>
  <c r="L658" i="1"/>
  <c r="N658" i="1" s="1"/>
  <c r="L657" i="1"/>
  <c r="N657" i="1" s="1"/>
  <c r="L656" i="1"/>
  <c r="N656" i="1" s="1"/>
  <c r="L655" i="1"/>
  <c r="N655" i="1" s="1"/>
  <c r="N651" i="1"/>
  <c r="L651" i="1"/>
  <c r="L650" i="1"/>
  <c r="N650" i="1" s="1"/>
  <c r="N649" i="1"/>
  <c r="L649" i="1"/>
  <c r="L648" i="1"/>
  <c r="N648" i="1" s="1"/>
  <c r="N647" i="1"/>
  <c r="L647" i="1"/>
  <c r="L646" i="1"/>
  <c r="N646" i="1" s="1"/>
  <c r="N645" i="1"/>
  <c r="L645" i="1"/>
  <c r="L642" i="1"/>
  <c r="N642" i="1" s="1"/>
  <c r="N641" i="1"/>
  <c r="L641" i="1"/>
  <c r="L640" i="1"/>
  <c r="N640" i="1" s="1"/>
  <c r="N639" i="1"/>
  <c r="L639" i="1"/>
  <c r="L638" i="1"/>
  <c r="N638" i="1" s="1"/>
  <c r="N637" i="1"/>
  <c r="L637" i="1"/>
  <c r="L636" i="1"/>
  <c r="N636" i="1" s="1"/>
  <c r="N635" i="1"/>
  <c r="L635" i="1"/>
  <c r="L634" i="1"/>
  <c r="N634" i="1" s="1"/>
  <c r="N633" i="1"/>
  <c r="L633" i="1"/>
  <c r="L632" i="1"/>
  <c r="N632" i="1" s="1"/>
  <c r="N631" i="1"/>
  <c r="L631" i="1"/>
  <c r="L630" i="1"/>
  <c r="N630" i="1" s="1"/>
  <c r="N629" i="1"/>
  <c r="L629" i="1"/>
  <c r="L628" i="1"/>
  <c r="N628" i="1" s="1"/>
  <c r="N627" i="1"/>
  <c r="L627" i="1"/>
  <c r="L625" i="1"/>
  <c r="N625" i="1" s="1"/>
  <c r="L624" i="1"/>
  <c r="N624" i="1" s="1"/>
  <c r="L623" i="1"/>
  <c r="N623" i="1" s="1"/>
  <c r="L622" i="1"/>
  <c r="N622" i="1" s="1"/>
  <c r="L621" i="1"/>
  <c r="N621" i="1" s="1"/>
  <c r="L620" i="1"/>
  <c r="N620" i="1" s="1"/>
  <c r="L619" i="1"/>
  <c r="N619" i="1" s="1"/>
  <c r="L618" i="1"/>
  <c r="N618" i="1" s="1"/>
  <c r="L617" i="1"/>
  <c r="N617" i="1" s="1"/>
  <c r="L616" i="1"/>
  <c r="N616" i="1" s="1"/>
  <c r="L615" i="1"/>
  <c r="N615" i="1" s="1"/>
  <c r="L614" i="1"/>
  <c r="N614" i="1" s="1"/>
  <c r="L613" i="1"/>
  <c r="N613" i="1" s="1"/>
  <c r="L612" i="1"/>
  <c r="N612" i="1" s="1"/>
  <c r="L611" i="1"/>
  <c r="N611" i="1" s="1"/>
  <c r="L609" i="1"/>
  <c r="N609" i="1" s="1"/>
  <c r="L608" i="1"/>
  <c r="N608" i="1" s="1"/>
  <c r="L607" i="1"/>
  <c r="N607" i="1" s="1"/>
  <c r="L605" i="1"/>
  <c r="N605" i="1" s="1"/>
  <c r="L604" i="1"/>
  <c r="N604" i="1" s="1"/>
  <c r="L603" i="1"/>
  <c r="N603" i="1" s="1"/>
  <c r="L602" i="1"/>
  <c r="N602" i="1" s="1"/>
  <c r="L601" i="1"/>
  <c r="N601" i="1" s="1"/>
  <c r="L600" i="1"/>
  <c r="N600" i="1" s="1"/>
  <c r="L599" i="1"/>
  <c r="N599" i="1" s="1"/>
  <c r="L598" i="1"/>
  <c r="N598" i="1" s="1"/>
  <c r="L597" i="1"/>
  <c r="N597" i="1" s="1"/>
  <c r="L596" i="1"/>
  <c r="N596" i="1" s="1"/>
  <c r="L595" i="1"/>
  <c r="N595" i="1" s="1"/>
  <c r="L594" i="1"/>
  <c r="N594" i="1" s="1"/>
  <c r="L593" i="1"/>
  <c r="N593" i="1" s="1"/>
  <c r="L592" i="1"/>
  <c r="N592" i="1" s="1"/>
  <c r="L591" i="1"/>
  <c r="N591" i="1" s="1"/>
  <c r="L590" i="1"/>
  <c r="N590" i="1" s="1"/>
  <c r="L588" i="1"/>
  <c r="N588" i="1" s="1"/>
  <c r="L587" i="1"/>
  <c r="N587" i="1" s="1"/>
  <c r="L586" i="1"/>
  <c r="N586" i="1" s="1"/>
  <c r="L585" i="1"/>
  <c r="N585" i="1" s="1"/>
  <c r="L584" i="1"/>
  <c r="N584" i="1" s="1"/>
  <c r="L583" i="1"/>
  <c r="N583" i="1" s="1"/>
  <c r="L582" i="1"/>
  <c r="N582" i="1" s="1"/>
  <c r="L581" i="1"/>
  <c r="N581" i="1" s="1"/>
  <c r="L580" i="1"/>
  <c r="N580" i="1" s="1"/>
  <c r="L579" i="1"/>
  <c r="N579" i="1" s="1"/>
  <c r="L578" i="1"/>
  <c r="N578" i="1" s="1"/>
  <c r="L577" i="1"/>
  <c r="N577" i="1" s="1"/>
  <c r="L576" i="1"/>
  <c r="N576" i="1" s="1"/>
  <c r="L575" i="1"/>
  <c r="N575" i="1" s="1"/>
  <c r="L574" i="1"/>
  <c r="N574" i="1" s="1"/>
  <c r="L572" i="1"/>
  <c r="N572" i="1" s="1"/>
  <c r="L571" i="1"/>
  <c r="N571" i="1" s="1"/>
  <c r="L570" i="1"/>
  <c r="N570" i="1" s="1"/>
  <c r="L569" i="1"/>
  <c r="N569" i="1" s="1"/>
  <c r="L568" i="1"/>
  <c r="N568" i="1" s="1"/>
  <c r="L567" i="1"/>
  <c r="N567" i="1" s="1"/>
  <c r="L566" i="1"/>
  <c r="N566" i="1" s="1"/>
  <c r="L565" i="1"/>
  <c r="N565" i="1" s="1"/>
  <c r="L564" i="1"/>
  <c r="N564" i="1" s="1"/>
  <c r="L563" i="1"/>
  <c r="N563" i="1" s="1"/>
  <c r="L562" i="1"/>
  <c r="N562" i="1" s="1"/>
  <c r="L561" i="1"/>
  <c r="N561" i="1" s="1"/>
  <c r="L560" i="1"/>
  <c r="N560" i="1" s="1"/>
  <c r="L559" i="1"/>
  <c r="N559" i="1" s="1"/>
  <c r="L558" i="1"/>
  <c r="N558" i="1" s="1"/>
  <c r="L557" i="1"/>
  <c r="N557" i="1" s="1"/>
  <c r="L555" i="1"/>
  <c r="N555" i="1" s="1"/>
  <c r="L554" i="1"/>
  <c r="N554" i="1" s="1"/>
  <c r="L553" i="1"/>
  <c r="N553" i="1" s="1"/>
  <c r="L552" i="1"/>
  <c r="N552" i="1" s="1"/>
  <c r="L551" i="1"/>
  <c r="N551" i="1" s="1"/>
  <c r="L550" i="1"/>
  <c r="N550" i="1" s="1"/>
  <c r="L549" i="1"/>
  <c r="N549" i="1" s="1"/>
  <c r="L548" i="1"/>
  <c r="N548" i="1" s="1"/>
  <c r="L545" i="1"/>
  <c r="N545" i="1" s="1"/>
  <c r="L544" i="1"/>
  <c r="N544" i="1" s="1"/>
  <c r="L543" i="1"/>
  <c r="N543" i="1" s="1"/>
  <c r="L542" i="1"/>
  <c r="N542" i="1" s="1"/>
  <c r="L541" i="1"/>
  <c r="N541" i="1" s="1"/>
  <c r="L540" i="1"/>
  <c r="N540" i="1" s="1"/>
  <c r="L539" i="1"/>
  <c r="N539" i="1" s="1"/>
  <c r="L538" i="1"/>
  <c r="N538" i="1" s="1"/>
  <c r="L536" i="1"/>
  <c r="N536" i="1" s="1"/>
  <c r="L535" i="1"/>
  <c r="N535" i="1" s="1"/>
  <c r="L534" i="1"/>
  <c r="N534" i="1" s="1"/>
  <c r="L533" i="1"/>
  <c r="N533" i="1" s="1"/>
  <c r="L532" i="1"/>
  <c r="N532" i="1" s="1"/>
  <c r="L531" i="1"/>
  <c r="N531" i="1" s="1"/>
  <c r="L530" i="1"/>
  <c r="N530" i="1" s="1"/>
  <c r="L529" i="1"/>
  <c r="N529" i="1" s="1"/>
  <c r="L528" i="1"/>
  <c r="N528" i="1" s="1"/>
  <c r="L527" i="1"/>
  <c r="N527" i="1" s="1"/>
  <c r="L526" i="1"/>
  <c r="N526" i="1" s="1"/>
  <c r="L525" i="1"/>
  <c r="N525" i="1" s="1"/>
  <c r="L524" i="1"/>
  <c r="N524" i="1" s="1"/>
  <c r="L523" i="1"/>
  <c r="N523" i="1" s="1"/>
  <c r="L522" i="1"/>
  <c r="N522" i="1" s="1"/>
  <c r="L521" i="1"/>
  <c r="N521" i="1" s="1"/>
  <c r="L520" i="1"/>
  <c r="N520" i="1" s="1"/>
  <c r="L519" i="1"/>
  <c r="N519" i="1" s="1"/>
  <c r="L515" i="1"/>
  <c r="N515" i="1" s="1"/>
  <c r="L514" i="1"/>
  <c r="N514" i="1" s="1"/>
  <c r="L513" i="1"/>
  <c r="N513" i="1" s="1"/>
  <c r="L512" i="1"/>
  <c r="N512" i="1" s="1"/>
  <c r="L511" i="1"/>
  <c r="N511" i="1" s="1"/>
  <c r="L510" i="1"/>
  <c r="N510" i="1" s="1"/>
  <c r="L509" i="1"/>
  <c r="N509" i="1" s="1"/>
  <c r="L508" i="1"/>
  <c r="N508" i="1" s="1"/>
  <c r="L507" i="1"/>
  <c r="N507" i="1" s="1"/>
  <c r="L506" i="1"/>
  <c r="N506" i="1" s="1"/>
  <c r="L505" i="1"/>
  <c r="N505" i="1" s="1"/>
  <c r="L504" i="1"/>
  <c r="N504" i="1" s="1"/>
  <c r="L503" i="1"/>
  <c r="N503" i="1" s="1"/>
  <c r="L502" i="1"/>
  <c r="N502" i="1" s="1"/>
  <c r="L501" i="1"/>
  <c r="N501" i="1" s="1"/>
  <c r="L500" i="1"/>
  <c r="N500" i="1" s="1"/>
  <c r="L499" i="1"/>
  <c r="N499" i="1" s="1"/>
  <c r="L498" i="1"/>
  <c r="N498" i="1" s="1"/>
  <c r="L497" i="1"/>
  <c r="N497" i="1" s="1"/>
  <c r="L496" i="1"/>
  <c r="N496" i="1" s="1"/>
  <c r="L495" i="1"/>
  <c r="N495" i="1" s="1"/>
  <c r="L494" i="1"/>
  <c r="N494" i="1" s="1"/>
  <c r="L493" i="1"/>
  <c r="N493" i="1" s="1"/>
  <c r="L492" i="1"/>
  <c r="N492" i="1" s="1"/>
  <c r="L491" i="1"/>
  <c r="N491" i="1" s="1"/>
  <c r="L490" i="1"/>
  <c r="N490" i="1" s="1"/>
  <c r="L489" i="1"/>
  <c r="N489" i="1" s="1"/>
  <c r="L488" i="1"/>
  <c r="N488" i="1" s="1"/>
  <c r="L487" i="1"/>
  <c r="N487" i="1" s="1"/>
  <c r="L486" i="1"/>
  <c r="N486" i="1" s="1"/>
  <c r="L485" i="1"/>
  <c r="N485" i="1" s="1"/>
  <c r="L484" i="1"/>
  <c r="N484" i="1" s="1"/>
  <c r="L483" i="1"/>
  <c r="N483" i="1" s="1"/>
  <c r="L482" i="1"/>
  <c r="N482" i="1" s="1"/>
  <c r="L481" i="1"/>
  <c r="N481" i="1" s="1"/>
  <c r="L480" i="1"/>
  <c r="N480" i="1" s="1"/>
  <c r="L479" i="1"/>
  <c r="N479" i="1" s="1"/>
  <c r="L478" i="1"/>
  <c r="N478" i="1" s="1"/>
  <c r="L477" i="1"/>
  <c r="N477" i="1" s="1"/>
  <c r="L476" i="1"/>
  <c r="N476" i="1" s="1"/>
  <c r="L475" i="1"/>
  <c r="N475" i="1" s="1"/>
  <c r="L474" i="1"/>
  <c r="N474" i="1" s="1"/>
  <c r="L473" i="1"/>
  <c r="N473" i="1" s="1"/>
  <c r="L472" i="1"/>
  <c r="N472" i="1" s="1"/>
  <c r="L471" i="1"/>
  <c r="N471" i="1" s="1"/>
  <c r="L470" i="1"/>
  <c r="N470" i="1" s="1"/>
  <c r="L469" i="1"/>
  <c r="N469" i="1" s="1"/>
  <c r="L468" i="1"/>
  <c r="N468" i="1" s="1"/>
  <c r="L467" i="1"/>
  <c r="N467" i="1" s="1"/>
  <c r="L466" i="1"/>
  <c r="N466" i="1" s="1"/>
  <c r="L465" i="1"/>
  <c r="N465" i="1" s="1"/>
  <c r="L464" i="1"/>
  <c r="N464" i="1" s="1"/>
  <c r="L463" i="1"/>
  <c r="N463" i="1" s="1"/>
  <c r="L462" i="1"/>
  <c r="N462" i="1" s="1"/>
  <c r="L461" i="1"/>
  <c r="N461" i="1" s="1"/>
  <c r="L460" i="1"/>
  <c r="N460" i="1" s="1"/>
  <c r="L459" i="1"/>
  <c r="N459" i="1" s="1"/>
  <c r="L458" i="1"/>
  <c r="N458" i="1" s="1"/>
  <c r="L457" i="1"/>
  <c r="N457" i="1" s="1"/>
  <c r="L456" i="1"/>
  <c r="N456" i="1" s="1"/>
  <c r="L455" i="1"/>
  <c r="N455" i="1" s="1"/>
  <c r="L454" i="1"/>
  <c r="N454" i="1" s="1"/>
  <c r="L453" i="1"/>
  <c r="N453" i="1" s="1"/>
  <c r="L452" i="1"/>
  <c r="N452" i="1" s="1"/>
  <c r="L451" i="1"/>
  <c r="N451" i="1" s="1"/>
  <c r="L450" i="1"/>
  <c r="N450" i="1" s="1"/>
  <c r="L449" i="1"/>
  <c r="N449" i="1" s="1"/>
  <c r="L448" i="1"/>
  <c r="N448" i="1" s="1"/>
  <c r="L447" i="1"/>
  <c r="N447" i="1" s="1"/>
  <c r="L446" i="1"/>
  <c r="N446" i="1" s="1"/>
  <c r="L445" i="1"/>
  <c r="N445" i="1" s="1"/>
  <c r="L444" i="1"/>
  <c r="N444" i="1" s="1"/>
  <c r="L443" i="1"/>
  <c r="N443" i="1" s="1"/>
  <c r="L442" i="1"/>
  <c r="N442" i="1" s="1"/>
  <c r="L440" i="1"/>
  <c r="N440" i="1" s="1"/>
  <c r="L439" i="1"/>
  <c r="N439" i="1" s="1"/>
  <c r="L438" i="1"/>
  <c r="N438" i="1" s="1"/>
  <c r="L437" i="1"/>
  <c r="N437" i="1" s="1"/>
  <c r="L436" i="1"/>
  <c r="N436" i="1" s="1"/>
  <c r="L435" i="1"/>
  <c r="N435" i="1" s="1"/>
  <c r="L434" i="1"/>
  <c r="N434" i="1" s="1"/>
  <c r="L433" i="1"/>
  <c r="N433" i="1" s="1"/>
  <c r="L432" i="1"/>
  <c r="N432" i="1" s="1"/>
  <c r="L431" i="1"/>
  <c r="N431" i="1" s="1"/>
  <c r="L430" i="1"/>
  <c r="N430" i="1" s="1"/>
  <c r="L429" i="1"/>
  <c r="N429" i="1" s="1"/>
  <c r="L428" i="1"/>
  <c r="N428" i="1" s="1"/>
  <c r="L427" i="1"/>
  <c r="N427" i="1" s="1"/>
  <c r="L426" i="1"/>
  <c r="N426" i="1" s="1"/>
  <c r="L425" i="1"/>
  <c r="N425" i="1" s="1"/>
  <c r="L424" i="1"/>
  <c r="N424" i="1" s="1"/>
  <c r="L423" i="1"/>
  <c r="N423" i="1" s="1"/>
  <c r="L422" i="1"/>
  <c r="N422" i="1" s="1"/>
  <c r="L421" i="1"/>
  <c r="N421" i="1" s="1"/>
  <c r="L420" i="1"/>
  <c r="N420" i="1" s="1"/>
  <c r="L418" i="1"/>
  <c r="N418" i="1" s="1"/>
  <c r="L417" i="1"/>
  <c r="N417" i="1" s="1"/>
  <c r="L415" i="1"/>
  <c r="N415" i="1" s="1"/>
  <c r="L414" i="1"/>
  <c r="N414" i="1" s="1"/>
  <c r="L413" i="1"/>
  <c r="N413" i="1" s="1"/>
  <c r="L412" i="1"/>
  <c r="N412" i="1" s="1"/>
  <c r="L411" i="1"/>
  <c r="N411" i="1" s="1"/>
  <c r="L410" i="1"/>
  <c r="N410" i="1" s="1"/>
  <c r="L409" i="1"/>
  <c r="N409" i="1" s="1"/>
  <c r="L407" i="1"/>
  <c r="N407" i="1" s="1"/>
  <c r="L406" i="1"/>
  <c r="N406" i="1" s="1"/>
  <c r="L405" i="1"/>
  <c r="N405" i="1" s="1"/>
  <c r="L404" i="1"/>
  <c r="N404" i="1" s="1"/>
  <c r="L402" i="1"/>
  <c r="N402" i="1" s="1"/>
  <c r="L401" i="1"/>
  <c r="N401" i="1" s="1"/>
  <c r="L400" i="1"/>
  <c r="N400" i="1" s="1"/>
  <c r="L399" i="1"/>
  <c r="N399" i="1" s="1"/>
  <c r="L398" i="1"/>
  <c r="N398" i="1" s="1"/>
  <c r="L397" i="1"/>
  <c r="N397" i="1" s="1"/>
  <c r="L395" i="1"/>
  <c r="N395" i="1" s="1"/>
  <c r="L394" i="1"/>
  <c r="N394" i="1" s="1"/>
  <c r="L393" i="1"/>
  <c r="N393" i="1" s="1"/>
  <c r="L392" i="1"/>
  <c r="N392" i="1" s="1"/>
  <c r="L391" i="1"/>
  <c r="N391" i="1" s="1"/>
  <c r="L390" i="1"/>
  <c r="N390" i="1" s="1"/>
  <c r="L389" i="1"/>
  <c r="N389" i="1" s="1"/>
  <c r="L388" i="1"/>
  <c r="N388" i="1" s="1"/>
  <c r="L387" i="1"/>
  <c r="N387" i="1" s="1"/>
  <c r="L386" i="1"/>
  <c r="N386" i="1" s="1"/>
  <c r="L385" i="1"/>
  <c r="N385" i="1" s="1"/>
  <c r="L384" i="1"/>
  <c r="N384" i="1" s="1"/>
  <c r="L383" i="1"/>
  <c r="N383" i="1" s="1"/>
  <c r="L382" i="1"/>
  <c r="N382" i="1" s="1"/>
  <c r="L381" i="1"/>
  <c r="N381" i="1" s="1"/>
  <c r="L380" i="1"/>
  <c r="N380" i="1" s="1"/>
  <c r="L379" i="1"/>
  <c r="N379" i="1" s="1"/>
  <c r="L378" i="1"/>
  <c r="N378" i="1" s="1"/>
  <c r="L377" i="1"/>
  <c r="N377" i="1" s="1"/>
  <c r="L376" i="1"/>
  <c r="N376" i="1" s="1"/>
  <c r="L375" i="1"/>
  <c r="N375" i="1" s="1"/>
  <c r="L373" i="1"/>
  <c r="N373" i="1" s="1"/>
  <c r="L372" i="1"/>
  <c r="N372" i="1" s="1"/>
  <c r="L370" i="1"/>
  <c r="N370" i="1" s="1"/>
  <c r="L369" i="1"/>
  <c r="N369" i="1" s="1"/>
  <c r="L368" i="1"/>
  <c r="N368" i="1" s="1"/>
  <c r="L367" i="1"/>
  <c r="N367" i="1" s="1"/>
  <c r="L366" i="1"/>
  <c r="N366" i="1" s="1"/>
  <c r="L365" i="1"/>
  <c r="N365" i="1" s="1"/>
  <c r="L364" i="1"/>
  <c r="N364" i="1" s="1"/>
  <c r="L363" i="1"/>
  <c r="N363" i="1" s="1"/>
  <c r="L362" i="1"/>
  <c r="N362" i="1" s="1"/>
  <c r="L361" i="1"/>
  <c r="N361" i="1" s="1"/>
  <c r="L359" i="1"/>
  <c r="N359" i="1" s="1"/>
  <c r="L358" i="1"/>
  <c r="N358" i="1" s="1"/>
  <c r="L357" i="1"/>
  <c r="N357" i="1" s="1"/>
  <c r="L356" i="1"/>
  <c r="N356" i="1" s="1"/>
  <c r="L355" i="1"/>
  <c r="N355" i="1" s="1"/>
  <c r="L353" i="1"/>
  <c r="N353" i="1" s="1"/>
  <c r="L352" i="1"/>
  <c r="N352" i="1" s="1"/>
  <c r="L351" i="1"/>
  <c r="N351" i="1" s="1"/>
  <c r="L350" i="1"/>
  <c r="N350" i="1" s="1"/>
  <c r="L349" i="1"/>
  <c r="N349" i="1" s="1"/>
  <c r="L348" i="1"/>
  <c r="N348" i="1" s="1"/>
  <c r="L346" i="1"/>
  <c r="N346" i="1" s="1"/>
  <c r="L345" i="1"/>
  <c r="N345" i="1" s="1"/>
  <c r="L344" i="1"/>
  <c r="N344" i="1" s="1"/>
  <c r="L343" i="1"/>
  <c r="N343" i="1" s="1"/>
  <c r="L342" i="1"/>
  <c r="N342" i="1" s="1"/>
  <c r="L341" i="1"/>
  <c r="N341" i="1" s="1"/>
  <c r="L340" i="1"/>
  <c r="N340" i="1" s="1"/>
  <c r="L339" i="1"/>
  <c r="N339" i="1" s="1"/>
  <c r="L338" i="1"/>
  <c r="N338" i="1" s="1"/>
  <c r="L337" i="1"/>
  <c r="N337" i="1" s="1"/>
  <c r="L335" i="1"/>
  <c r="N335" i="1" s="1"/>
  <c r="L334" i="1"/>
  <c r="N334" i="1" s="1"/>
  <c r="L333" i="1"/>
  <c r="N333" i="1" s="1"/>
  <c r="L332" i="1"/>
  <c r="N332" i="1" s="1"/>
  <c r="L331" i="1"/>
  <c r="N331" i="1" s="1"/>
  <c r="L330" i="1"/>
  <c r="N330" i="1" s="1"/>
  <c r="L329" i="1"/>
  <c r="N329" i="1" s="1"/>
  <c r="L328" i="1"/>
  <c r="N328" i="1" s="1"/>
  <c r="L327" i="1"/>
  <c r="N327" i="1" s="1"/>
  <c r="L326" i="1"/>
  <c r="N326" i="1" s="1"/>
  <c r="L325" i="1"/>
  <c r="N325" i="1" s="1"/>
  <c r="L324" i="1"/>
  <c r="N324" i="1" s="1"/>
  <c r="L323" i="1"/>
  <c r="N323" i="1" s="1"/>
  <c r="L322" i="1"/>
  <c r="N322" i="1" s="1"/>
  <c r="L320" i="1"/>
  <c r="N320" i="1" s="1"/>
  <c r="L319" i="1"/>
  <c r="N319" i="1" s="1"/>
  <c r="L318" i="1"/>
  <c r="N318" i="1" s="1"/>
  <c r="L317" i="1"/>
  <c r="N317" i="1" s="1"/>
  <c r="L316" i="1"/>
  <c r="N316" i="1" s="1"/>
  <c r="L315" i="1"/>
  <c r="N315" i="1" s="1"/>
  <c r="L314" i="1"/>
  <c r="N314" i="1" s="1"/>
  <c r="L313" i="1"/>
  <c r="N313" i="1" s="1"/>
  <c r="L312" i="1"/>
  <c r="N312" i="1" s="1"/>
  <c r="L311" i="1"/>
  <c r="N311" i="1" s="1"/>
  <c r="L310" i="1"/>
  <c r="N310" i="1" s="1"/>
  <c r="L309" i="1"/>
  <c r="N309" i="1" s="1"/>
  <c r="L308" i="1"/>
  <c r="N308" i="1" s="1"/>
  <c r="L305" i="1"/>
  <c r="N305" i="1" s="1"/>
  <c r="L304" i="1"/>
  <c r="N304" i="1" s="1"/>
  <c r="L303" i="1"/>
  <c r="N303" i="1" s="1"/>
  <c r="L302" i="1"/>
  <c r="N302" i="1" s="1"/>
  <c r="L301" i="1"/>
  <c r="N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6" i="1"/>
  <c r="N256"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39" i="1"/>
  <c r="N239" i="1" s="1"/>
  <c r="N238" i="1"/>
  <c r="L238" i="1"/>
  <c r="L237" i="1"/>
  <c r="N237" i="1" s="1"/>
  <c r="N236" i="1"/>
  <c r="L236" i="1"/>
  <c r="L235" i="1"/>
  <c r="N235" i="1" s="1"/>
  <c r="N234" i="1"/>
  <c r="L234" i="1"/>
  <c r="L233" i="1"/>
  <c r="N233" i="1" s="1"/>
  <c r="N232" i="1"/>
  <c r="L232" i="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3" i="1"/>
  <c r="N213" i="1" s="1"/>
  <c r="N212" i="1"/>
  <c r="L212" i="1"/>
  <c r="L211" i="1"/>
  <c r="N211" i="1" s="1"/>
  <c r="N208" i="1"/>
  <c r="L208" i="1"/>
  <c r="L207" i="1"/>
  <c r="N207" i="1" s="1"/>
  <c r="N206" i="1"/>
  <c r="L206" i="1"/>
  <c r="L205" i="1"/>
  <c r="N205" i="1" s="1"/>
  <c r="N204" i="1"/>
  <c r="L204" i="1"/>
  <c r="L203" i="1"/>
  <c r="N203" i="1" s="1"/>
  <c r="N202" i="1"/>
  <c r="L202" i="1"/>
  <c r="L201" i="1"/>
  <c r="N201" i="1" s="1"/>
  <c r="N200" i="1"/>
  <c r="L200" i="1"/>
  <c r="L199" i="1"/>
  <c r="N199"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2" i="1"/>
  <c r="N172" i="1" s="1"/>
  <c r="N171" i="1"/>
  <c r="L171" i="1"/>
  <c r="L170" i="1"/>
  <c r="N170" i="1" s="1"/>
  <c r="N169" i="1"/>
  <c r="L169" i="1"/>
  <c r="L168" i="1"/>
  <c r="N168" i="1" s="1"/>
  <c r="N167" i="1"/>
  <c r="L167" i="1"/>
  <c r="L166" i="1"/>
  <c r="N166" i="1" s="1"/>
  <c r="N165" i="1"/>
  <c r="L165" i="1"/>
  <c r="L164" i="1"/>
  <c r="N164" i="1" s="1"/>
  <c r="N163" i="1"/>
  <c r="L163" i="1"/>
  <c r="L162" i="1"/>
  <c r="N162" i="1" s="1"/>
  <c r="N161" i="1"/>
  <c r="L161" i="1"/>
  <c r="L160" i="1"/>
  <c r="N160" i="1" s="1"/>
  <c r="N159" i="1"/>
  <c r="L159" i="1"/>
  <c r="L158" i="1"/>
  <c r="N158" i="1" s="1"/>
  <c r="N157" i="1"/>
  <c r="L157" i="1"/>
  <c r="L156" i="1"/>
  <c r="N156" i="1" s="1"/>
  <c r="L154" i="1"/>
  <c r="N154" i="1" s="1"/>
  <c r="L153" i="1"/>
  <c r="N153" i="1" s="1"/>
  <c r="L152" i="1"/>
  <c r="N152" i="1" s="1"/>
  <c r="L151" i="1"/>
  <c r="N151" i="1" s="1"/>
  <c r="L150" i="1"/>
  <c r="N150" i="1" s="1"/>
  <c r="L149" i="1"/>
  <c r="N149" i="1" s="1"/>
  <c r="L148" i="1"/>
  <c r="N148" i="1" s="1"/>
  <c r="L147" i="1"/>
  <c r="N147" i="1" s="1"/>
  <c r="L146" i="1"/>
  <c r="N146" i="1" s="1"/>
  <c r="L144" i="1"/>
  <c r="N144" i="1" s="1"/>
  <c r="L143" i="1"/>
  <c r="N143" i="1" s="1"/>
  <c r="L142" i="1"/>
  <c r="N142" i="1" s="1"/>
  <c r="L141" i="1"/>
  <c r="N141" i="1" s="1"/>
  <c r="L140" i="1"/>
  <c r="N140" i="1" s="1"/>
  <c r="L139" i="1"/>
  <c r="N139" i="1" s="1"/>
  <c r="L138" i="1"/>
  <c r="N138"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N117" i="1"/>
  <c r="L117" i="1"/>
  <c r="L114" i="1"/>
  <c r="N114" i="1" s="1"/>
  <c r="L112" i="1"/>
  <c r="N112" i="1" s="1"/>
  <c r="L111" i="1"/>
  <c r="N111" i="1" s="1"/>
  <c r="L110" i="1"/>
  <c r="N110" i="1" s="1"/>
  <c r="L109" i="1"/>
  <c r="N109" i="1" s="1"/>
  <c r="L108" i="1"/>
  <c r="N108" i="1" s="1"/>
  <c r="L107" i="1"/>
  <c r="N107" i="1" s="1"/>
  <c r="L106" i="1"/>
  <c r="N106" i="1" s="1"/>
  <c r="L104" i="1"/>
  <c r="N104" i="1" s="1"/>
  <c r="N103" i="1"/>
  <c r="L103" i="1"/>
  <c r="L102" i="1"/>
  <c r="N102" i="1" s="1"/>
  <c r="N101" i="1"/>
  <c r="L101" i="1"/>
  <c r="L100" i="1"/>
  <c r="N100" i="1" s="1"/>
  <c r="N99" i="1"/>
  <c r="L99" i="1"/>
  <c r="L98" i="1"/>
  <c r="N98" i="1" s="1"/>
  <c r="N97" i="1"/>
  <c r="L97" i="1"/>
  <c r="L96" i="1"/>
  <c r="N96" i="1" s="1"/>
  <c r="N95" i="1"/>
  <c r="L95" i="1"/>
  <c r="L94" i="1"/>
  <c r="N94" i="1" s="1"/>
  <c r="N93" i="1"/>
  <c r="L93" i="1"/>
  <c r="L92" i="1"/>
  <c r="N92" i="1" s="1"/>
  <c r="N91" i="1"/>
  <c r="L91" i="1"/>
  <c r="L88" i="1"/>
  <c r="N88" i="1" s="1"/>
  <c r="N87" i="1"/>
  <c r="L87" i="1"/>
  <c r="L86" i="1"/>
  <c r="N86" i="1" s="1"/>
  <c r="N85" i="1"/>
  <c r="L85" i="1"/>
  <c r="L84" i="1"/>
  <c r="N84" i="1" s="1"/>
  <c r="N83" i="1"/>
  <c r="L83" i="1"/>
  <c r="L82" i="1"/>
  <c r="N82" i="1" s="1"/>
  <c r="N81" i="1"/>
  <c r="L81" i="1"/>
  <c r="L80" i="1"/>
  <c r="N80" i="1" s="1"/>
  <c r="N79" i="1"/>
  <c r="L79" i="1"/>
  <c r="L78" i="1"/>
  <c r="N78" i="1" s="1"/>
  <c r="N77" i="1"/>
  <c r="L77" i="1"/>
  <c r="L76" i="1"/>
  <c r="N76" i="1" s="1"/>
  <c r="N75" i="1"/>
  <c r="L75" i="1"/>
  <c r="L74" i="1"/>
  <c r="N74" i="1" s="1"/>
  <c r="N73" i="1"/>
  <c r="L73" i="1"/>
  <c r="L72" i="1"/>
  <c r="N72" i="1" s="1"/>
  <c r="N71" i="1"/>
  <c r="L71" i="1"/>
  <c r="L70" i="1"/>
  <c r="N70" i="1" s="1"/>
  <c r="N69" i="1"/>
  <c r="L69" i="1"/>
  <c r="L68" i="1"/>
  <c r="N68" i="1" s="1"/>
  <c r="N67" i="1"/>
  <c r="L67" i="1"/>
  <c r="L66" i="1"/>
  <c r="N66" i="1" s="1"/>
  <c r="L65" i="1"/>
  <c r="N65" i="1" s="1"/>
  <c r="L64" i="1"/>
  <c r="N64" i="1" s="1"/>
  <c r="L63" i="1"/>
  <c r="N63" i="1" s="1"/>
  <c r="L62" i="1"/>
  <c r="N62" i="1" s="1"/>
  <c r="L61" i="1"/>
  <c r="N61" i="1" s="1"/>
  <c r="L60" i="1"/>
  <c r="N60" i="1" s="1"/>
  <c r="L59" i="1"/>
  <c r="N59"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1" i="1"/>
  <c r="N41" i="1" s="1"/>
  <c r="L39" i="1"/>
  <c r="N39" i="1" s="1"/>
  <c r="L38" i="1"/>
  <c r="N38" i="1" s="1"/>
  <c r="L37" i="1"/>
  <c r="N37"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0" i="1"/>
  <c r="N20" i="1" s="1"/>
  <c r="L19" i="1"/>
  <c r="N19" i="1" s="1"/>
  <c r="L18" i="1"/>
  <c r="N18" i="1" s="1"/>
  <c r="L17" i="1"/>
  <c r="N17" i="1" s="1"/>
  <c r="L16" i="1"/>
  <c r="N16" i="1" s="1"/>
  <c r="L15" i="1"/>
  <c r="N15" i="1" s="1"/>
  <c r="L14" i="1"/>
  <c r="N14" i="1" s="1"/>
  <c r="L13" i="1"/>
  <c r="N13" i="1" s="1"/>
  <c r="L12" i="1"/>
  <c r="N12" i="1" s="1"/>
  <c r="L11" i="1"/>
  <c r="N11" i="1" s="1"/>
  <c r="L10" i="1"/>
  <c r="N10" i="1" s="1"/>
  <c r="L7" i="1"/>
  <c r="N7" i="1" s="1"/>
  <c r="L6" i="1"/>
  <c r="N6" i="1" s="1"/>
  <c r="L5" i="1"/>
  <c r="N5" i="1" s="1"/>
  <c r="L4" i="1"/>
  <c r="N4" i="1" s="1"/>
  <c r="L2" i="1"/>
  <c r="N2" i="1" s="1"/>
  <c r="D13" i="2"/>
  <c r="C13" i="2"/>
  <c r="E8" i="2"/>
  <c r="B13" i="2"/>
  <c r="B5" i="2"/>
  <c r="A13" i="2"/>
  <c r="A5" i="2"/>
  <c r="F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<sst xmlns="http://schemas.openxmlformats.org/spreadsheetml/2006/main" count="28343" uniqueCount="4854">
  <si>
    <t>Order Date</t>
  </si>
  <si>
    <t>Transaction Type</t>
  </si>
  <si>
    <t>Order Id</t>
  </si>
  <si>
    <t>Sku</t>
  </si>
  <si>
    <t>Day</t>
  </si>
  <si>
    <t>Month</t>
  </si>
  <si>
    <t>Ship To City</t>
  </si>
  <si>
    <t>Ship To State</t>
  </si>
  <si>
    <t>Sale Amount</t>
  </si>
  <si>
    <t>Comission Fee</t>
  </si>
  <si>
    <t>Net Amount Received</t>
  </si>
  <si>
    <t>Product Cost</t>
  </si>
  <si>
    <t>Profit &amp; Loss</t>
  </si>
  <si>
    <t>01/04/2022</t>
  </si>
  <si>
    <t>Shipment</t>
  </si>
  <si>
    <t>407-0123262-8437149</t>
  </si>
  <si>
    <t>8210 Brown 9</t>
  </si>
  <si>
    <t>April</t>
  </si>
  <si>
    <t>PATNA</t>
  </si>
  <si>
    <t>BIHAR</t>
  </si>
  <si>
    <t>FreeReplacement</t>
  </si>
  <si>
    <t>408-9239129-7321960</t>
  </si>
  <si>
    <t>GHAZIABAD</t>
  </si>
  <si>
    <t>UTTAR PRADESH</t>
  </si>
  <si>
    <t>02/04/2022</t>
  </si>
  <si>
    <t>171-9687147-7067517</t>
  </si>
  <si>
    <t>8210 Brown 7</t>
  </si>
  <si>
    <t>KANIGIRI</t>
  </si>
  <si>
    <t>ANDHRA PRADESH</t>
  </si>
  <si>
    <t>408-7295235-7009911</t>
  </si>
  <si>
    <t>2001 BLACK 08</t>
  </si>
  <si>
    <t>VADODARA</t>
  </si>
  <si>
    <t>GUJARAT</t>
  </si>
  <si>
    <t>2001 BLACK 09</t>
  </si>
  <si>
    <t>407-6312772-3505904</t>
  </si>
  <si>
    <t>6301_Brown_6</t>
  </si>
  <si>
    <t>JORHAT</t>
  </si>
  <si>
    <t>ASSAM</t>
  </si>
  <si>
    <t>408-0662615-7900332</t>
  </si>
  <si>
    <t>8210 Tan 10</t>
  </si>
  <si>
    <t xml:space="preserve">Udhana Surat </t>
  </si>
  <si>
    <t>Gujarat</t>
  </si>
  <si>
    <t>03/04/2022</t>
  </si>
  <si>
    <t>Cancel</t>
  </si>
  <si>
    <t>404-8047412-4385920</t>
  </si>
  <si>
    <t>8210-Tan-6</t>
  </si>
  <si>
    <t>Lucknow</t>
  </si>
  <si>
    <t>408-5489107-7373114</t>
  </si>
  <si>
    <t>8210 Tan 9</t>
  </si>
  <si>
    <t>AHMEDABAD</t>
  </si>
  <si>
    <t>407-2810212-4075530</t>
  </si>
  <si>
    <t>8210 Black 9</t>
  </si>
  <si>
    <t>RAJKOT</t>
  </si>
  <si>
    <t>407-3287196-6243568</t>
  </si>
  <si>
    <t>NAWABGANJ GONDA DISTRICT</t>
  </si>
  <si>
    <t>403-1907963-7609952</t>
  </si>
  <si>
    <t>8501 BLACK 12</t>
  </si>
  <si>
    <t>DEVANAHALLI</t>
  </si>
  <si>
    <t>KARNATAKA</t>
  </si>
  <si>
    <t>04/04/2022</t>
  </si>
  <si>
    <t>171-5721489-9151540</t>
  </si>
  <si>
    <t>AMBARNATH</t>
  </si>
  <si>
    <t>MAHARASHTRA</t>
  </si>
  <si>
    <t>407-5899208-2968340</t>
  </si>
  <si>
    <t>8210 Black 7</t>
  </si>
  <si>
    <t>TINSUKIA</t>
  </si>
  <si>
    <t>405-6507694-4068357</t>
  </si>
  <si>
    <t>2001 BLACK 12</t>
  </si>
  <si>
    <t>VASAI VIRAR</t>
  </si>
  <si>
    <t>407-2707843-1277947</t>
  </si>
  <si>
    <t>501_BLACK_12</t>
  </si>
  <si>
    <t>NASHIK</t>
  </si>
  <si>
    <t>407-3110345-1879500</t>
  </si>
  <si>
    <t>6301_Black_9</t>
  </si>
  <si>
    <t>CHIPPADA PHARMA SEZ</t>
  </si>
  <si>
    <t>402-4907683-1305157</t>
  </si>
  <si>
    <t>2002_BROWN_10</t>
  </si>
  <si>
    <t>KALYAN west</t>
  </si>
  <si>
    <t>407-8079264-0560331</t>
  </si>
  <si>
    <t>BALLIA</t>
  </si>
  <si>
    <t>403-1686165-2718721</t>
  </si>
  <si>
    <t>2001-BLACK-12</t>
  </si>
  <si>
    <t>TUMKUR</t>
  </si>
  <si>
    <t>408-6286616-9451502</t>
  </si>
  <si>
    <t>CHENNAI</t>
  </si>
  <si>
    <t>TAMIL NADU</t>
  </si>
  <si>
    <t>05/04/2022</t>
  </si>
  <si>
    <t>405-9906721-4979501</t>
  </si>
  <si>
    <t>8210 Brown 10</t>
  </si>
  <si>
    <t>thane</t>
  </si>
  <si>
    <t>408-4874910-2630761</t>
  </si>
  <si>
    <t>LUCKNOW</t>
  </si>
  <si>
    <t>405-5523814-0663527</t>
  </si>
  <si>
    <t>8210 Tan 7</t>
  </si>
  <si>
    <t>Kazhipattur</t>
  </si>
  <si>
    <t>404-4975200-1645168</t>
  </si>
  <si>
    <t>Shankarpally</t>
  </si>
  <si>
    <t>TELANGANA</t>
  </si>
  <si>
    <t>403-1428263-9314717</t>
  </si>
  <si>
    <t>06/04/2022</t>
  </si>
  <si>
    <t>404-1299884-8204336</t>
  </si>
  <si>
    <t>NAGPUR</t>
  </si>
  <si>
    <t>406-2742902-3989941</t>
  </si>
  <si>
    <t>6301_Tan_10</t>
  </si>
  <si>
    <t>MUMBAI</t>
  </si>
  <si>
    <t>407-2091877-5582757</t>
  </si>
  <si>
    <t>Refund</t>
  </si>
  <si>
    <t>08/04/2022</t>
  </si>
  <si>
    <t>405-2151158-1951552</t>
  </si>
  <si>
    <t>6301_Brown_8</t>
  </si>
  <si>
    <t>BARAUT</t>
  </si>
  <si>
    <t>405-6585808-0961962</t>
  </si>
  <si>
    <t>6301_Brown_9</t>
  </si>
  <si>
    <t>07/04/2022</t>
  </si>
  <si>
    <t>171-1937995-3921923</t>
  </si>
  <si>
    <t>09/04/2022</t>
  </si>
  <si>
    <t>408-9900572-8958709</t>
  </si>
  <si>
    <t>8210-Black-10</t>
  </si>
  <si>
    <t>NANDYAL</t>
  </si>
  <si>
    <t>404-8352395-2905959</t>
  </si>
  <si>
    <t>4222_BROWN_12</t>
  </si>
  <si>
    <t>Thalassery</t>
  </si>
  <si>
    <t>KERALA</t>
  </si>
  <si>
    <t>408-9950494-1576337</t>
  </si>
  <si>
    <t>HOSUR</t>
  </si>
  <si>
    <t>171-5536728-5828318</t>
  </si>
  <si>
    <t>MUNNAR</t>
  </si>
  <si>
    <t>408-8275199-9233965</t>
  </si>
  <si>
    <t>6301_Black_10</t>
  </si>
  <si>
    <t>PAYAKARAO PETA</t>
  </si>
  <si>
    <t>8210 Black 10</t>
  </si>
  <si>
    <t>11/04/2022</t>
  </si>
  <si>
    <t>407-3222155-3272344</t>
  </si>
  <si>
    <t>2001-BLACK-08</t>
  </si>
  <si>
    <t>BHILWARA</t>
  </si>
  <si>
    <t>RAJASTHAN</t>
  </si>
  <si>
    <t>408-1579542-7011503</t>
  </si>
  <si>
    <t>10/04/2022</t>
  </si>
  <si>
    <t>407-7736682-2265150</t>
  </si>
  <si>
    <t>8501 BLACK 11</t>
  </si>
  <si>
    <t>KAGAZNAGAR</t>
  </si>
  <si>
    <t>404-4783270-8214760</t>
  </si>
  <si>
    <t>8210 Tan 8</t>
  </si>
  <si>
    <t>SEWAI</t>
  </si>
  <si>
    <t>JHARKHAND</t>
  </si>
  <si>
    <t>407-0354022-1930703</t>
  </si>
  <si>
    <t>8505_BROWN_08</t>
  </si>
  <si>
    <t>TIRUPATI</t>
  </si>
  <si>
    <t>AP</t>
  </si>
  <si>
    <t>406-0648479-2298756</t>
  </si>
  <si>
    <t>THANE</t>
  </si>
  <si>
    <t>408-8029839-8853136</t>
  </si>
  <si>
    <t>Indore</t>
  </si>
  <si>
    <t>Madhya Pradesh</t>
  </si>
  <si>
    <t>403-5068799-8529937</t>
  </si>
  <si>
    <t>2002_BROWN_11</t>
  </si>
  <si>
    <t>405-4080280-6496322</t>
  </si>
  <si>
    <t>HYDERABAD</t>
  </si>
  <si>
    <t>404-8669553-6781963</t>
  </si>
  <si>
    <t>BOUDH</t>
  </si>
  <si>
    <t>ODISHA</t>
  </si>
  <si>
    <t>407-4190464-1308349</t>
  </si>
  <si>
    <t>GURUGRAM</t>
  </si>
  <si>
    <t>HARYANA</t>
  </si>
  <si>
    <t>405-5643828-2271546</t>
  </si>
  <si>
    <t>408-4560408-2559540</t>
  </si>
  <si>
    <t>2002_BROWN_12</t>
  </si>
  <si>
    <t>12/04/2022</t>
  </si>
  <si>
    <t>403-7942259-7150768</t>
  </si>
  <si>
    <t>2001-BLACK-10</t>
  </si>
  <si>
    <t>NEW DELHI</t>
  </si>
  <si>
    <t>DELHI</t>
  </si>
  <si>
    <t>408-5061406-4050701</t>
  </si>
  <si>
    <t>NAVI MUMBAI</t>
  </si>
  <si>
    <t>171-3050566-5357109</t>
  </si>
  <si>
    <t>6301_Black_8</t>
  </si>
  <si>
    <t>MAUNATH BHANJAN</t>
  </si>
  <si>
    <t>406-2332971-8532332</t>
  </si>
  <si>
    <t>8210 Tan 6</t>
  </si>
  <si>
    <t>Dimapur</t>
  </si>
  <si>
    <t>NAGALAND</t>
  </si>
  <si>
    <t>404-1901662-1157148</t>
  </si>
  <si>
    <t>1805 BLACK 06</t>
  </si>
  <si>
    <t>NANDED WAGHALA</t>
  </si>
  <si>
    <t>171-0821698-5111518</t>
  </si>
  <si>
    <t>Mumbai</t>
  </si>
  <si>
    <t>Maharashtra</t>
  </si>
  <si>
    <t>13/04/2022</t>
  </si>
  <si>
    <t>404-4653227-6865945</t>
  </si>
  <si>
    <t>8210 Black 8</t>
  </si>
  <si>
    <t>AGRA</t>
  </si>
  <si>
    <t>171-8793841-2823553</t>
  </si>
  <si>
    <t>2001_BROWN_10</t>
  </si>
  <si>
    <t>PIMPRI CHINCHWAD</t>
  </si>
  <si>
    <t>402-7585501-4977106</t>
  </si>
  <si>
    <t>4221_BROWN_10</t>
  </si>
  <si>
    <t>BHIWANDI</t>
  </si>
  <si>
    <t>403-6601577-8726711</t>
  </si>
  <si>
    <t>SURAT</t>
  </si>
  <si>
    <t>14/04/2022</t>
  </si>
  <si>
    <t>406-2544318-3077908</t>
  </si>
  <si>
    <t>2001 BLACK 11</t>
  </si>
  <si>
    <t>Jhajjar</t>
  </si>
  <si>
    <t>Haryana</t>
  </si>
  <si>
    <t>402-3965480-1858702</t>
  </si>
  <si>
    <t>ALLAHABAD</t>
  </si>
  <si>
    <t>403-6953502-8880349</t>
  </si>
  <si>
    <t>8210 Brown 8</t>
  </si>
  <si>
    <t>Hyderabad</t>
  </si>
  <si>
    <t>Telangana</t>
  </si>
  <si>
    <t>403-8058062-1609165</t>
  </si>
  <si>
    <t>BURDWAN</t>
  </si>
  <si>
    <t>WEST BENGAL</t>
  </si>
  <si>
    <t>402-9886469-6329132</t>
  </si>
  <si>
    <t>2002 BLACK 08</t>
  </si>
  <si>
    <t>JAIPUR</t>
  </si>
  <si>
    <t>405-0202378-1275503</t>
  </si>
  <si>
    <t>SARDARSHAHAR</t>
  </si>
  <si>
    <t>406-7505643-8069159</t>
  </si>
  <si>
    <t>15/04/2022</t>
  </si>
  <si>
    <t>402-8807151-0389947</t>
  </si>
  <si>
    <t>6301_Tan_8</t>
  </si>
  <si>
    <t>407-6803355-4877952</t>
  </si>
  <si>
    <t>Ahmedabad</t>
  </si>
  <si>
    <t>16/04/2022</t>
  </si>
  <si>
    <t>403-1114483-1712342</t>
  </si>
  <si>
    <t>408-9943084-3425916</t>
  </si>
  <si>
    <t>Kakkanad</t>
  </si>
  <si>
    <t>407-5471926-1791523</t>
  </si>
  <si>
    <t>406-3533595-0185164</t>
  </si>
  <si>
    <t>406-7465818-6227564</t>
  </si>
  <si>
    <t>SRINAGAR</t>
  </si>
  <si>
    <t>JAMMU   KASHMIR</t>
  </si>
  <si>
    <t>408-3158940-8309965</t>
  </si>
  <si>
    <t>301_BROWN_07</t>
  </si>
  <si>
    <t>PUNE</t>
  </si>
  <si>
    <t>403-0113609-5499575</t>
  </si>
  <si>
    <t>403-4977976-7129902</t>
  </si>
  <si>
    <t>2505 BLACK 08</t>
  </si>
  <si>
    <t>408-1799431-6875551</t>
  </si>
  <si>
    <t>BUTIBORI MIDC</t>
  </si>
  <si>
    <t>404-7755610-4977904</t>
  </si>
  <si>
    <t>8210-Brown-7</t>
  </si>
  <si>
    <t>Perinthalmanna</t>
  </si>
  <si>
    <t>17/04/2022</t>
  </si>
  <si>
    <t>408-8177274-4816316</t>
  </si>
  <si>
    <t>BENGALURU</t>
  </si>
  <si>
    <t>403-9452134-6682764</t>
  </si>
  <si>
    <t>8501 BLACK 08</t>
  </si>
  <si>
    <t>RAIPUR</t>
  </si>
  <si>
    <t>CHHATTISGARH</t>
  </si>
  <si>
    <t>404-1191631-1707559</t>
  </si>
  <si>
    <t>MIHONA</t>
  </si>
  <si>
    <t>MADHYA PRADESH</t>
  </si>
  <si>
    <t>402-5320836-4114704</t>
  </si>
  <si>
    <t>408-1104788-2713164</t>
  </si>
  <si>
    <t>panaji</t>
  </si>
  <si>
    <t>GOA</t>
  </si>
  <si>
    <t>405-1783725-5410751</t>
  </si>
  <si>
    <t>305_BLACK_11</t>
  </si>
  <si>
    <t>VISAKHAPATNAM</t>
  </si>
  <si>
    <t>405-8871080-9062744</t>
  </si>
  <si>
    <t>405-9590102-4064306</t>
  </si>
  <si>
    <t>RANCHI</t>
  </si>
  <si>
    <t>19/04/2022</t>
  </si>
  <si>
    <t>404-2381474-5945107</t>
  </si>
  <si>
    <t>301_BROWN_09</t>
  </si>
  <si>
    <t>18/04/2022</t>
  </si>
  <si>
    <t>406-3660420-9153115</t>
  </si>
  <si>
    <t>8210 Brown 6</t>
  </si>
  <si>
    <t>404-7427711-2444343</t>
  </si>
  <si>
    <t>2501 Black 12</t>
  </si>
  <si>
    <t>NOIDA</t>
  </si>
  <si>
    <t>406-9096713-8186711</t>
  </si>
  <si>
    <t>501_BLACK_08</t>
  </si>
  <si>
    <t>ARVI</t>
  </si>
  <si>
    <t>404-4490797-1974730</t>
  </si>
  <si>
    <t>403-2814713-1201950</t>
  </si>
  <si>
    <t>VAISHALI</t>
  </si>
  <si>
    <t>402-8820390-0895530</t>
  </si>
  <si>
    <t>408-7840600-9505102</t>
  </si>
  <si>
    <t>406-9208105-6009150</t>
  </si>
  <si>
    <t>A 5 BROWN_06</t>
  </si>
  <si>
    <t>402-6506260-3382751</t>
  </si>
  <si>
    <t>8210-Tan-8</t>
  </si>
  <si>
    <t>20/04/2022</t>
  </si>
  <si>
    <t>406-8466662-5761912</t>
  </si>
  <si>
    <t>405-2225428-0510724</t>
  </si>
  <si>
    <t>4221_BROWN_11</t>
  </si>
  <si>
    <t>404-4051137-2177100</t>
  </si>
  <si>
    <t>402-3965100-6915517</t>
  </si>
  <si>
    <t>406-1150050-7242731</t>
  </si>
  <si>
    <t>SM OFQT 0OMM</t>
  </si>
  <si>
    <t>408-2091958-1908321</t>
  </si>
  <si>
    <t>8210 Black 6</t>
  </si>
  <si>
    <t>405-1516207-6784360</t>
  </si>
  <si>
    <t>Coimbatore</t>
  </si>
  <si>
    <t>21/04/2022</t>
  </si>
  <si>
    <t>405-2386901-7377909</t>
  </si>
  <si>
    <t>2501 BLACK 08</t>
  </si>
  <si>
    <t>404-8737768-7278722</t>
  </si>
  <si>
    <t>DARJEELING</t>
  </si>
  <si>
    <t>402-4210749-3369137</t>
  </si>
  <si>
    <t>8505 BLACK 12</t>
  </si>
  <si>
    <t>404-1630099-3789103</t>
  </si>
  <si>
    <t>F5 BRIA PSXO</t>
  </si>
  <si>
    <t>22/04/2022</t>
  </si>
  <si>
    <t>405-6400529-4933909</t>
  </si>
  <si>
    <t>8210-Black-9</t>
  </si>
  <si>
    <t>KOLKATA</t>
  </si>
  <si>
    <t>171-3198168-9321914</t>
  </si>
  <si>
    <t>AGIRIPALLE</t>
  </si>
  <si>
    <t>403-9922528-7095509</t>
  </si>
  <si>
    <t>404-8412396-5450721</t>
  </si>
  <si>
    <t>Bengaluru</t>
  </si>
  <si>
    <t>24/04/2022</t>
  </si>
  <si>
    <t>407-0925535-5302740</t>
  </si>
  <si>
    <t>Vijayawada</t>
  </si>
  <si>
    <t>23/04/2022</t>
  </si>
  <si>
    <t>407-6775880-0678705</t>
  </si>
  <si>
    <t>KARWAR</t>
  </si>
  <si>
    <t>402-5305893-9855544</t>
  </si>
  <si>
    <t>4221_BROWN_12</t>
  </si>
  <si>
    <t>403-4512511-2849126</t>
  </si>
  <si>
    <t>6301_Tan_7</t>
  </si>
  <si>
    <t>406-8022632-5988342</t>
  </si>
  <si>
    <t>402-2872878-0837936</t>
  </si>
  <si>
    <t>URAVAKONDA Mandal  Ananatapur District</t>
  </si>
  <si>
    <t>25/04/2022</t>
  </si>
  <si>
    <t>408-0305472-1102709</t>
  </si>
  <si>
    <t>402-6312077-3730716</t>
  </si>
  <si>
    <t>4222 BLACK 08</t>
  </si>
  <si>
    <t>26/04/2022</t>
  </si>
  <si>
    <t>406-8345114-4281103</t>
  </si>
  <si>
    <t>Mel Padappai</t>
  </si>
  <si>
    <t>402-4932748-2637914</t>
  </si>
  <si>
    <t>HOSKOTE</t>
  </si>
  <si>
    <t>407-6411093-9031529</t>
  </si>
  <si>
    <t>408-5848115-2847559</t>
  </si>
  <si>
    <t>4222_BROWN_06</t>
  </si>
  <si>
    <t>YAVATMAL</t>
  </si>
  <si>
    <t>27/04/2022</t>
  </si>
  <si>
    <t>405-8072679-1934737</t>
  </si>
  <si>
    <t>407-4940333-6789961</t>
  </si>
  <si>
    <t>501_BLACK_10</t>
  </si>
  <si>
    <t>BADLAPUR</t>
  </si>
  <si>
    <t>405-6549775-3952368</t>
  </si>
  <si>
    <t>404-6053987-2934734</t>
  </si>
  <si>
    <t>2002 BLACK 12</t>
  </si>
  <si>
    <t>28/04/2022</t>
  </si>
  <si>
    <t>408-6265490-2984341</t>
  </si>
  <si>
    <t>TIRUNELVELI</t>
  </si>
  <si>
    <t>408-0204044-2481151</t>
  </si>
  <si>
    <t>TALALA</t>
  </si>
  <si>
    <t>406-6511153-6309168</t>
  </si>
  <si>
    <t>2501 BLACK 07</t>
  </si>
  <si>
    <t>CHICHLI</t>
  </si>
  <si>
    <t>29/04/2022</t>
  </si>
  <si>
    <t>402-0046740-1875530</t>
  </si>
  <si>
    <t>COIMBATORE</t>
  </si>
  <si>
    <t>403-3661802-2506705</t>
  </si>
  <si>
    <t>ROURKELA</t>
  </si>
  <si>
    <t>408-8496105-4492303</t>
  </si>
  <si>
    <t>405-2036538-3264361</t>
  </si>
  <si>
    <t>Kundli</t>
  </si>
  <si>
    <t>407-2765951-2792356</t>
  </si>
  <si>
    <t>408-3035571-3641113</t>
  </si>
  <si>
    <t>Jogulamba gadwal</t>
  </si>
  <si>
    <t>30/04/2022</t>
  </si>
  <si>
    <t>403-6635504-6434757</t>
  </si>
  <si>
    <t>405-5221881-9021955</t>
  </si>
  <si>
    <t>407-1316353-2526762</t>
  </si>
  <si>
    <t>404-1602565-7870765</t>
  </si>
  <si>
    <t>407-8520002-6007530</t>
  </si>
  <si>
    <t>404-4222651-4704319</t>
  </si>
  <si>
    <t>KANGRA</t>
  </si>
  <si>
    <t>HIMACHAL PRADESH</t>
  </si>
  <si>
    <t>408-6974938-1808333</t>
  </si>
  <si>
    <t>RP RQG0 Q4D7</t>
  </si>
  <si>
    <t>2001-BLACK-09</t>
  </si>
  <si>
    <t>2001-BLACK-11</t>
  </si>
  <si>
    <t>SM-OFQT-0OMM</t>
  </si>
  <si>
    <t>01/05/2022</t>
  </si>
  <si>
    <t>402-6180085-1228315</t>
  </si>
  <si>
    <t>2001_BROWN_09</t>
  </si>
  <si>
    <t>May</t>
  </si>
  <si>
    <t>406-8624511-7869928</t>
  </si>
  <si>
    <t>8501_BROWN_12</t>
  </si>
  <si>
    <t>408-2882576-0053111</t>
  </si>
  <si>
    <t>1805 BLACK 07</t>
  </si>
  <si>
    <t>406-9214024-7348309</t>
  </si>
  <si>
    <t>Chengalpattu</t>
  </si>
  <si>
    <t>02/05/2022</t>
  </si>
  <si>
    <t>404-4003460-0575509</t>
  </si>
  <si>
    <t>171-5890449-4718757</t>
  </si>
  <si>
    <t>JAGGAMPETA</t>
  </si>
  <si>
    <t>171-9112140-0982767</t>
  </si>
  <si>
    <t>408-3253980-2952339</t>
  </si>
  <si>
    <t>SHILLONG</t>
  </si>
  <si>
    <t>MEGHALAYA</t>
  </si>
  <si>
    <t>408-3075015-0987509</t>
  </si>
  <si>
    <t>CUTTACKcuttack</t>
  </si>
  <si>
    <t>03/05/2022</t>
  </si>
  <si>
    <t>408-3777042-0012344</t>
  </si>
  <si>
    <t>VIRAJPETE</t>
  </si>
  <si>
    <t>405-2079489-8213111</t>
  </si>
  <si>
    <t>Delhi</t>
  </si>
  <si>
    <t>405-5832395-9253122</t>
  </si>
  <si>
    <t>407-8470199-9964307</t>
  </si>
  <si>
    <t>405-2141566-8549167</t>
  </si>
  <si>
    <t>JAMJODHPUR</t>
  </si>
  <si>
    <t>04/05/2022</t>
  </si>
  <si>
    <t>404-7400284-5827505</t>
  </si>
  <si>
    <t>KOTHAMANGALAM</t>
  </si>
  <si>
    <t>403-7448422-7475537</t>
  </si>
  <si>
    <t>JODHPUR</t>
  </si>
  <si>
    <t>403-5128674-7109923</t>
  </si>
  <si>
    <t>INDORE</t>
  </si>
  <si>
    <t>05/05/2022</t>
  </si>
  <si>
    <t>406-0178470-3753119</t>
  </si>
  <si>
    <t>8210-Tan-7</t>
  </si>
  <si>
    <t>BERHAMPORE</t>
  </si>
  <si>
    <t>408-4924319-4573942</t>
  </si>
  <si>
    <t>402-8892815-4753125</t>
  </si>
  <si>
    <t>408-0468317-1199535</t>
  </si>
  <si>
    <t>2501-Black-12</t>
  </si>
  <si>
    <t>406-1443487-8992329</t>
  </si>
  <si>
    <t>404-3383305-8620358</t>
  </si>
  <si>
    <t>403-8637424-8896345</t>
  </si>
  <si>
    <t>06/05/2022</t>
  </si>
  <si>
    <t>405-9231600-8313922</t>
  </si>
  <si>
    <t>1805-BLACK-06</t>
  </si>
  <si>
    <t>171-3668421-3703506</t>
  </si>
  <si>
    <t>407-6195986-9157942</t>
  </si>
  <si>
    <t>8505_BROWN_09</t>
  </si>
  <si>
    <t>BANGALORE</t>
  </si>
  <si>
    <t>08/05/2022</t>
  </si>
  <si>
    <t>408-7706116-2968310</t>
  </si>
  <si>
    <t>403-0317675-1655517</t>
  </si>
  <si>
    <t>408-3507912-2490703</t>
  </si>
  <si>
    <t>8505-BLACK-12</t>
  </si>
  <si>
    <t>KADAPA</t>
  </si>
  <si>
    <t>07/05/2022</t>
  </si>
  <si>
    <t>403-3974911-3248348</t>
  </si>
  <si>
    <t>403-3273156-1709123</t>
  </si>
  <si>
    <t>8210-Black-7</t>
  </si>
  <si>
    <t>10/05/2022</t>
  </si>
  <si>
    <t>171-4079166-7181949</t>
  </si>
  <si>
    <t>8210-Brown-8</t>
  </si>
  <si>
    <t>SECUNDERABAD</t>
  </si>
  <si>
    <t>09/05/2022</t>
  </si>
  <si>
    <t>407-3482925-0542730</t>
  </si>
  <si>
    <t>2001-BLACK-07</t>
  </si>
  <si>
    <t>408-1716728-6955560</t>
  </si>
  <si>
    <t>HARDWAR</t>
  </si>
  <si>
    <t>UTTARAKHAND</t>
  </si>
  <si>
    <t>407-5642434-0892333</t>
  </si>
  <si>
    <t>PORVORIM</t>
  </si>
  <si>
    <t>11/05/2022</t>
  </si>
  <si>
    <t>405-8140048-3243506</t>
  </si>
  <si>
    <t>8501-BLACK-11</t>
  </si>
  <si>
    <t>408-3177752-4599502</t>
  </si>
  <si>
    <t>402-0905467-6561932</t>
  </si>
  <si>
    <t>ORCHHA</t>
  </si>
  <si>
    <t>402-3449366-5297958</t>
  </si>
  <si>
    <t>RAMGARH CANTONMENT CIVIL TOWNSHIP</t>
  </si>
  <si>
    <t>12/05/2022</t>
  </si>
  <si>
    <t>408-0178833-9416360</t>
  </si>
  <si>
    <t>MUNDERA BAZAR</t>
  </si>
  <si>
    <t>407-7606867-8663531</t>
  </si>
  <si>
    <t>402-1470732-6105169</t>
  </si>
  <si>
    <t>KHAMGAONkhamgaon</t>
  </si>
  <si>
    <t>13/05/2022</t>
  </si>
  <si>
    <t>403-8269026-7851524</t>
  </si>
  <si>
    <t>SANGLI</t>
  </si>
  <si>
    <t>14/05/2022</t>
  </si>
  <si>
    <t>405-8018333-8206724</t>
  </si>
  <si>
    <t>8210-Tan-10</t>
  </si>
  <si>
    <t>406-5509366-2617144</t>
  </si>
  <si>
    <t>District Supaul</t>
  </si>
  <si>
    <t>405-8621382-5180339</t>
  </si>
  <si>
    <t>HOWRAH</t>
  </si>
  <si>
    <t>405-4584554-5809949</t>
  </si>
  <si>
    <t>404-1743846-5325900</t>
  </si>
  <si>
    <t>2505-BLACK-06</t>
  </si>
  <si>
    <t>BHANADARA</t>
  </si>
  <si>
    <t>405-9909407-2105918</t>
  </si>
  <si>
    <t>501_BLACK_07</t>
  </si>
  <si>
    <t>DEHRADUN</t>
  </si>
  <si>
    <t>407-9206532-9135568</t>
  </si>
  <si>
    <t>8210-Brown-6</t>
  </si>
  <si>
    <t>15/05/2022</t>
  </si>
  <si>
    <t>405-3853261-5421122</t>
  </si>
  <si>
    <t>403-7570829-8582727</t>
  </si>
  <si>
    <t>2002-BLACK-07</t>
  </si>
  <si>
    <t>405-5609996-2979553</t>
  </si>
  <si>
    <t>404-7208283-1945932</t>
  </si>
  <si>
    <t>PORT BLAIR</t>
  </si>
  <si>
    <t>ANDAMAN   NICOBAR ISLANDS</t>
  </si>
  <si>
    <t>403-6839086-8979504</t>
  </si>
  <si>
    <t>403-5613145-3560355</t>
  </si>
  <si>
    <t>MUKTSAR</t>
  </si>
  <si>
    <t>PUNJAB</t>
  </si>
  <si>
    <t>406-9874886-2769946</t>
  </si>
  <si>
    <t>8210-Brown-9</t>
  </si>
  <si>
    <t>403-5052561-7963557</t>
  </si>
  <si>
    <t>402-4994250-5926729</t>
  </si>
  <si>
    <t>403-0974317-7752358</t>
  </si>
  <si>
    <t>2002-BLACK-11</t>
  </si>
  <si>
    <t>SOLAPUR</t>
  </si>
  <si>
    <t>16/05/2022</t>
  </si>
  <si>
    <t>405-0053006-4985147</t>
  </si>
  <si>
    <t>17/05/2022</t>
  </si>
  <si>
    <t>404-5585151-1577946</t>
  </si>
  <si>
    <t>MYSURU</t>
  </si>
  <si>
    <t>18/05/2022</t>
  </si>
  <si>
    <t>171-3938809-5738769</t>
  </si>
  <si>
    <t>ALAPPUZHA</t>
  </si>
  <si>
    <t>402-4210669-0857948</t>
  </si>
  <si>
    <t>BALLARI</t>
  </si>
  <si>
    <t>407-9901774-2990705</t>
  </si>
  <si>
    <t>UJJAIN</t>
  </si>
  <si>
    <t>406-6002021-0449168</t>
  </si>
  <si>
    <t>ANAKAPALLE</t>
  </si>
  <si>
    <t>408-8450712-6803552</t>
  </si>
  <si>
    <t>408-2124437-6487557</t>
  </si>
  <si>
    <t>408-2738325-8880332</t>
  </si>
  <si>
    <t>402-0677291-8417905</t>
  </si>
  <si>
    <t>2002-BLACK-12</t>
  </si>
  <si>
    <t>402-2098241-5670706</t>
  </si>
  <si>
    <t>KANPUR</t>
  </si>
  <si>
    <t>406-7842240-6090748</t>
  </si>
  <si>
    <t>2001_BROWN_12</t>
  </si>
  <si>
    <t>402-4435253-7284329</t>
  </si>
  <si>
    <t>DOHRIGHAT</t>
  </si>
  <si>
    <t>20/05/2022</t>
  </si>
  <si>
    <t>408-6344102-7809912</t>
  </si>
  <si>
    <t>8501-BLACK-10</t>
  </si>
  <si>
    <t>HOSHANGABAD</t>
  </si>
  <si>
    <t>22/05/2022</t>
  </si>
  <si>
    <t>405-8923672-2547543</t>
  </si>
  <si>
    <t>403-4442648-8373905</t>
  </si>
  <si>
    <t>4222_BROWN_11</t>
  </si>
  <si>
    <t>ICHALKARANJI</t>
  </si>
  <si>
    <t>403-0976579-3499506</t>
  </si>
  <si>
    <t>1P-NKQ5-1QR8</t>
  </si>
  <si>
    <t>23/05/2022</t>
  </si>
  <si>
    <t>406-5809326-6335548</t>
  </si>
  <si>
    <t>8210-Black-8</t>
  </si>
  <si>
    <t>FARIDABAD</t>
  </si>
  <si>
    <t>405-5537388-2350751</t>
  </si>
  <si>
    <t>SANGAREDDY</t>
  </si>
  <si>
    <t>21/05/2022</t>
  </si>
  <si>
    <t>402-1723399-9478710</t>
  </si>
  <si>
    <t>403-9432474-1198702</t>
  </si>
  <si>
    <t>2002_BROWN_07</t>
  </si>
  <si>
    <t>404-7908090-8292326</t>
  </si>
  <si>
    <t>402-7967743-5310750</t>
  </si>
  <si>
    <t>402-7957599-9116366</t>
  </si>
  <si>
    <t>4222-BLACK-06</t>
  </si>
  <si>
    <t>CHENGANNUR</t>
  </si>
  <si>
    <t>406-8210824-8347534</t>
  </si>
  <si>
    <t>AYYAMPETTAI THANJAVUR DISTRICT</t>
  </si>
  <si>
    <t>24/05/2022</t>
  </si>
  <si>
    <t>402-1830913-8512302</t>
  </si>
  <si>
    <t>Beed</t>
  </si>
  <si>
    <t>406-5195427-5946700</t>
  </si>
  <si>
    <t>GREATER NOIDA</t>
  </si>
  <si>
    <t>407-0819398-2445125</t>
  </si>
  <si>
    <t>403-2299933-1994745</t>
  </si>
  <si>
    <t>Navelim</t>
  </si>
  <si>
    <t>405-6572852-4468333</t>
  </si>
  <si>
    <t>404-6999139-0596304</t>
  </si>
  <si>
    <t>8210-Brown-10</t>
  </si>
  <si>
    <t>BATALA</t>
  </si>
  <si>
    <t>404-2468113-4955545</t>
  </si>
  <si>
    <t>PURULIYA</t>
  </si>
  <si>
    <t>403-6971852-7986717</t>
  </si>
  <si>
    <t>407-4961412-1081100</t>
  </si>
  <si>
    <t>Pune</t>
  </si>
  <si>
    <t>406-1139289-8146748</t>
  </si>
  <si>
    <t>Vizianagaram</t>
  </si>
  <si>
    <t>25/05/2022</t>
  </si>
  <si>
    <t>171-4399426-1547519</t>
  </si>
  <si>
    <t>TAMLUK</t>
  </si>
  <si>
    <t>406-7713988-9925968</t>
  </si>
  <si>
    <t>8501-BLACK-12</t>
  </si>
  <si>
    <t>26/05/2022</t>
  </si>
  <si>
    <t>403-1943190-0705154</t>
  </si>
  <si>
    <t>405-0221873-5390732</t>
  </si>
  <si>
    <t>Mala Kheda</t>
  </si>
  <si>
    <t>403-3388572-5209158</t>
  </si>
  <si>
    <t>PUDUKKOTTAI</t>
  </si>
  <si>
    <t>408-1905689-7699522</t>
  </si>
  <si>
    <t>404-8807660-5321913</t>
  </si>
  <si>
    <t>MURADNAGAR</t>
  </si>
  <si>
    <t>27/05/2022</t>
  </si>
  <si>
    <t>406-5147902-8828315</t>
  </si>
  <si>
    <t>403-2165252-9802701</t>
  </si>
  <si>
    <t>406-1559004-6173913</t>
  </si>
  <si>
    <t>GORAKHPUR</t>
  </si>
  <si>
    <t>405-2352766-3285962</t>
  </si>
  <si>
    <t>402-3071922-0523568</t>
  </si>
  <si>
    <t>403-0840580-3761115</t>
  </si>
  <si>
    <t>Chennai</t>
  </si>
  <si>
    <t>404-9699011-6771529</t>
  </si>
  <si>
    <t>405-3541915-5827569</t>
  </si>
  <si>
    <t>1804-BLACK-07</t>
  </si>
  <si>
    <t>30/05/2022</t>
  </si>
  <si>
    <t>403-0888402-4205131</t>
  </si>
  <si>
    <t>29/05/2022</t>
  </si>
  <si>
    <t>403-2485226-8133113</t>
  </si>
  <si>
    <t>TUMAKURU</t>
  </si>
  <si>
    <t>171-2731014-8226714</t>
  </si>
  <si>
    <t>402-3130784-7593949</t>
  </si>
  <si>
    <t>D-25-BLACK_07</t>
  </si>
  <si>
    <t>NAGERCOIL</t>
  </si>
  <si>
    <t>402-6293137-3107531</t>
  </si>
  <si>
    <t>8505-BLACK-09</t>
  </si>
  <si>
    <t>BANDA</t>
  </si>
  <si>
    <t>404-0861091-8739561</t>
  </si>
  <si>
    <t>28/05/2022</t>
  </si>
  <si>
    <t>403-7973458-5560368</t>
  </si>
  <si>
    <t>KARWI</t>
  </si>
  <si>
    <t>406-6010915-9239528</t>
  </si>
  <si>
    <t>Bhuj</t>
  </si>
  <si>
    <t>404-1237809-6041913</t>
  </si>
  <si>
    <t>404-0979129-7130720</t>
  </si>
  <si>
    <t>8505_BROWN_10</t>
  </si>
  <si>
    <t>FIROZABAD</t>
  </si>
  <si>
    <t>406-3596716-5414726</t>
  </si>
  <si>
    <t>408-9692775-9057935</t>
  </si>
  <si>
    <t>31/05/2022</t>
  </si>
  <si>
    <t>403-5758153-6541936</t>
  </si>
  <si>
    <t>PANCHKULA</t>
  </si>
  <si>
    <t>404-2396339-2268349</t>
  </si>
  <si>
    <t>402-4261481-1532332</t>
  </si>
  <si>
    <t>SRIKAKULAM</t>
  </si>
  <si>
    <t>407-8854122-7477150</t>
  </si>
  <si>
    <t>402-4619587-7199507</t>
  </si>
  <si>
    <t>403-5385595-0705139</t>
  </si>
  <si>
    <t>ERNAKULAM</t>
  </si>
  <si>
    <t>F5-BRIA-PSXO</t>
  </si>
  <si>
    <t>01/06/2022</t>
  </si>
  <si>
    <t>171-1794069-1513921</t>
  </si>
  <si>
    <t>305_BLACK_12</t>
  </si>
  <si>
    <t>June</t>
  </si>
  <si>
    <t>407-4274044-9691504</t>
  </si>
  <si>
    <t>Vishakapatnam</t>
  </si>
  <si>
    <t>408-2196651-2333905</t>
  </si>
  <si>
    <t>406-0762004-3143558</t>
  </si>
  <si>
    <t>CHHOTA CHHINDWARA DIST NARSINGHPUR</t>
  </si>
  <si>
    <t>408-0243002-7660362</t>
  </si>
  <si>
    <t>WARDHA</t>
  </si>
  <si>
    <t>03/06/2022</t>
  </si>
  <si>
    <t>402-7524815-0323535</t>
  </si>
  <si>
    <t>Alegaon</t>
  </si>
  <si>
    <t>02/06/2022</t>
  </si>
  <si>
    <t>408-1871186-7465911</t>
  </si>
  <si>
    <t>SINGARAYAKONDA</t>
  </si>
  <si>
    <t>171-8433381-4185131</t>
  </si>
  <si>
    <t>TIRUCHENGODE</t>
  </si>
  <si>
    <t>405-2992878-5848339</t>
  </si>
  <si>
    <t>8501-BLACK-06</t>
  </si>
  <si>
    <t>405-7193820-8948324</t>
  </si>
  <si>
    <t>1804-BLACK-08</t>
  </si>
  <si>
    <t>408-4589807-4749965</t>
  </si>
  <si>
    <t>404-5645827-7428342</t>
  </si>
  <si>
    <t>LUDHIANA</t>
  </si>
  <si>
    <t>403-4923576-9097930</t>
  </si>
  <si>
    <t>THODUPUZHA</t>
  </si>
  <si>
    <t>04/06/2022</t>
  </si>
  <si>
    <t>405-4729444-5947523</t>
  </si>
  <si>
    <t>06/06/2022</t>
  </si>
  <si>
    <t>402-1649327-8934711</t>
  </si>
  <si>
    <t>05/06/2022</t>
  </si>
  <si>
    <t>171-0218883-5157919</t>
  </si>
  <si>
    <t>404-3610518-5085165</t>
  </si>
  <si>
    <t>KAMBAM</t>
  </si>
  <si>
    <t>171-5314795-1001165</t>
  </si>
  <si>
    <t>408-7641435-1930768</t>
  </si>
  <si>
    <t>402-1345625-2884347</t>
  </si>
  <si>
    <t>404-9098707-7963566</t>
  </si>
  <si>
    <t>4222-BLACK-08</t>
  </si>
  <si>
    <t>406-9833306-8241934</t>
  </si>
  <si>
    <t>UTHANGARAI</t>
  </si>
  <si>
    <t>171-1303058-8190715</t>
  </si>
  <si>
    <t>CHENNAI600092</t>
  </si>
  <si>
    <t>406-3388007-6018718</t>
  </si>
  <si>
    <t>505_TAN_09</t>
  </si>
  <si>
    <t>171-6575959-2860339</t>
  </si>
  <si>
    <t>404-8072683-1877921</t>
  </si>
  <si>
    <t>07/06/2022</t>
  </si>
  <si>
    <t>171-8034225-2688357</t>
  </si>
  <si>
    <t>AURANGABAD</t>
  </si>
  <si>
    <t>406-8348092-1285167</t>
  </si>
  <si>
    <t>407-6794793-5373118</t>
  </si>
  <si>
    <t>1802-BLACK-09</t>
  </si>
  <si>
    <t>403-8485775-2045962</t>
  </si>
  <si>
    <t>CHETHIPUZHA</t>
  </si>
  <si>
    <t>406-5580900-4407562</t>
  </si>
  <si>
    <t>08/06/2022</t>
  </si>
  <si>
    <t>407-3029067-9246767</t>
  </si>
  <si>
    <t>6301_Tan_6</t>
  </si>
  <si>
    <t>171-5291127-0873963</t>
  </si>
  <si>
    <t>KALYAN</t>
  </si>
  <si>
    <t>404-6386735-9664348</t>
  </si>
  <si>
    <t>RP-RQG0-Q4D7</t>
  </si>
  <si>
    <t>PARASSALA</t>
  </si>
  <si>
    <t>404-6009297-5714767</t>
  </si>
  <si>
    <t>09/06/2022</t>
  </si>
  <si>
    <t>403-1441541-5190737</t>
  </si>
  <si>
    <t>403-7708229-4808333</t>
  </si>
  <si>
    <t>405-7817229-5541934</t>
  </si>
  <si>
    <t>UNA</t>
  </si>
  <si>
    <t>402-2590781-4958735</t>
  </si>
  <si>
    <t>10/06/2022</t>
  </si>
  <si>
    <t>403-3593674-5195506</t>
  </si>
  <si>
    <t>402-9029646-1355523</t>
  </si>
  <si>
    <t>404-5870304-3502751</t>
  </si>
  <si>
    <t>408-3351246-4745126</t>
  </si>
  <si>
    <t>12/06/2022</t>
  </si>
  <si>
    <t>405-9312073-8871509</t>
  </si>
  <si>
    <t>SARDHANA meerut</t>
  </si>
  <si>
    <t>11/06/2022</t>
  </si>
  <si>
    <t>408-7969182-2165132</t>
  </si>
  <si>
    <t>408-2415113-2535511</t>
  </si>
  <si>
    <t xml:space="preserve">NASHIK </t>
  </si>
  <si>
    <t>404-8865283-3086762</t>
  </si>
  <si>
    <t>4222-BLACK-11</t>
  </si>
  <si>
    <t>406-1070897-1958708</t>
  </si>
  <si>
    <t>404-8605151-6876331</t>
  </si>
  <si>
    <t>13/06/2022</t>
  </si>
  <si>
    <t>171-1735778-7589125</t>
  </si>
  <si>
    <t>405-9828410-8894742</t>
  </si>
  <si>
    <t>14/06/2022</t>
  </si>
  <si>
    <t>171-3817424-1671508</t>
  </si>
  <si>
    <t>402-4077255-4098756</t>
  </si>
  <si>
    <t>Nellore</t>
  </si>
  <si>
    <t>408-6355582-7355534</t>
  </si>
  <si>
    <t>171-1535676-3093963</t>
  </si>
  <si>
    <t>408-6090422-0727530</t>
  </si>
  <si>
    <t>301_TAN_10</t>
  </si>
  <si>
    <t>404-1859165-0408300</t>
  </si>
  <si>
    <t>405-7408165-2706750</t>
  </si>
  <si>
    <t>Pimpri Chinchwad</t>
  </si>
  <si>
    <t>405-1590978-4789165</t>
  </si>
  <si>
    <t>2501-Black-11</t>
  </si>
  <si>
    <t>PARBHANI</t>
  </si>
  <si>
    <t>405-4977960-0093935</t>
  </si>
  <si>
    <t>MAVELIKKARA</t>
  </si>
  <si>
    <t>15/06/2022</t>
  </si>
  <si>
    <t>171-5086849-3858747</t>
  </si>
  <si>
    <t>16/06/2022</t>
  </si>
  <si>
    <t>171-2442252-5327526</t>
  </si>
  <si>
    <t>407-1043778-3307565</t>
  </si>
  <si>
    <t>LALITPUR</t>
  </si>
  <si>
    <t>403-7610563-7602761</t>
  </si>
  <si>
    <t>4222_BROWN_08</t>
  </si>
  <si>
    <t>17/06/2022</t>
  </si>
  <si>
    <t>407-9765208-9929123</t>
  </si>
  <si>
    <t>SALEM</t>
  </si>
  <si>
    <t>403-7586621-3406727</t>
  </si>
  <si>
    <t>406-6957175-7746709</t>
  </si>
  <si>
    <t>18/06/2022</t>
  </si>
  <si>
    <t>407-4773769-9119518</t>
  </si>
  <si>
    <t>2002-BLACK-08</t>
  </si>
  <si>
    <t>406-0587723-8420321</t>
  </si>
  <si>
    <t>2002-Brown-12</t>
  </si>
  <si>
    <t>Barh</t>
  </si>
  <si>
    <t>19/06/2022</t>
  </si>
  <si>
    <t>405-1955759-9709163</t>
  </si>
  <si>
    <t>171-2446838-5321158</t>
  </si>
  <si>
    <t>20/06/2022</t>
  </si>
  <si>
    <t>403-5161801-9014753</t>
  </si>
  <si>
    <t>AMRITSAR</t>
  </si>
  <si>
    <t>408-0890455-1608348</t>
  </si>
  <si>
    <t>ULLAL</t>
  </si>
  <si>
    <t>406-8620311-7494740</t>
  </si>
  <si>
    <t>HUBBALLI</t>
  </si>
  <si>
    <t>21/06/2022</t>
  </si>
  <si>
    <t>403-3936283-6699519</t>
  </si>
  <si>
    <t>402-2199264-5862751</t>
  </si>
  <si>
    <t>PULGAON</t>
  </si>
  <si>
    <t>407-9041235-5076351</t>
  </si>
  <si>
    <t>404-1193123-8477946</t>
  </si>
  <si>
    <t>ART_505_BROWN_07</t>
  </si>
  <si>
    <t>22/06/2022</t>
  </si>
  <si>
    <t>408-6339291-3425947</t>
  </si>
  <si>
    <t>new delhi</t>
  </si>
  <si>
    <t>404-9663623-8205904</t>
  </si>
  <si>
    <t>402-7951636-0010763</t>
  </si>
  <si>
    <t>8501_Brown-12</t>
  </si>
  <si>
    <t>LONI KALBHOR</t>
  </si>
  <si>
    <t>23/06/2022</t>
  </si>
  <si>
    <t>406-8403942-5394748</t>
  </si>
  <si>
    <t>MANGALURU</t>
  </si>
  <si>
    <t>404-2713848-0177127</t>
  </si>
  <si>
    <t>2001-Brown-07</t>
  </si>
  <si>
    <t>ATTINGAL</t>
  </si>
  <si>
    <t>403-7927615-5309110</t>
  </si>
  <si>
    <t>501_BLACK_11</t>
  </si>
  <si>
    <t>BAREILLY</t>
  </si>
  <si>
    <t>24/06/2022</t>
  </si>
  <si>
    <t>404-5655132-7437954</t>
  </si>
  <si>
    <t>26/06/2022</t>
  </si>
  <si>
    <t>406-6079994-2987504</t>
  </si>
  <si>
    <t>GUNTUR</t>
  </si>
  <si>
    <t>404-4739358-4237918</t>
  </si>
  <si>
    <t>8210-Black-12</t>
  </si>
  <si>
    <t>25/06/2022</t>
  </si>
  <si>
    <t>404-9616408-7345137</t>
  </si>
  <si>
    <t>8210-Brown-11</t>
  </si>
  <si>
    <t>UDAYAGIRI</t>
  </si>
  <si>
    <t>27/06/2022</t>
  </si>
  <si>
    <t>404-2687116-2288350</t>
  </si>
  <si>
    <t xml:space="preserve">Rewari  kund </t>
  </si>
  <si>
    <t>403-0650772-5786708</t>
  </si>
  <si>
    <t>402-3939556-0684369</t>
  </si>
  <si>
    <t>8210-Black-11</t>
  </si>
  <si>
    <t>pattukkottai</t>
  </si>
  <si>
    <t>406-3427860-2861910</t>
  </si>
  <si>
    <t>2002_Black-11</t>
  </si>
  <si>
    <t>NEBADHAI DUTTAPUKUR</t>
  </si>
  <si>
    <t>403-9778486-9484346</t>
  </si>
  <si>
    <t>404-2024371-2557148</t>
  </si>
  <si>
    <t>171-8546786-6657141</t>
  </si>
  <si>
    <t>Bhubaneswar</t>
  </si>
  <si>
    <t>407-3056775-4117962</t>
  </si>
  <si>
    <t>403-0246139-1034734</t>
  </si>
  <si>
    <t>VASAI East</t>
  </si>
  <si>
    <t>407-0322312-3533172</t>
  </si>
  <si>
    <t>KOLLAM</t>
  </si>
  <si>
    <t>403-5872776-7438705</t>
  </si>
  <si>
    <t>2001-Brown-12</t>
  </si>
  <si>
    <t>Jodhpur</t>
  </si>
  <si>
    <t>28/06/2022</t>
  </si>
  <si>
    <t>404-5830122-3733957</t>
  </si>
  <si>
    <t>BHOPAL</t>
  </si>
  <si>
    <t>403-5348974-6665136</t>
  </si>
  <si>
    <t>8210-Brown-12</t>
  </si>
  <si>
    <t>408-9579585-8229949</t>
  </si>
  <si>
    <t>29/06/2022</t>
  </si>
  <si>
    <t>406-4472624-2875536</t>
  </si>
  <si>
    <t>2001-Brown-08</t>
  </si>
  <si>
    <t>405-4159695-0512353</t>
  </si>
  <si>
    <t>KOTTARAKKARA</t>
  </si>
  <si>
    <t>407-9099662-9055524</t>
  </si>
  <si>
    <t>SHIMLA</t>
  </si>
  <si>
    <t>405-9099991-3605925</t>
  </si>
  <si>
    <t>408-2011932-4354740</t>
  </si>
  <si>
    <t>30/06/2022</t>
  </si>
  <si>
    <t>405-5372334-9313950</t>
  </si>
  <si>
    <t>171-7109706-9377938</t>
  </si>
  <si>
    <t>171-6463398-9985912</t>
  </si>
  <si>
    <t>01/07/2022</t>
  </si>
  <si>
    <t>405-9303068-2157116</t>
  </si>
  <si>
    <t>July</t>
  </si>
  <si>
    <t>405-6671542-2917922</t>
  </si>
  <si>
    <t>403-6231456-1375530</t>
  </si>
  <si>
    <t>ART_505_BLACK_06</t>
  </si>
  <si>
    <t>02/07/2022</t>
  </si>
  <si>
    <t>171-6845124-5880359</t>
  </si>
  <si>
    <t>301_Tan-09</t>
  </si>
  <si>
    <t>RAJNANDGAON</t>
  </si>
  <si>
    <t>408-3275275-5597132</t>
  </si>
  <si>
    <t>PUDUCHERRY</t>
  </si>
  <si>
    <t>407-5074275-2005144</t>
  </si>
  <si>
    <t>VELUR</t>
  </si>
  <si>
    <t>407-6911556-0028310</t>
  </si>
  <si>
    <t>407-5931647-6758742</t>
  </si>
  <si>
    <t>406-8956728-3778703</t>
  </si>
  <si>
    <t>UTTAR SATALI</t>
  </si>
  <si>
    <t>403-5242259-7236320</t>
  </si>
  <si>
    <t>SAGAR</t>
  </si>
  <si>
    <t>03/07/2022</t>
  </si>
  <si>
    <t>171-8493097-8854743</t>
  </si>
  <si>
    <t>04/07/2022</t>
  </si>
  <si>
    <t>404-3643132-9985941</t>
  </si>
  <si>
    <t>4222_Black-11</t>
  </si>
  <si>
    <t>171-8240334-4821105</t>
  </si>
  <si>
    <t>2001-BLACK-06</t>
  </si>
  <si>
    <t>AIZAWL</t>
  </si>
  <si>
    <t>MIZORAM</t>
  </si>
  <si>
    <t>405-4934340-5840300</t>
  </si>
  <si>
    <t>IMPHAL</t>
  </si>
  <si>
    <t>MANIPUR</t>
  </si>
  <si>
    <t>404-9574310-0857148</t>
  </si>
  <si>
    <t>BELLARY</t>
  </si>
  <si>
    <t>407-3046221-1181104</t>
  </si>
  <si>
    <t>4222_Black-12</t>
  </si>
  <si>
    <t>8501_Black-12</t>
  </si>
  <si>
    <t>171-7663214-5767514</t>
  </si>
  <si>
    <t>2002_Brown-12</t>
  </si>
  <si>
    <t>171-1609676-3336350</t>
  </si>
  <si>
    <t>2002_Black-12</t>
  </si>
  <si>
    <t>171-1047877-9065158</t>
  </si>
  <si>
    <t>301_Black-10</t>
  </si>
  <si>
    <t>HIMMATNAGAR</t>
  </si>
  <si>
    <t>408-1195490-7993128</t>
  </si>
  <si>
    <t>406-9303255-9677160</t>
  </si>
  <si>
    <t>2001-Tan-08</t>
  </si>
  <si>
    <t>BHIWADI</t>
  </si>
  <si>
    <t>403-1302626-8158716</t>
  </si>
  <si>
    <t>4222_Black-09</t>
  </si>
  <si>
    <t>Tuggali</t>
  </si>
  <si>
    <t>171-7451267-4375513</t>
  </si>
  <si>
    <t>8501_Black-11</t>
  </si>
  <si>
    <t>404-3893786-0442702</t>
  </si>
  <si>
    <t>408-8579603-5053912</t>
  </si>
  <si>
    <t>Thrissur</t>
  </si>
  <si>
    <t>408-5521249-7964346</t>
  </si>
  <si>
    <t>171-4104183-8570703</t>
  </si>
  <si>
    <t>CHANDI MANDIR</t>
  </si>
  <si>
    <t>404-5370978-0192324</t>
  </si>
  <si>
    <t>4222_Black-08</t>
  </si>
  <si>
    <t>MAHBUBNAGAR</t>
  </si>
  <si>
    <t>05/07/2022</t>
  </si>
  <si>
    <t>403-4626298-6150747</t>
  </si>
  <si>
    <t>Tezpur</t>
  </si>
  <si>
    <t>403-5522347-8180334</t>
  </si>
  <si>
    <t>VIJAPURA</t>
  </si>
  <si>
    <t>403-5634549-6189100</t>
  </si>
  <si>
    <t>2002_Brown-11</t>
  </si>
  <si>
    <t>SIVAKASI</t>
  </si>
  <si>
    <t>404-2613067-5416334</t>
  </si>
  <si>
    <t>ART_505_BROWN_06</t>
  </si>
  <si>
    <t>408-1927153-2227543</t>
  </si>
  <si>
    <t>406-0388038-4905129</t>
  </si>
  <si>
    <t>JAMSHEDPUR</t>
  </si>
  <si>
    <t>06/07/2022</t>
  </si>
  <si>
    <t>408-5550670-7474723</t>
  </si>
  <si>
    <t>07/07/2022</t>
  </si>
  <si>
    <t>403-4610500-5886708</t>
  </si>
  <si>
    <t>NARNAUL</t>
  </si>
  <si>
    <t>408-8342945-7808350</t>
  </si>
  <si>
    <t>408-6053060-0855534</t>
  </si>
  <si>
    <t>406-8571382-8517922</t>
  </si>
  <si>
    <t>PANRUTI</t>
  </si>
  <si>
    <t>404-8025382-4680318</t>
  </si>
  <si>
    <t>301_Black-12</t>
  </si>
  <si>
    <t>171-4700966-4970744</t>
  </si>
  <si>
    <t>1802-BLACK-12</t>
  </si>
  <si>
    <t>SHAHABAD</t>
  </si>
  <si>
    <t>405-8258292-0756327</t>
  </si>
  <si>
    <t>VARADHAYANGAR PALAYAM</t>
  </si>
  <si>
    <t>09/07/2022</t>
  </si>
  <si>
    <t>402-9479702-9962753</t>
  </si>
  <si>
    <t>08/07/2022</t>
  </si>
  <si>
    <t>171-2468420-7645900</t>
  </si>
  <si>
    <t>10/07/2022</t>
  </si>
  <si>
    <t>408-2467516-2453967</t>
  </si>
  <si>
    <t>PIMPRI CHINCHWAD  PUNE</t>
  </si>
  <si>
    <t>405-1722531-2284355</t>
  </si>
  <si>
    <t>2002_Brown-09</t>
  </si>
  <si>
    <t>402-3016097-0994767</t>
  </si>
  <si>
    <t>403-7676518-1557104</t>
  </si>
  <si>
    <t>2002_Brown-08</t>
  </si>
  <si>
    <t>171-1933193-9243532</t>
  </si>
  <si>
    <t>404-7761174-2277938</t>
  </si>
  <si>
    <t>SISWA BAZAR</t>
  </si>
  <si>
    <t>171-3113027-8732321</t>
  </si>
  <si>
    <t>Dhule</t>
  </si>
  <si>
    <t>11/07/2022</t>
  </si>
  <si>
    <t>406-6616799-3409942</t>
  </si>
  <si>
    <t>THIRUVANANTHAPURAM</t>
  </si>
  <si>
    <t>171-9843831-2220316</t>
  </si>
  <si>
    <t>2002_Brown-07</t>
  </si>
  <si>
    <t>405-2808562-5445923</t>
  </si>
  <si>
    <t>BASAVAKALYAN</t>
  </si>
  <si>
    <t>12/07/2022</t>
  </si>
  <si>
    <t>405-6530591-8236363</t>
  </si>
  <si>
    <t>408-4196076-2544358</t>
  </si>
  <si>
    <t>402-5953352-3015501</t>
  </si>
  <si>
    <t>403-4605606-4043515</t>
  </si>
  <si>
    <t>301_Tan-10</t>
  </si>
  <si>
    <t>408-7333509-2416322</t>
  </si>
  <si>
    <t>2002_Black-10</t>
  </si>
  <si>
    <t>Karunagappally</t>
  </si>
  <si>
    <t>13/07/2022</t>
  </si>
  <si>
    <t>407-6810799-4162755</t>
  </si>
  <si>
    <t>406-8005238-2241155</t>
  </si>
  <si>
    <t>501_BLACK_06</t>
  </si>
  <si>
    <t>Seoni</t>
  </si>
  <si>
    <t>402-4430589-2035552</t>
  </si>
  <si>
    <t>403-1993786-5727503</t>
  </si>
  <si>
    <t>KARIMNAGAR</t>
  </si>
  <si>
    <t>14/07/2022</t>
  </si>
  <si>
    <t>406-6501533-4181944</t>
  </si>
  <si>
    <t>301_Tan-11</t>
  </si>
  <si>
    <t>405-4275803-5293960</t>
  </si>
  <si>
    <t>Kolkata</t>
  </si>
  <si>
    <t>403-7465995-1086713</t>
  </si>
  <si>
    <t>2002_Black-08</t>
  </si>
  <si>
    <t>171-8926377-6105168</t>
  </si>
  <si>
    <t>404-9649674-4418706</t>
  </si>
  <si>
    <t>404-4680401-0169149</t>
  </si>
  <si>
    <t>408-3358791-9453903</t>
  </si>
  <si>
    <t>407-2043788-4720345</t>
  </si>
  <si>
    <t>PANAJI</t>
  </si>
  <si>
    <t>15/07/2022</t>
  </si>
  <si>
    <t>402-4606623-0162765</t>
  </si>
  <si>
    <t>2002_Tan-12</t>
  </si>
  <si>
    <t>PARAVUR</t>
  </si>
  <si>
    <t>408-4996374-1480330</t>
  </si>
  <si>
    <t>405-1169905-2481114</t>
  </si>
  <si>
    <t xml:space="preserve">3 441 Thirumalaiagar Kathinayanapalli Krishnagiri </t>
  </si>
  <si>
    <t>407-3247428-2786752</t>
  </si>
  <si>
    <t>16/07/2022</t>
  </si>
  <si>
    <t>408-4945746-6208302</t>
  </si>
  <si>
    <t>2002_Black-06</t>
  </si>
  <si>
    <t>408-7665486-2417900</t>
  </si>
  <si>
    <t>2002_Tan-07</t>
  </si>
  <si>
    <t>17/07/2022</t>
  </si>
  <si>
    <t>404-2521564-3421109</t>
  </si>
  <si>
    <t>4221_Black-12</t>
  </si>
  <si>
    <t>407-2853907-3395545</t>
  </si>
  <si>
    <t>403-8513412-9557962</t>
  </si>
  <si>
    <t>8225-Brown-09</t>
  </si>
  <si>
    <t>18/07/2022</t>
  </si>
  <si>
    <t>408-9886975-7504369</t>
  </si>
  <si>
    <t>406-9827841-0513928</t>
  </si>
  <si>
    <t>GUNTAKAL</t>
  </si>
  <si>
    <t>171-5880493-2202737</t>
  </si>
  <si>
    <t>404-9265329-9820330</t>
  </si>
  <si>
    <t>8205_Black_8</t>
  </si>
  <si>
    <t>403-0404763-1915565</t>
  </si>
  <si>
    <t>402-4355053-8540333</t>
  </si>
  <si>
    <t>407-3713738-9205958</t>
  </si>
  <si>
    <t>407-8909464-6198715</t>
  </si>
  <si>
    <t>SABANG</t>
  </si>
  <si>
    <t>407-5149132-2261130</t>
  </si>
  <si>
    <t>Bhopal</t>
  </si>
  <si>
    <t>171-8819469-6173963</t>
  </si>
  <si>
    <t>KANCHIPURAM</t>
  </si>
  <si>
    <t>19/07/2022</t>
  </si>
  <si>
    <t>171-9103200-9477132</t>
  </si>
  <si>
    <t>2002_Brown-06</t>
  </si>
  <si>
    <t>20/07/2022</t>
  </si>
  <si>
    <t>408-1312177-1700318</t>
  </si>
  <si>
    <t>21/07/2022</t>
  </si>
  <si>
    <t>402-3268605-5957907</t>
  </si>
  <si>
    <t>8225-Black-08</t>
  </si>
  <si>
    <t>MUZAFFARPUR</t>
  </si>
  <si>
    <t>408-9340803-9039550</t>
  </si>
  <si>
    <t>KADAMAKKUDY</t>
  </si>
  <si>
    <t>403-7903967-1762760</t>
  </si>
  <si>
    <t>301_Brown-10</t>
  </si>
  <si>
    <t>VIJAYAWADA</t>
  </si>
  <si>
    <t>403-2631128-6345911</t>
  </si>
  <si>
    <t>408-5405902-0930745</t>
  </si>
  <si>
    <t>PANVEL</t>
  </si>
  <si>
    <t>402-3678787-8160312</t>
  </si>
  <si>
    <t>Imphal</t>
  </si>
  <si>
    <t>171-0344027-5061143</t>
  </si>
  <si>
    <t>KENDRAPARA</t>
  </si>
  <si>
    <t>22/07/2022</t>
  </si>
  <si>
    <t>403-1476802-3728316</t>
  </si>
  <si>
    <t>408-7036244-3990716</t>
  </si>
  <si>
    <t>AMBALA Cantt</t>
  </si>
  <si>
    <t>408-7632451-6343522</t>
  </si>
  <si>
    <t>Ranga Reddy</t>
  </si>
  <si>
    <t>23/07/2022</t>
  </si>
  <si>
    <t>407-6872616-9406708</t>
  </si>
  <si>
    <t>408-4216950-3458712</t>
  </si>
  <si>
    <t>403-7830414-2843514</t>
  </si>
  <si>
    <t>402-9062962-9529964</t>
  </si>
  <si>
    <t>RAMPURHAT</t>
  </si>
  <si>
    <t>403-0572269-8690719</t>
  </si>
  <si>
    <t>405-8415933-7849903</t>
  </si>
  <si>
    <t>406-9923841-1449968</t>
  </si>
  <si>
    <t>403-0641021-8290724</t>
  </si>
  <si>
    <t>24/07/2022</t>
  </si>
  <si>
    <t>405-9217012-1001904</t>
  </si>
  <si>
    <t>SILCHAR</t>
  </si>
  <si>
    <t>408-2011953-8533168</t>
  </si>
  <si>
    <t>2001-Tan-12</t>
  </si>
  <si>
    <t>405-5800090-9209969</t>
  </si>
  <si>
    <t>Doomdooma TINSUKIA DISTRICT</t>
  </si>
  <si>
    <t>404-2418534-8901952</t>
  </si>
  <si>
    <t>Haldwani</t>
  </si>
  <si>
    <t>407-7236857-7429161</t>
  </si>
  <si>
    <t>Pathankot</t>
  </si>
  <si>
    <t>403-6448227-0561941</t>
  </si>
  <si>
    <t>Vadodara</t>
  </si>
  <si>
    <t>407-1023283-5193922</t>
  </si>
  <si>
    <t>PEDDAPALLE</t>
  </si>
  <si>
    <t>405-4878976-5498743</t>
  </si>
  <si>
    <t>402-1997456-9118737</t>
  </si>
  <si>
    <t>2002_Black-09</t>
  </si>
  <si>
    <t>405-4400189-2064300</t>
  </si>
  <si>
    <t>405-5566010-9175551</t>
  </si>
  <si>
    <t>171-0880756-1665930</t>
  </si>
  <si>
    <t>BOKARO STEEL CITY</t>
  </si>
  <si>
    <t>407-5127542-2289947</t>
  </si>
  <si>
    <t>Secunderabad</t>
  </si>
  <si>
    <t>171-5089427-9109957</t>
  </si>
  <si>
    <t>171-6069270-6511545</t>
  </si>
  <si>
    <t>PODALAKUR</t>
  </si>
  <si>
    <t>402-5904407-4489119</t>
  </si>
  <si>
    <t>OTHAKADAI</t>
  </si>
  <si>
    <t>402-2901528-0842715</t>
  </si>
  <si>
    <t>402-7212373-6197133</t>
  </si>
  <si>
    <t>25/07/2022</t>
  </si>
  <si>
    <t>405-5974285-9661915</t>
  </si>
  <si>
    <t>2001-Brown-11</t>
  </si>
  <si>
    <t>Mahim MUMBAI</t>
  </si>
  <si>
    <t>171-5674065-0929927</t>
  </si>
  <si>
    <t>KOCH BIHAR</t>
  </si>
  <si>
    <t>404-5303994-3358725</t>
  </si>
  <si>
    <t>402-4734977-5817936</t>
  </si>
  <si>
    <t>403-5784958-0727550</t>
  </si>
  <si>
    <t>BAGHPAT</t>
  </si>
  <si>
    <t>408-4279221-9564356</t>
  </si>
  <si>
    <t>406-6691830-6848321</t>
  </si>
  <si>
    <t>KOTA</t>
  </si>
  <si>
    <t>26/07/2022</t>
  </si>
  <si>
    <t>407-3514345-7499500</t>
  </si>
  <si>
    <t>VAZHAKKALA</t>
  </si>
  <si>
    <t>408-2121746-4922730</t>
  </si>
  <si>
    <t>407-8438834-0537143</t>
  </si>
  <si>
    <t>MALAPPURAM</t>
  </si>
  <si>
    <t>402-8559037-0362712</t>
  </si>
  <si>
    <t>407-5997822-1850742</t>
  </si>
  <si>
    <t>402-2065953-3995542</t>
  </si>
  <si>
    <t>SANTIPUR</t>
  </si>
  <si>
    <t>407-4366524-8438711</t>
  </si>
  <si>
    <t>A-5-BLACK_07</t>
  </si>
  <si>
    <t>POTHREDDIPALLE</t>
  </si>
  <si>
    <t>408-3714834-0680337</t>
  </si>
  <si>
    <t>406-2779923-8245119</t>
  </si>
  <si>
    <t>406-5282234-6885161</t>
  </si>
  <si>
    <t>407-1563832-5279569</t>
  </si>
  <si>
    <t>402-3207382-4415530</t>
  </si>
  <si>
    <t>404-6623329-8665916</t>
  </si>
  <si>
    <t>403-2530810-2796303</t>
  </si>
  <si>
    <t>406-1708426-1337162</t>
  </si>
  <si>
    <t>Bangalore</t>
  </si>
  <si>
    <t>403-8408074-1405155</t>
  </si>
  <si>
    <t>404-8883453-7300320</t>
  </si>
  <si>
    <t>404-5702471-8301157</t>
  </si>
  <si>
    <t>2002_Brown-10</t>
  </si>
  <si>
    <t>Gurgaon</t>
  </si>
  <si>
    <t>404-2978366-6525930</t>
  </si>
  <si>
    <t>4222_Black-10</t>
  </si>
  <si>
    <t>404-1221044-8273931</t>
  </si>
  <si>
    <t>UDUPI</t>
  </si>
  <si>
    <t>407-6269156-2161164</t>
  </si>
  <si>
    <t>GANDHINAGAR</t>
  </si>
  <si>
    <t>405-0466721-5121940</t>
  </si>
  <si>
    <t>PALAKONDA</t>
  </si>
  <si>
    <t>171-2490231-8514766</t>
  </si>
  <si>
    <t>BILASPUR</t>
  </si>
  <si>
    <t>402-5816362-5393149</t>
  </si>
  <si>
    <t>405-3722573-7784337</t>
  </si>
  <si>
    <t>Rajampet</t>
  </si>
  <si>
    <t>408-8403777-6471518</t>
  </si>
  <si>
    <t>TADPATRI</t>
  </si>
  <si>
    <t>407-5782182-3127568</t>
  </si>
  <si>
    <t>MADURAI</t>
  </si>
  <si>
    <t>404-8161616-7904320</t>
  </si>
  <si>
    <t>405-8226238-6475512</t>
  </si>
  <si>
    <t>1802-BLACK-10</t>
  </si>
  <si>
    <t>407-3157407-0600351</t>
  </si>
  <si>
    <t>403-7718231-8398723</t>
  </si>
  <si>
    <t>402-6861383-7917932</t>
  </si>
  <si>
    <t>DHAR</t>
  </si>
  <si>
    <t>405-3879542-0369169</t>
  </si>
  <si>
    <t>ART_505_BROWN_08</t>
  </si>
  <si>
    <t>408-7745801-6185134</t>
  </si>
  <si>
    <t>407-5704453-9564350</t>
  </si>
  <si>
    <t>1805-BLACK-12</t>
  </si>
  <si>
    <t>27/07/2022</t>
  </si>
  <si>
    <t>408-0238676-3905901</t>
  </si>
  <si>
    <t>28/07/2022</t>
  </si>
  <si>
    <t>407-6726898-9812320</t>
  </si>
  <si>
    <t>SHEVGAON</t>
  </si>
  <si>
    <t>402-1029299-5508344</t>
  </si>
  <si>
    <t>4221_Black-09</t>
  </si>
  <si>
    <t>NEYYATTINKARA</t>
  </si>
  <si>
    <t>29/07/2022</t>
  </si>
  <si>
    <t>403-3790896-6649161</t>
  </si>
  <si>
    <t>2501-BLACK-06</t>
  </si>
  <si>
    <t>407-7866735-8327546</t>
  </si>
  <si>
    <t>171-2330280-9239548</t>
  </si>
  <si>
    <t>405-4128394-6969105</t>
  </si>
  <si>
    <t>4221_Black-10</t>
  </si>
  <si>
    <t>402-6047960-2317965</t>
  </si>
  <si>
    <t>MANDAIKADU</t>
  </si>
  <si>
    <t>406-6797337-0981142</t>
  </si>
  <si>
    <t>Kashinabad</t>
  </si>
  <si>
    <t>405-1756484-6716344</t>
  </si>
  <si>
    <t>408-0270663-9639553</t>
  </si>
  <si>
    <t>8210-Black-6</t>
  </si>
  <si>
    <t>171-3303080-4393908</t>
  </si>
  <si>
    <t>Goregaon  gondia</t>
  </si>
  <si>
    <t>407-3990897-9428305</t>
  </si>
  <si>
    <t>TADEPALLIGUDEM</t>
  </si>
  <si>
    <t>402-9411366-4549949</t>
  </si>
  <si>
    <t>408-9835398-4150745</t>
  </si>
  <si>
    <t>Dehradun</t>
  </si>
  <si>
    <t>403-3518588-7604301</t>
  </si>
  <si>
    <t>KARAIKAL</t>
  </si>
  <si>
    <t>402-4483933-2593902</t>
  </si>
  <si>
    <t>405-0293738-8516331</t>
  </si>
  <si>
    <t>408-4561364-2887506</t>
  </si>
  <si>
    <t>406-5529663-9233926</t>
  </si>
  <si>
    <t>Chittoor</t>
  </si>
  <si>
    <t>171-0447386-4235552</t>
  </si>
  <si>
    <t>402-8555620-0421960</t>
  </si>
  <si>
    <t>Karaikal</t>
  </si>
  <si>
    <t>403-6336225-5245951</t>
  </si>
  <si>
    <t>2001-Brown-09</t>
  </si>
  <si>
    <t>Perumbavoor</t>
  </si>
  <si>
    <t>403-1187683-6737111</t>
  </si>
  <si>
    <t>301_Brown-09</t>
  </si>
  <si>
    <t>UPLETA</t>
  </si>
  <si>
    <t>404-5838461-1737158</t>
  </si>
  <si>
    <t>2001-Brown-06</t>
  </si>
  <si>
    <t>HAZARIBAGH</t>
  </si>
  <si>
    <t>171-8215802-7702745</t>
  </si>
  <si>
    <t>UNGUTURU</t>
  </si>
  <si>
    <t>408-6900790-4414713</t>
  </si>
  <si>
    <t>30/07/2022</t>
  </si>
  <si>
    <t>407-6988780-7237168</t>
  </si>
  <si>
    <t>TIRUPPUR</t>
  </si>
  <si>
    <t>31/07/2022</t>
  </si>
  <si>
    <t>403-8314465-5046737</t>
  </si>
  <si>
    <t>2001-Tan-09</t>
  </si>
  <si>
    <t>171-0226780-1771565</t>
  </si>
  <si>
    <t>NELLORE</t>
  </si>
  <si>
    <t>403-3903203-1357160</t>
  </si>
  <si>
    <t>407-6242150-8585117</t>
  </si>
  <si>
    <t>2002_Tan-09</t>
  </si>
  <si>
    <t>405-3159476-5784315</t>
  </si>
  <si>
    <t>KOZHIKODE</t>
  </si>
  <si>
    <t>402-6593261-2365154</t>
  </si>
  <si>
    <t>405-9094569-8248327</t>
  </si>
  <si>
    <t>402-8428453-3489159</t>
  </si>
  <si>
    <t>408-3382476-3652336</t>
  </si>
  <si>
    <t>408-0490489-0315514</t>
  </si>
  <si>
    <t>VILLUPURAM</t>
  </si>
  <si>
    <t>406-0598395-3277917</t>
  </si>
  <si>
    <t>404-5866256-7307525</t>
  </si>
  <si>
    <t>4221_Brown-11</t>
  </si>
  <si>
    <t>MOHALI</t>
  </si>
  <si>
    <t>405-3063079-1077118</t>
  </si>
  <si>
    <t>DIGRAS</t>
  </si>
  <si>
    <t>403-0018583-4297127</t>
  </si>
  <si>
    <t>MACHERLA</t>
  </si>
  <si>
    <t>402-7765145-6596352</t>
  </si>
  <si>
    <t>403-5423745-2274723</t>
  </si>
  <si>
    <t>PANDUAL</t>
  </si>
  <si>
    <t>01/08/2022</t>
  </si>
  <si>
    <t>403-7426512-1364317</t>
  </si>
  <si>
    <t>August</t>
  </si>
  <si>
    <t>Saphale</t>
  </si>
  <si>
    <t>171-2961320-7133951</t>
  </si>
  <si>
    <t>SILIGURI</t>
  </si>
  <si>
    <t>408-2461076-8123514</t>
  </si>
  <si>
    <t>VIZIANAGARAM</t>
  </si>
  <si>
    <t>405-5715989-7313966</t>
  </si>
  <si>
    <t>404-1986220-2682738</t>
  </si>
  <si>
    <t>8501_Brown-11</t>
  </si>
  <si>
    <t>408-7395060-5748342</t>
  </si>
  <si>
    <t>404-1585665-5497917</t>
  </si>
  <si>
    <t>402-1023357-4085958</t>
  </si>
  <si>
    <t>GYANPUR</t>
  </si>
  <si>
    <t>402-3868529-9211556</t>
  </si>
  <si>
    <t>CHHINDWARA</t>
  </si>
  <si>
    <t>02/08/2022</t>
  </si>
  <si>
    <t>407-1246287-1451508</t>
  </si>
  <si>
    <t>Kandivali  east  MUMBAI</t>
  </si>
  <si>
    <t>408-0263915-6880343</t>
  </si>
  <si>
    <t>03/08/2022</t>
  </si>
  <si>
    <t>402-8185387-3881141</t>
  </si>
  <si>
    <t>chennai</t>
  </si>
  <si>
    <t>403-2999859-6444355</t>
  </si>
  <si>
    <t>171-3665100-4044307</t>
  </si>
  <si>
    <t>406-6293436-7393947</t>
  </si>
  <si>
    <t>VALAVANUR</t>
  </si>
  <si>
    <t>402-9209515-4506756</t>
  </si>
  <si>
    <t>JALANDHAR</t>
  </si>
  <si>
    <t>407-8519812-9950724</t>
  </si>
  <si>
    <t>SRIPERUMBUDUR</t>
  </si>
  <si>
    <t>404-7970030-6649920</t>
  </si>
  <si>
    <t>405-7401763-2325151</t>
  </si>
  <si>
    <t>NOORPUR</t>
  </si>
  <si>
    <t>408-4553666-4816342</t>
  </si>
  <si>
    <t>171-3010127-6818737</t>
  </si>
  <si>
    <t>HASSAN</t>
  </si>
  <si>
    <t>405-0380197-6036354</t>
  </si>
  <si>
    <t>DEOGHAR</t>
  </si>
  <si>
    <t>406-6294332-6405936</t>
  </si>
  <si>
    <t>MAREGAON</t>
  </si>
  <si>
    <t>171-2073582-5582743</t>
  </si>
  <si>
    <t>171-2803233-4239564</t>
  </si>
  <si>
    <t>171-7427692-1217929</t>
  </si>
  <si>
    <t>404-4947760-0797156</t>
  </si>
  <si>
    <t>171-0032947-2347528</t>
  </si>
  <si>
    <t>406-5590294-9888333</t>
  </si>
  <si>
    <t>04/08/2022</t>
  </si>
  <si>
    <t>407-7642738-3741112</t>
  </si>
  <si>
    <t>305_Black-12</t>
  </si>
  <si>
    <t>171-9941792-8412311</t>
  </si>
  <si>
    <t>Nagpur</t>
  </si>
  <si>
    <t>406-7538047-7671554</t>
  </si>
  <si>
    <t>PERINTHALMANNA</t>
  </si>
  <si>
    <t>405-9519371-0127507</t>
  </si>
  <si>
    <t>406-9420479-4569144</t>
  </si>
  <si>
    <t>501_BROWN_11</t>
  </si>
  <si>
    <t>SINDHANUR</t>
  </si>
  <si>
    <t>403-3899912-7261111</t>
  </si>
  <si>
    <t>404-7226633-1289147</t>
  </si>
  <si>
    <t>171-8199634-3101169</t>
  </si>
  <si>
    <t>408-5840520-8876335</t>
  </si>
  <si>
    <t>06/08/2022</t>
  </si>
  <si>
    <t>171-2232176-1464359</t>
  </si>
  <si>
    <t>05/08/2022</t>
  </si>
  <si>
    <t>405-8206626-8358700</t>
  </si>
  <si>
    <t>171-7258936-5165940</t>
  </si>
  <si>
    <t>BALLY</t>
  </si>
  <si>
    <t>171-1880282-9742763</t>
  </si>
  <si>
    <t>Haddo</t>
  </si>
  <si>
    <t>6301_Brown_10</t>
  </si>
  <si>
    <t>408-4724782-1689151</t>
  </si>
  <si>
    <t>407-5975599-9541127</t>
  </si>
  <si>
    <t>403-0059719-5534775</t>
  </si>
  <si>
    <t>403-4582357-5101106</t>
  </si>
  <si>
    <t>407-0331273-4814738</t>
  </si>
  <si>
    <t>408-7690571-8229122</t>
  </si>
  <si>
    <t>Kavali</t>
  </si>
  <si>
    <t>171-1186845-9031529</t>
  </si>
  <si>
    <t>171-8095537-7302765</t>
  </si>
  <si>
    <t>07/08/2022</t>
  </si>
  <si>
    <t>402-4136353-4681918</t>
  </si>
  <si>
    <t>Attapur   HYDERABAD</t>
  </si>
  <si>
    <t>406-9946172-0937109</t>
  </si>
  <si>
    <t>301_Tan-12</t>
  </si>
  <si>
    <t>HISAR</t>
  </si>
  <si>
    <t>408-4454458-2469951</t>
  </si>
  <si>
    <t>406-4032350-0004344</t>
  </si>
  <si>
    <t>405-8728373-6977133</t>
  </si>
  <si>
    <t>404-9864112-5841104</t>
  </si>
  <si>
    <t>408-1131763-6345926</t>
  </si>
  <si>
    <t>402-8038317-6899520</t>
  </si>
  <si>
    <t>Gurugram</t>
  </si>
  <si>
    <t>406-4586312-1847567</t>
  </si>
  <si>
    <t>2002_Tan-10</t>
  </si>
  <si>
    <t>408-4384576-3156366</t>
  </si>
  <si>
    <t>408-3762654-3429938</t>
  </si>
  <si>
    <t>PUDUPAKKAM</t>
  </si>
  <si>
    <t>408-3328468-4729913</t>
  </si>
  <si>
    <t>171-4101192-4687531</t>
  </si>
  <si>
    <t>301_Tan-08</t>
  </si>
  <si>
    <t>404-7470891-9265102</t>
  </si>
  <si>
    <t>408-7296940-9909146</t>
  </si>
  <si>
    <t>08/08/2022</t>
  </si>
  <si>
    <t>405-8602876-9745138</t>
  </si>
  <si>
    <t>405-3865007-0277911</t>
  </si>
  <si>
    <t>BHONGIR</t>
  </si>
  <si>
    <t>406-9740903-9354715</t>
  </si>
  <si>
    <t>405-8120348-7358713</t>
  </si>
  <si>
    <t>College</t>
  </si>
  <si>
    <t>09/08/2022</t>
  </si>
  <si>
    <t>405-5263817-6305140</t>
  </si>
  <si>
    <t>VADGAON</t>
  </si>
  <si>
    <t>408-4755222-9641137</t>
  </si>
  <si>
    <t>408-1231419-7533165</t>
  </si>
  <si>
    <t>407-4266227-8134753</t>
  </si>
  <si>
    <t>2501-BLACK-10</t>
  </si>
  <si>
    <t>Akole</t>
  </si>
  <si>
    <t>171-0429225-4841956</t>
  </si>
  <si>
    <t>404-1354022-8001125</t>
  </si>
  <si>
    <t>OSMANABAD</t>
  </si>
  <si>
    <t>402-2876881-1899543</t>
  </si>
  <si>
    <t>406-4510536-3623520</t>
  </si>
  <si>
    <t>2002_Tan-08</t>
  </si>
  <si>
    <t>408-8688748-6106760</t>
  </si>
  <si>
    <t>Viluppuram</t>
  </si>
  <si>
    <t>402-4581935-9629917</t>
  </si>
  <si>
    <t>Shahdara</t>
  </si>
  <si>
    <t>404-3580342-4877101</t>
  </si>
  <si>
    <t>4221_Brown-06</t>
  </si>
  <si>
    <t>AMRELI</t>
  </si>
  <si>
    <t>405-7707440-6661104</t>
  </si>
  <si>
    <t>2002_Black-07</t>
  </si>
  <si>
    <t>406-8569879-8905924</t>
  </si>
  <si>
    <t>10/08/2022</t>
  </si>
  <si>
    <t>407-7453553-4023531</t>
  </si>
  <si>
    <t>11/08/2022</t>
  </si>
  <si>
    <t>407-7510771-0749964</t>
  </si>
  <si>
    <t>408-2502848-7322727</t>
  </si>
  <si>
    <t>404-2889888-3031523</t>
  </si>
  <si>
    <t>171-6064943-5480368</t>
  </si>
  <si>
    <t>402-9002162-0201102</t>
  </si>
  <si>
    <t>407-5690038-5923514</t>
  </si>
  <si>
    <t>405-6180628-1033107</t>
  </si>
  <si>
    <t>407-0112347-6364371</t>
  </si>
  <si>
    <t>GANDEPALLI</t>
  </si>
  <si>
    <t>405-2360273-2213948</t>
  </si>
  <si>
    <t>404-3083765-3493142</t>
  </si>
  <si>
    <t>8505_Black-11</t>
  </si>
  <si>
    <t>405-4148595-8866700</t>
  </si>
  <si>
    <t>405-6179384-2694706</t>
  </si>
  <si>
    <t>Margao</t>
  </si>
  <si>
    <t>404-7473731-0843527</t>
  </si>
  <si>
    <t>405-1171480-7013153</t>
  </si>
  <si>
    <t>MORADABAD</t>
  </si>
  <si>
    <t>404-1466001-4173131</t>
  </si>
  <si>
    <t>402-8244103-3426702</t>
  </si>
  <si>
    <t>12/08/2022</t>
  </si>
  <si>
    <t>403-9433203-1965903</t>
  </si>
  <si>
    <t>403-5946164-2426737</t>
  </si>
  <si>
    <t>14/08/2022</t>
  </si>
  <si>
    <t>407-2592359-9673167</t>
  </si>
  <si>
    <t>2002_Tan-06</t>
  </si>
  <si>
    <t>GUWAHATI</t>
  </si>
  <si>
    <t>13/08/2022</t>
  </si>
  <si>
    <t>406-1207294-7997946</t>
  </si>
  <si>
    <t>407-0204067-6312300</t>
  </si>
  <si>
    <t>171-0956168-8708355</t>
  </si>
  <si>
    <t>171-0537313-5379504</t>
  </si>
  <si>
    <t>JOBNER</t>
  </si>
  <si>
    <t>402-3020318-5453160</t>
  </si>
  <si>
    <t>407-3752445-5270709</t>
  </si>
  <si>
    <t>404-0630398-4347514</t>
  </si>
  <si>
    <t>405-7677175-2178710</t>
  </si>
  <si>
    <t>171-3088786-3817911</t>
  </si>
  <si>
    <t>15/08/2022</t>
  </si>
  <si>
    <t>406-4201991-5445116</t>
  </si>
  <si>
    <t>16/08/2022</t>
  </si>
  <si>
    <t>407-7991143-4830711</t>
  </si>
  <si>
    <t>406-2187796-3911503</t>
  </si>
  <si>
    <t>17/08/2022</t>
  </si>
  <si>
    <t>403-9441862-6353916</t>
  </si>
  <si>
    <t>madurai</t>
  </si>
  <si>
    <t>403-6914174-1263551</t>
  </si>
  <si>
    <t>171-8168391-0823556</t>
  </si>
  <si>
    <t>Bidadi  Ramnagar Taluk District</t>
  </si>
  <si>
    <t>408-8747355-0217904</t>
  </si>
  <si>
    <t>4222_Brown-10</t>
  </si>
  <si>
    <t>407-9104447-6209112</t>
  </si>
  <si>
    <t>TIRUCHEGODE</t>
  </si>
  <si>
    <t>408-5154392-4841153</t>
  </si>
  <si>
    <t>404-2775908-6261969</t>
  </si>
  <si>
    <t>18/08/2022</t>
  </si>
  <si>
    <t>404-5062248-6932337</t>
  </si>
  <si>
    <t>2001-Tan-11</t>
  </si>
  <si>
    <t>404-8464890-6968356</t>
  </si>
  <si>
    <t>408-6787555-1515516</t>
  </si>
  <si>
    <t>171-3945978-3140321</t>
  </si>
  <si>
    <t>FIROZPUR</t>
  </si>
  <si>
    <t>19/08/2022</t>
  </si>
  <si>
    <t>405-5044625-8393157</t>
  </si>
  <si>
    <t>171-7824964-6511554</t>
  </si>
  <si>
    <t>171-4960074-4861962</t>
  </si>
  <si>
    <t>405-5727068-8453108</t>
  </si>
  <si>
    <t>raipur</t>
  </si>
  <si>
    <t>22/08/2022</t>
  </si>
  <si>
    <t>406-8161576-8753966</t>
  </si>
  <si>
    <t>20/08/2022</t>
  </si>
  <si>
    <t>171-5935701-8987523</t>
  </si>
  <si>
    <t>SATARA</t>
  </si>
  <si>
    <t>171-6098045-1777117</t>
  </si>
  <si>
    <t>Madakasira</t>
  </si>
  <si>
    <t>21/08/2022</t>
  </si>
  <si>
    <t>403-5065535-9806720</t>
  </si>
  <si>
    <t>406-7912044-6371506</t>
  </si>
  <si>
    <t>407-6137861-1244335</t>
  </si>
  <si>
    <t>Muktsar</t>
  </si>
  <si>
    <t>405-2501002-3889102</t>
  </si>
  <si>
    <t>1805-BLACK-08</t>
  </si>
  <si>
    <t>408-9774907-6601953</t>
  </si>
  <si>
    <t>Yavatmal</t>
  </si>
  <si>
    <t>403-6932361-4545967</t>
  </si>
  <si>
    <t>PALAKKADPALAKKAD</t>
  </si>
  <si>
    <t>404-8180506-8060334</t>
  </si>
  <si>
    <t>Chandili</t>
  </si>
  <si>
    <t>171-2744155-7798744</t>
  </si>
  <si>
    <t>Ottappalam</t>
  </si>
  <si>
    <t>404-5321658-0297914</t>
  </si>
  <si>
    <t>402-6439000-2865148</t>
  </si>
  <si>
    <t>408-2068185-3718707</t>
  </si>
  <si>
    <t>4222_Brown-11</t>
  </si>
  <si>
    <t>405-6885947-7319512</t>
  </si>
  <si>
    <t>8210-Tan-11</t>
  </si>
  <si>
    <t>171-9586860-2187535</t>
  </si>
  <si>
    <t>407-1610896-3550727</t>
  </si>
  <si>
    <t>403-8401478-3613934</t>
  </si>
  <si>
    <t>WARANGAL</t>
  </si>
  <si>
    <t>402-2167536-5193156</t>
  </si>
  <si>
    <t>406-6834984-5193144</t>
  </si>
  <si>
    <t>LALKUAN</t>
  </si>
  <si>
    <t>405-8755243-4454759</t>
  </si>
  <si>
    <t>301_Black-08</t>
  </si>
  <si>
    <t>KHAMMAM</t>
  </si>
  <si>
    <t>404-2034517-2570730</t>
  </si>
  <si>
    <t>171-6321078-3072348</t>
  </si>
  <si>
    <t>LAWNGTLAI</t>
  </si>
  <si>
    <t>171-7145717-6713910</t>
  </si>
  <si>
    <t>DINDIGUL</t>
  </si>
  <si>
    <t>406-2786335-1021117</t>
  </si>
  <si>
    <t>JUTOGH</t>
  </si>
  <si>
    <t>404-3719087-9207542</t>
  </si>
  <si>
    <t>403-1124156-9957168</t>
  </si>
  <si>
    <t>23/08/2022</t>
  </si>
  <si>
    <t>408-2122026-4704351</t>
  </si>
  <si>
    <t>8210-Tan-12</t>
  </si>
  <si>
    <t>402-4648202-5615540</t>
  </si>
  <si>
    <t>406-9684523-7721928</t>
  </si>
  <si>
    <t>4222_Black-07</t>
  </si>
  <si>
    <t>THANJAVUR</t>
  </si>
  <si>
    <t>407-2651211-5646715</t>
  </si>
  <si>
    <t>406-1621660-7989932</t>
  </si>
  <si>
    <t>24/08/2022</t>
  </si>
  <si>
    <t>404-8046979-2288359</t>
  </si>
  <si>
    <t>408-0773577-4290739</t>
  </si>
  <si>
    <t>MAHESANA</t>
  </si>
  <si>
    <t>405-7357817-1640322</t>
  </si>
  <si>
    <t>404-9260349-8229918</t>
  </si>
  <si>
    <t>THRISSUR</t>
  </si>
  <si>
    <t>25/08/2022</t>
  </si>
  <si>
    <t>405-3474664-8590752</t>
  </si>
  <si>
    <t>402-1374623-9921152</t>
  </si>
  <si>
    <t>VELLORE</t>
  </si>
  <si>
    <t>402-9294954-3425967</t>
  </si>
  <si>
    <t>Tallarevu</t>
  </si>
  <si>
    <t>402-7888367-6893135</t>
  </si>
  <si>
    <t>QUEPEM</t>
  </si>
  <si>
    <t>171-0616186-9711528</t>
  </si>
  <si>
    <t>PALEJ</t>
  </si>
  <si>
    <t>403-7452164-0713162</t>
  </si>
  <si>
    <t>26/08/2022</t>
  </si>
  <si>
    <t>171-3226929-1220300</t>
  </si>
  <si>
    <t>New Town</t>
  </si>
  <si>
    <t>403-7676525-7109951</t>
  </si>
  <si>
    <t>403-1024111-3657951</t>
  </si>
  <si>
    <t>406-4432688-2285957</t>
  </si>
  <si>
    <t>1804-BLACK-12</t>
  </si>
  <si>
    <t>KUMILY</t>
  </si>
  <si>
    <t>407-5880781-1901153</t>
  </si>
  <si>
    <t>408-8015812-4924352</t>
  </si>
  <si>
    <t>SATNA</t>
  </si>
  <si>
    <t>402-0742408-2370736</t>
  </si>
  <si>
    <t>KARUR</t>
  </si>
  <si>
    <t>27/08/2022</t>
  </si>
  <si>
    <t>403-5691495-0421945</t>
  </si>
  <si>
    <t>2501-BLACK-07</t>
  </si>
  <si>
    <t>28/08/2022</t>
  </si>
  <si>
    <t>171-6048099-6269132</t>
  </si>
  <si>
    <t>KADAYANALLUR</t>
  </si>
  <si>
    <t>408-3836486-3853164</t>
  </si>
  <si>
    <t>Konavattam  vellore</t>
  </si>
  <si>
    <t>408-0781553-4901923</t>
  </si>
  <si>
    <t>408-0704524-6950700</t>
  </si>
  <si>
    <t>8210-Tan-9</t>
  </si>
  <si>
    <t>ARANI TIRUVANNAMALAI DISTRICT</t>
  </si>
  <si>
    <t>407-9582155-8450707</t>
  </si>
  <si>
    <t>406-4105944-9562765</t>
  </si>
  <si>
    <t>301_Tan-07</t>
  </si>
  <si>
    <t>405-8000254-2108353</t>
  </si>
  <si>
    <t>KHERLI</t>
  </si>
  <si>
    <t>403-7715423-5887507</t>
  </si>
  <si>
    <t>403-8320955-3211528</t>
  </si>
  <si>
    <t>171-1457729-6474736</t>
  </si>
  <si>
    <t>403-1870547-8524313</t>
  </si>
  <si>
    <t>8505_Black-12</t>
  </si>
  <si>
    <t>171-2184722-7828307</t>
  </si>
  <si>
    <t>406-3027208-6449152</t>
  </si>
  <si>
    <t>TRICHY</t>
  </si>
  <si>
    <t>404-5676944-2098718</t>
  </si>
  <si>
    <t>VINDHYA NAGAR NTPC TOWNSHIP</t>
  </si>
  <si>
    <t>404-7433798-2957120</t>
  </si>
  <si>
    <t>malkajgiri</t>
  </si>
  <si>
    <t>405-7650173-8153907</t>
  </si>
  <si>
    <t>Deoria</t>
  </si>
  <si>
    <t>30/08/2022</t>
  </si>
  <si>
    <t>404-7576999-5491551</t>
  </si>
  <si>
    <t>Pala</t>
  </si>
  <si>
    <t>29/08/2022</t>
  </si>
  <si>
    <t>408-8698608-2527536</t>
  </si>
  <si>
    <t>403-8231558-5522741</t>
  </si>
  <si>
    <t>406-8754803-1314736</t>
  </si>
  <si>
    <t>AGARTALA</t>
  </si>
  <si>
    <t>TRIPURA</t>
  </si>
  <si>
    <t>407-5805350-1445118</t>
  </si>
  <si>
    <t>404-8793251-7281127</t>
  </si>
  <si>
    <t>171-2623016-6379520</t>
  </si>
  <si>
    <t>J-5-BLACK_09</t>
  </si>
  <si>
    <t>404-0689771-5928368</t>
  </si>
  <si>
    <t>403-0268632-3613920</t>
  </si>
  <si>
    <t>405-2129009-7180313</t>
  </si>
  <si>
    <t>PALACODERU</t>
  </si>
  <si>
    <t>31/08/2022</t>
  </si>
  <si>
    <t>407-4804959-5345969</t>
  </si>
  <si>
    <t>406-3650517-2736356</t>
  </si>
  <si>
    <t>402-4747688-0665969</t>
  </si>
  <si>
    <t>407-2668492-5677957</t>
  </si>
  <si>
    <t>404-8204588-4525949</t>
  </si>
  <si>
    <t>405-5821432-9782714</t>
  </si>
  <si>
    <t>406-3540109-0713155</t>
  </si>
  <si>
    <t>404-7068694-2704311</t>
  </si>
  <si>
    <t>01/09/2022</t>
  </si>
  <si>
    <t>402-6437044-0057126</t>
  </si>
  <si>
    <t>September</t>
  </si>
  <si>
    <t>PALANI</t>
  </si>
  <si>
    <t>404-0619089-7877965</t>
  </si>
  <si>
    <t>Burdwan</t>
  </si>
  <si>
    <t>02/09/2022</t>
  </si>
  <si>
    <t>404-1859632-2981124</t>
  </si>
  <si>
    <t>402-2640729-9745152</t>
  </si>
  <si>
    <t>Kallakurichi</t>
  </si>
  <si>
    <t>408-4763493-6059553</t>
  </si>
  <si>
    <t>1805-BLACK-07</t>
  </si>
  <si>
    <t>BAHRAICH</t>
  </si>
  <si>
    <t>03/09/2022</t>
  </si>
  <si>
    <t>403-7356626-4523536</t>
  </si>
  <si>
    <t>05/09/2022</t>
  </si>
  <si>
    <t>405-2075855-2121133</t>
  </si>
  <si>
    <t>RAE BARELI</t>
  </si>
  <si>
    <t>171-7245689-5649111</t>
  </si>
  <si>
    <t>404-8050203-6445913</t>
  </si>
  <si>
    <t>171-8926942-1913103</t>
  </si>
  <si>
    <t>Ernakulam</t>
  </si>
  <si>
    <t>403-9135971-4380362</t>
  </si>
  <si>
    <t>04/09/2022</t>
  </si>
  <si>
    <t>171-9639948-2122747</t>
  </si>
  <si>
    <t>402-9249864-4940311</t>
  </si>
  <si>
    <t>407-3477276-8622704</t>
  </si>
  <si>
    <t>1802-BLACK-11</t>
  </si>
  <si>
    <t>408-8622276-2813924</t>
  </si>
  <si>
    <t>171-0406671-5346701</t>
  </si>
  <si>
    <t>AMBALA</t>
  </si>
  <si>
    <t>406-9581838-4695509</t>
  </si>
  <si>
    <t>404-6596612-8007544</t>
  </si>
  <si>
    <t>406-5351400-3209966</t>
  </si>
  <si>
    <t>402-1128948-2246716</t>
  </si>
  <si>
    <t>06/09/2022</t>
  </si>
  <si>
    <t>402-2396771-0067531</t>
  </si>
  <si>
    <t>406-2165792-4877151</t>
  </si>
  <si>
    <t>407-1864909-3647558</t>
  </si>
  <si>
    <t>403-0689269-9625156</t>
  </si>
  <si>
    <t>pimpri chinchwad</t>
  </si>
  <si>
    <t>171-6186511-5865916</t>
  </si>
  <si>
    <t>402-2970798-7264363</t>
  </si>
  <si>
    <t>404-9565199-5641928</t>
  </si>
  <si>
    <t>07/09/2022</t>
  </si>
  <si>
    <t>408-2882784-1339564</t>
  </si>
  <si>
    <t>404-7224845-3071518</t>
  </si>
  <si>
    <t>402-8616854-3153120</t>
  </si>
  <si>
    <t>PERAMBALUR</t>
  </si>
  <si>
    <t>08/09/2022</t>
  </si>
  <si>
    <t>402-9497385-0943542</t>
  </si>
  <si>
    <t>407-7682387-1932314</t>
  </si>
  <si>
    <t>171-6617158-7849125</t>
  </si>
  <si>
    <t>403-7991015-0287508</t>
  </si>
  <si>
    <t>Sonipat</t>
  </si>
  <si>
    <t>09/09/2022</t>
  </si>
  <si>
    <t>171-8633426-6154714</t>
  </si>
  <si>
    <t>KUCHAMAN CITY</t>
  </si>
  <si>
    <t>171-1364147-7700321</t>
  </si>
  <si>
    <t>408-8188647-1323529</t>
  </si>
  <si>
    <t>A-5-BLACK_08</t>
  </si>
  <si>
    <t>402-0039612-7685161</t>
  </si>
  <si>
    <t>10/09/2022</t>
  </si>
  <si>
    <t>403-9013296-3169165</t>
  </si>
  <si>
    <t>11/09/2022</t>
  </si>
  <si>
    <t>408-0008957-7757933</t>
  </si>
  <si>
    <t>402-7771583-0189147</t>
  </si>
  <si>
    <t>406-8341736-5335555</t>
  </si>
  <si>
    <t>1805-BLACK-11</t>
  </si>
  <si>
    <t>HINDUPUR</t>
  </si>
  <si>
    <t>404-9691827-4594700</t>
  </si>
  <si>
    <t>406-6182101-1913929</t>
  </si>
  <si>
    <t>8205_Tan_10</t>
  </si>
  <si>
    <t>KODUNGALLUR</t>
  </si>
  <si>
    <t>403-7739443-0108369</t>
  </si>
  <si>
    <t>12/09/2022</t>
  </si>
  <si>
    <t>404-9345496-1933133</t>
  </si>
  <si>
    <t>406-5862075-9581950</t>
  </si>
  <si>
    <t>407-6916472-0934744</t>
  </si>
  <si>
    <t>402-7330369-4297111</t>
  </si>
  <si>
    <t>402-8822084-1752351</t>
  </si>
  <si>
    <t>BHOPAL m p</t>
  </si>
  <si>
    <t>405-9300120-4336340</t>
  </si>
  <si>
    <t>8505_Black-09</t>
  </si>
  <si>
    <t>13/09/2022</t>
  </si>
  <si>
    <t>408-1461356-8684356</t>
  </si>
  <si>
    <t>14/09/2022</t>
  </si>
  <si>
    <t>406-1521183-7545920</t>
  </si>
  <si>
    <t>171-6175710-4287520</t>
  </si>
  <si>
    <t>405-6791689-0693928</t>
  </si>
  <si>
    <t>408-7083614-2129905</t>
  </si>
  <si>
    <t>Kovilpatti</t>
  </si>
  <si>
    <t>406-7561443-2873111</t>
  </si>
  <si>
    <t>MUZAFFARNAGAR</t>
  </si>
  <si>
    <t>15/09/2022</t>
  </si>
  <si>
    <t>171-5701242-3113109</t>
  </si>
  <si>
    <t>301_Tan-06</t>
  </si>
  <si>
    <t>171-9885466-2085110</t>
  </si>
  <si>
    <t>16/09/2022</t>
  </si>
  <si>
    <t>407-6768790-7432334</t>
  </si>
  <si>
    <t>404-1577421-7135567</t>
  </si>
  <si>
    <t>403-4034370-3956351</t>
  </si>
  <si>
    <t>408-7654980-5161962</t>
  </si>
  <si>
    <t>407-9309652-5916318</t>
  </si>
  <si>
    <t>18/09/2022</t>
  </si>
  <si>
    <t>404-2026933-3965142</t>
  </si>
  <si>
    <t>408-4478475-5725929</t>
  </si>
  <si>
    <t>404-0121090-1470712</t>
  </si>
  <si>
    <t>17/09/2022</t>
  </si>
  <si>
    <t>408-6603322-4341110</t>
  </si>
  <si>
    <t>406-9740025-9920352</t>
  </si>
  <si>
    <t>505_TAN_08</t>
  </si>
  <si>
    <t>408-9524958-8129937</t>
  </si>
  <si>
    <t>403-3774582-1113949</t>
  </si>
  <si>
    <t>407-9963680-2614702</t>
  </si>
  <si>
    <t>NORTH GUWAHATI</t>
  </si>
  <si>
    <t>403-6305056-7857919</t>
  </si>
  <si>
    <t>8501_Black-08</t>
  </si>
  <si>
    <t>MANGALYA INDORE</t>
  </si>
  <si>
    <t>402-4912768-9849112</t>
  </si>
  <si>
    <t>171-9162822-9295544</t>
  </si>
  <si>
    <t>HAMIRPUR</t>
  </si>
  <si>
    <t>19/09/2022</t>
  </si>
  <si>
    <t>404-2686986-3802755</t>
  </si>
  <si>
    <t>403-3069429-9670743</t>
  </si>
  <si>
    <t>402-2228042-4581953</t>
  </si>
  <si>
    <t>KOTLA NIHANG</t>
  </si>
  <si>
    <t>402-3976212-1463555</t>
  </si>
  <si>
    <t>HOSHIARPUR</t>
  </si>
  <si>
    <t>406-3658348-9025945</t>
  </si>
  <si>
    <t>LONI</t>
  </si>
  <si>
    <t>20/09/2022</t>
  </si>
  <si>
    <t>405-7565445-9149956</t>
  </si>
  <si>
    <t>402-0032762-9245952</t>
  </si>
  <si>
    <t>PILKHUWA</t>
  </si>
  <si>
    <t>403-3725974-5072345</t>
  </si>
  <si>
    <t>406-0231547-2422731</t>
  </si>
  <si>
    <t>405-2866637-3949955</t>
  </si>
  <si>
    <t>KATRA</t>
  </si>
  <si>
    <t>JAMMU &amp; KASHMIR</t>
  </si>
  <si>
    <t>406-0282879-2629928</t>
  </si>
  <si>
    <t>408-8766798-5257967</t>
  </si>
  <si>
    <t>21/09/2022</t>
  </si>
  <si>
    <t>402-7439699-0295558</t>
  </si>
  <si>
    <t>4222_Brown-09</t>
  </si>
  <si>
    <t>22/09/2022</t>
  </si>
  <si>
    <t>408-9209639-4829903</t>
  </si>
  <si>
    <t>405-4189778-2001148</t>
  </si>
  <si>
    <t>DANKUNI</t>
  </si>
  <si>
    <t>402-7782664-7975564</t>
  </si>
  <si>
    <t>PALAKKAD</t>
  </si>
  <si>
    <t>406-4966171-5733900</t>
  </si>
  <si>
    <t>Junagadh</t>
  </si>
  <si>
    <t>23/09/2022</t>
  </si>
  <si>
    <t>407-7553580-9962767</t>
  </si>
  <si>
    <t>DOMBIVALI</t>
  </si>
  <si>
    <t>406-7896538-1962700</t>
  </si>
  <si>
    <t>403-9983451-7867532</t>
  </si>
  <si>
    <t>Borivali West   Mumbai</t>
  </si>
  <si>
    <t>408-8257362-0051527</t>
  </si>
  <si>
    <t>paradip</t>
  </si>
  <si>
    <t>402-3011165-6414761</t>
  </si>
  <si>
    <t>SONAMUKHI</t>
  </si>
  <si>
    <t>407-0581448-5000344</t>
  </si>
  <si>
    <t>403-1563718-9008354</t>
  </si>
  <si>
    <t>402-6023302-8862718</t>
  </si>
  <si>
    <t>171-6690070-0658758</t>
  </si>
  <si>
    <t>171-3181164-5008369</t>
  </si>
  <si>
    <t>403-4650092-2420313</t>
  </si>
  <si>
    <t>NENMENIKKARA</t>
  </si>
  <si>
    <t>171-7927122-8832344</t>
  </si>
  <si>
    <t>IROOPARA</t>
  </si>
  <si>
    <t>406-4732574-9995528</t>
  </si>
  <si>
    <t>402-1437002-2190748</t>
  </si>
  <si>
    <t>171-2383096-9050701</t>
  </si>
  <si>
    <t>VANDAVASI</t>
  </si>
  <si>
    <t>403-5081012-5209146</t>
  </si>
  <si>
    <t>2501-BLACK-08</t>
  </si>
  <si>
    <t>Kadakkavoor</t>
  </si>
  <si>
    <t>403-2061189-2949966</t>
  </si>
  <si>
    <t>404-8298491-4446769</t>
  </si>
  <si>
    <t>408-1801800-5556311</t>
  </si>
  <si>
    <t>SOMPETA</t>
  </si>
  <si>
    <t>403-1344489-1648346</t>
  </si>
  <si>
    <t>402-6579338-7463547</t>
  </si>
  <si>
    <t>406-8377629-5115552</t>
  </si>
  <si>
    <t>408-5448895-9022707</t>
  </si>
  <si>
    <t>26/09/2022</t>
  </si>
  <si>
    <t>404-2469670-9554717</t>
  </si>
  <si>
    <t>24/09/2022</t>
  </si>
  <si>
    <t>408-8403918-9121917</t>
  </si>
  <si>
    <t>25/09/2022</t>
  </si>
  <si>
    <t>404-6261677-0877108</t>
  </si>
  <si>
    <t>408-6936165-4355565</t>
  </si>
  <si>
    <t>171-7470414-4178753</t>
  </si>
  <si>
    <t>ARANG</t>
  </si>
  <si>
    <t>408-9184016-4937923</t>
  </si>
  <si>
    <t>PATTIKARA</t>
  </si>
  <si>
    <t>406-8391829-9687527</t>
  </si>
  <si>
    <t>JAMNAGAR</t>
  </si>
  <si>
    <t>405-8508347-6336305</t>
  </si>
  <si>
    <t>404-1199678-2852344</t>
  </si>
  <si>
    <t>ART_505_BLACK_11</t>
  </si>
  <si>
    <t>406-2349173-4113145</t>
  </si>
  <si>
    <t>BHUBANESWAR</t>
  </si>
  <si>
    <t>402-3814496-7381150</t>
  </si>
  <si>
    <t>4222_Black-06</t>
  </si>
  <si>
    <t>404-7036233-7424318</t>
  </si>
  <si>
    <t>Tambaram</t>
  </si>
  <si>
    <t>403-6562757-6457911</t>
  </si>
  <si>
    <t>407-3425757-7138757</t>
  </si>
  <si>
    <t>402-4670938-6238729</t>
  </si>
  <si>
    <t>402-4150975-1361141</t>
  </si>
  <si>
    <t>171-8182416-1557947</t>
  </si>
  <si>
    <t>ASHTA</t>
  </si>
  <si>
    <t>406-7399606-1442716</t>
  </si>
  <si>
    <t>PETHANAICKENPALAYAM</t>
  </si>
  <si>
    <t>406-0961897-0658704</t>
  </si>
  <si>
    <t>404-4605565-9392340</t>
  </si>
  <si>
    <t>27/09/2022</t>
  </si>
  <si>
    <t>402-5347609-4161146</t>
  </si>
  <si>
    <t>403-5451880-8422761</t>
  </si>
  <si>
    <t>8205_Black_6</t>
  </si>
  <si>
    <t>404-5837762-8305152</t>
  </si>
  <si>
    <t>SHORANUR</t>
  </si>
  <si>
    <t>403-1103334-7059540</t>
  </si>
  <si>
    <t>NANDI</t>
  </si>
  <si>
    <t>171-0284917-7752326</t>
  </si>
  <si>
    <t>SONGADH TAPI DISTRICT</t>
  </si>
  <si>
    <t>408-7573536-4221114</t>
  </si>
  <si>
    <t>407-5351567-1517961</t>
  </si>
  <si>
    <t>ART_505_BROWN_12</t>
  </si>
  <si>
    <t>402-5467691-0556358</t>
  </si>
  <si>
    <t>405-1969849-3508337</t>
  </si>
  <si>
    <t>405-7474336-0443543</t>
  </si>
  <si>
    <t>406-7093554-6129132</t>
  </si>
  <si>
    <t>THIRUVALLA</t>
  </si>
  <si>
    <t>406-6771036-8508336</t>
  </si>
  <si>
    <t>403-0848629-7118745</t>
  </si>
  <si>
    <t>301_Brown-11</t>
  </si>
  <si>
    <t>403-3886187-5954725</t>
  </si>
  <si>
    <t>408-1188573-4737943</t>
  </si>
  <si>
    <t>171-4591953-4916327</t>
  </si>
  <si>
    <t>406-9606493-9918713</t>
  </si>
  <si>
    <t>408-1031649-1974708</t>
  </si>
  <si>
    <t>402-8216790-8355525</t>
  </si>
  <si>
    <t>VASAI</t>
  </si>
  <si>
    <t>407-4252694-9898707</t>
  </si>
  <si>
    <t>171-2932377-9792302</t>
  </si>
  <si>
    <t>28/09/2022</t>
  </si>
  <si>
    <t>405-3419987-6021966</t>
  </si>
  <si>
    <t>HINDAUN</t>
  </si>
  <si>
    <t>404-1463866-4605124</t>
  </si>
  <si>
    <t>405-0137713-1269129</t>
  </si>
  <si>
    <t>Bichun</t>
  </si>
  <si>
    <t>408-2644579-7827511</t>
  </si>
  <si>
    <t>171-0701101-9779509</t>
  </si>
  <si>
    <t>407-4442134-1831516</t>
  </si>
  <si>
    <t>ASANSOL</t>
  </si>
  <si>
    <t>407-6395076-8265905</t>
  </si>
  <si>
    <t>305_Brown-11</t>
  </si>
  <si>
    <t>CHHATARPUR</t>
  </si>
  <si>
    <t>405-8669073-9493922</t>
  </si>
  <si>
    <t>KOTDWARA</t>
  </si>
  <si>
    <t>407-6521391-3154720</t>
  </si>
  <si>
    <t>171-4055111-7205938</t>
  </si>
  <si>
    <t>30/09/2022</t>
  </si>
  <si>
    <t>408-2274209-0831541</t>
  </si>
  <si>
    <t>171-7980571-1756311</t>
  </si>
  <si>
    <t>29/09/2022</t>
  </si>
  <si>
    <t>404-1623376-3676364</t>
  </si>
  <si>
    <t>408-8310058-2194767</t>
  </si>
  <si>
    <t>406-7546832-1969962</t>
  </si>
  <si>
    <t>Bhilai</t>
  </si>
  <si>
    <t>403-8780751-0504331</t>
  </si>
  <si>
    <t>408-9807157-7336346</t>
  </si>
  <si>
    <t>171-2241897-5524361</t>
  </si>
  <si>
    <t>407-2304005-6283560</t>
  </si>
  <si>
    <t>403-1282862-1017162</t>
  </si>
  <si>
    <t>2505-BLACK-09</t>
  </si>
  <si>
    <t>BIDAR</t>
  </si>
  <si>
    <t>407-4139800-3512358</t>
  </si>
  <si>
    <t>Kalyan</t>
  </si>
  <si>
    <t>171-6005190-5476344</t>
  </si>
  <si>
    <t>171-1613390-7768308</t>
  </si>
  <si>
    <t>406-2098675-1585142</t>
  </si>
  <si>
    <t>406-5099641-2274750</t>
  </si>
  <si>
    <t>406-7349390-2061138</t>
  </si>
  <si>
    <t>Varkala</t>
  </si>
  <si>
    <t>408-3019580-2355532</t>
  </si>
  <si>
    <t>171-8984219-0774751</t>
  </si>
  <si>
    <t>TIRUCHIRAPPALLI</t>
  </si>
  <si>
    <t>404-1687937-4209124</t>
  </si>
  <si>
    <t>406-6446152-9165918</t>
  </si>
  <si>
    <t>403-6233338-2125918</t>
  </si>
  <si>
    <t>404-0960905-3856368</t>
  </si>
  <si>
    <t>01/10/2022</t>
  </si>
  <si>
    <t>405-6854124-0125918</t>
  </si>
  <si>
    <t>October</t>
  </si>
  <si>
    <t>404-1746895-6178748</t>
  </si>
  <si>
    <t>02/10/2022</t>
  </si>
  <si>
    <t>404-4852137-9743554</t>
  </si>
  <si>
    <t>406-8444850-5110724</t>
  </si>
  <si>
    <t>NAGINA</t>
  </si>
  <si>
    <t>404-2106239-1599543</t>
  </si>
  <si>
    <t>171-9119192-9004348</t>
  </si>
  <si>
    <t>402-7052401-4750724</t>
  </si>
  <si>
    <t>408-7300203-2299546</t>
  </si>
  <si>
    <t>408-0955918-1281132</t>
  </si>
  <si>
    <t>171-2852733-5487545</t>
  </si>
  <si>
    <t>402-4521330-3123520</t>
  </si>
  <si>
    <t>408-0824996-3723507</t>
  </si>
  <si>
    <t>8501_Black-09</t>
  </si>
  <si>
    <t>Nanar Ingalwadi Taluka  Rajapur  Dist  Ratnagiri</t>
  </si>
  <si>
    <t>402-6244748-1909923</t>
  </si>
  <si>
    <t>PILLAIARKUPPAM</t>
  </si>
  <si>
    <t>408-7069352-7433157</t>
  </si>
  <si>
    <t>171-3284624-0520351</t>
  </si>
  <si>
    <t>Dandeli</t>
  </si>
  <si>
    <t>03/10/2022</t>
  </si>
  <si>
    <t>171-5906079-2540350</t>
  </si>
  <si>
    <t>NOIDA sec 62</t>
  </si>
  <si>
    <t>407-6298003-3037117</t>
  </si>
  <si>
    <t>403-2590480-3982738</t>
  </si>
  <si>
    <t>402-1492396-1610754</t>
  </si>
  <si>
    <t>05/10/2022</t>
  </si>
  <si>
    <t>406-3842492-3107519</t>
  </si>
  <si>
    <t>06/10/2022</t>
  </si>
  <si>
    <t>405-4416045-7496319</t>
  </si>
  <si>
    <t>phalodi Dt  Jodhpur</t>
  </si>
  <si>
    <t>04/10/2022</t>
  </si>
  <si>
    <t>408-0782975-5444302</t>
  </si>
  <si>
    <t>402-3070693-0139526</t>
  </si>
  <si>
    <t>408-8124405-4929943</t>
  </si>
  <si>
    <t>301_Brown-12</t>
  </si>
  <si>
    <t>403-7127214-7200343</t>
  </si>
  <si>
    <t>RAYAVARAM</t>
  </si>
  <si>
    <t>404-3360826-5841904</t>
  </si>
  <si>
    <t>402-3392632-3443512</t>
  </si>
  <si>
    <t>RAJULA</t>
  </si>
  <si>
    <t>405-9637284-7911568</t>
  </si>
  <si>
    <t>AMMAPETTAI ERODE DISTRICT</t>
  </si>
  <si>
    <t>171-6599426-7905157</t>
  </si>
  <si>
    <t>403-6822838-7807524</t>
  </si>
  <si>
    <t>Mathabhanga</t>
  </si>
  <si>
    <t>405-4957466-7652312</t>
  </si>
  <si>
    <t>403-8266427-5532304</t>
  </si>
  <si>
    <t>Kalpi</t>
  </si>
  <si>
    <t>403-7707714-8759561</t>
  </si>
  <si>
    <t>DURGAPUR</t>
  </si>
  <si>
    <t>405-7161409-9523530</t>
  </si>
  <si>
    <t>403-8032847-1675539</t>
  </si>
  <si>
    <t>407-7226288-5463551</t>
  </si>
  <si>
    <t>405-8966695-0927507</t>
  </si>
  <si>
    <t>406-5411640-8965148</t>
  </si>
  <si>
    <t>406-6077574-5769117</t>
  </si>
  <si>
    <t>KUMBAKONAM</t>
  </si>
  <si>
    <t>07/10/2022</t>
  </si>
  <si>
    <t>405-0334352-6615500</t>
  </si>
  <si>
    <t>171-6259641-2466701</t>
  </si>
  <si>
    <t>408-6264385-5245962</t>
  </si>
  <si>
    <t>407-9871636-8885104</t>
  </si>
  <si>
    <t>405-5182382-0771546</t>
  </si>
  <si>
    <t>KANODAR</t>
  </si>
  <si>
    <t>171-6756094-3651517</t>
  </si>
  <si>
    <t>402-2238355-0845903</t>
  </si>
  <si>
    <t>SONIPAT</t>
  </si>
  <si>
    <t>403-5865752-5731565</t>
  </si>
  <si>
    <t>ART_505_BROWN_11</t>
  </si>
  <si>
    <t>08/10/2022</t>
  </si>
  <si>
    <t>408-7710590-8439523</t>
  </si>
  <si>
    <t>405-7644322-6621103</t>
  </si>
  <si>
    <t>KISHANGANJ</t>
  </si>
  <si>
    <t>403-7769328-3733146</t>
  </si>
  <si>
    <t>301_Black-06</t>
  </si>
  <si>
    <t>GAUTAM BUDDHA NAGAR</t>
  </si>
  <si>
    <t>406-9474884-4445123</t>
  </si>
  <si>
    <t>406-6120403-6498726</t>
  </si>
  <si>
    <t>406-0760737-4614733</t>
  </si>
  <si>
    <t>406-2478356-1867509</t>
  </si>
  <si>
    <t>PATHANAMTHITTA</t>
  </si>
  <si>
    <t>402-7812864-8460304</t>
  </si>
  <si>
    <t>501_Tan_12</t>
  </si>
  <si>
    <t>402-4618199-9295528</t>
  </si>
  <si>
    <t>407-4018628-0909143</t>
  </si>
  <si>
    <t>408-5309269-0883514</t>
  </si>
  <si>
    <t>408-3223444-2160301</t>
  </si>
  <si>
    <t>405-1371035-3329118</t>
  </si>
  <si>
    <t>Noida</t>
  </si>
  <si>
    <t>09/10/2022</t>
  </si>
  <si>
    <t>406-3539368-4157929</t>
  </si>
  <si>
    <t>DOWLESWARAM</t>
  </si>
  <si>
    <t>406-1974638-0457118</t>
  </si>
  <si>
    <t>171-0816376-6027524</t>
  </si>
  <si>
    <t>AMBIKAPUR</t>
  </si>
  <si>
    <t>404-2101140-6946721</t>
  </si>
  <si>
    <t>7201-Tan-8</t>
  </si>
  <si>
    <t>404-7741204-6308302</t>
  </si>
  <si>
    <t>Tripunithura</t>
  </si>
  <si>
    <t>11/10/2022</t>
  </si>
  <si>
    <t>406-2027820-3104306</t>
  </si>
  <si>
    <t>407-6521308-1401958</t>
  </si>
  <si>
    <t>8505_Black-07</t>
  </si>
  <si>
    <t>RAYAGADA</t>
  </si>
  <si>
    <t>10/10/2022</t>
  </si>
  <si>
    <t>408-9670932-0983548</t>
  </si>
  <si>
    <t>408-5607676-3290725</t>
  </si>
  <si>
    <t>171-2833106-5073908</t>
  </si>
  <si>
    <t>171-7709208-8693903</t>
  </si>
  <si>
    <t>MUNGER</t>
  </si>
  <si>
    <t>408-9030842-4655564</t>
  </si>
  <si>
    <t>171-2515964-4245103</t>
  </si>
  <si>
    <t>402-4700577-4526754</t>
  </si>
  <si>
    <t>GHANGHATA</t>
  </si>
  <si>
    <t>403-7869089-5855559</t>
  </si>
  <si>
    <t>408-2834190-4469108</t>
  </si>
  <si>
    <t>Port Blair</t>
  </si>
  <si>
    <t>ANDAMAN &amp; NICOBAR ISLANDS</t>
  </si>
  <si>
    <t>406-6331347-7596312</t>
  </si>
  <si>
    <t>408-0429417-4014709</t>
  </si>
  <si>
    <t>12/10/2022</t>
  </si>
  <si>
    <t>408-6222277-5587561</t>
  </si>
  <si>
    <t>408-4685639-1273167</t>
  </si>
  <si>
    <t>405-6015592-3588305</t>
  </si>
  <si>
    <t>KAKKALUR</t>
  </si>
  <si>
    <t>408-4886765-6153904</t>
  </si>
  <si>
    <t>MUGHALSARAI</t>
  </si>
  <si>
    <t>171-9802463-7077962</t>
  </si>
  <si>
    <t>501_BROWN_06</t>
  </si>
  <si>
    <t>SEDAM</t>
  </si>
  <si>
    <t>403-3845106-2540313</t>
  </si>
  <si>
    <t>408-8913335-1669118</t>
  </si>
  <si>
    <t>403-3135010-2378745</t>
  </si>
  <si>
    <t>HUNSUR</t>
  </si>
  <si>
    <t>408-4833419-9258710</t>
  </si>
  <si>
    <t>171-1319421-6372328</t>
  </si>
  <si>
    <t>407-6931146-2085153</t>
  </si>
  <si>
    <t>402-7775353-6029167</t>
  </si>
  <si>
    <t>407-0911975-2489959</t>
  </si>
  <si>
    <t>New Delhi</t>
  </si>
  <si>
    <t>403-9279607-4682741</t>
  </si>
  <si>
    <t>404-6029846-1089113</t>
  </si>
  <si>
    <t>171-2807685-0253101</t>
  </si>
  <si>
    <t>TIRUKKOYILUR</t>
  </si>
  <si>
    <t>171-9891083-2925950</t>
  </si>
  <si>
    <t>406-6705082-0178713</t>
  </si>
  <si>
    <t>POLLACHI</t>
  </si>
  <si>
    <t>406-3748641-9346725</t>
  </si>
  <si>
    <t>406-6019162-5434766</t>
  </si>
  <si>
    <t>SAHARANPUR</t>
  </si>
  <si>
    <t>407-0708831-0585121</t>
  </si>
  <si>
    <t>171-0291533-8045965</t>
  </si>
  <si>
    <t>HANUMAN JUNCTION</t>
  </si>
  <si>
    <t>408-6724259-7033102</t>
  </si>
  <si>
    <t>407-8623808-6369905</t>
  </si>
  <si>
    <t>8505_Brown-12</t>
  </si>
  <si>
    <t>406-0334534-4105975</t>
  </si>
  <si>
    <t>13/10/2022</t>
  </si>
  <si>
    <t>408-5355084-8924307</t>
  </si>
  <si>
    <t>406-5772245-8274707</t>
  </si>
  <si>
    <t>2001-Tan-06</t>
  </si>
  <si>
    <t>Port blair</t>
  </si>
  <si>
    <t>402-9025862-0313132</t>
  </si>
  <si>
    <t>DERGAON</t>
  </si>
  <si>
    <t>405-7336029-0904309</t>
  </si>
  <si>
    <t>171-0326032-3097151</t>
  </si>
  <si>
    <t>405-4451691-3878708</t>
  </si>
  <si>
    <t>171-5492159-6617121</t>
  </si>
  <si>
    <t>404-2745800-7145129</t>
  </si>
  <si>
    <t>405-6650005-8682726</t>
  </si>
  <si>
    <t>14/10/2022</t>
  </si>
  <si>
    <t>406-3137625-9727525</t>
  </si>
  <si>
    <t>407-5166223-8118726</t>
  </si>
  <si>
    <t>KURUVATTUR</t>
  </si>
  <si>
    <t>405-0555937-3433125</t>
  </si>
  <si>
    <t>408-1406655-9445163</t>
  </si>
  <si>
    <t>15/10/2022</t>
  </si>
  <si>
    <t>406-3021883-1226748</t>
  </si>
  <si>
    <t>Arakonam</t>
  </si>
  <si>
    <t>408-6948102-3596358</t>
  </si>
  <si>
    <t>405-2084013-9022728</t>
  </si>
  <si>
    <t>305_Black-11</t>
  </si>
  <si>
    <t>BARSHI</t>
  </si>
  <si>
    <t>403-4256366-7742723</t>
  </si>
  <si>
    <t>SURSAND</t>
  </si>
  <si>
    <t>171-8245005-0424316</t>
  </si>
  <si>
    <t>406-0003631-7822731</t>
  </si>
  <si>
    <t>MAVOOR</t>
  </si>
  <si>
    <t>405-7751103-5181149</t>
  </si>
  <si>
    <t>16/10/2022</t>
  </si>
  <si>
    <t>406-9259658-8548326</t>
  </si>
  <si>
    <t>404-3679105-6584359</t>
  </si>
  <si>
    <t>407-1756740-2570723</t>
  </si>
  <si>
    <t>2001-Brown-10</t>
  </si>
  <si>
    <t>171-2545442-4889947</t>
  </si>
  <si>
    <t>407-3944309-8380357</t>
  </si>
  <si>
    <t>VALSAD</t>
  </si>
  <si>
    <t>17/10/2022</t>
  </si>
  <si>
    <t>406-8095440-5073117</t>
  </si>
  <si>
    <t>408-3178765-2941938</t>
  </si>
  <si>
    <t>406-8595102-0856304</t>
  </si>
  <si>
    <t>405-9905499-6051564</t>
  </si>
  <si>
    <t>171-2937619-2836323</t>
  </si>
  <si>
    <t>405-1597513-8716308</t>
  </si>
  <si>
    <t>SHRIRAMPUR</t>
  </si>
  <si>
    <t>408-1996305-0041934</t>
  </si>
  <si>
    <t>18/10/2022</t>
  </si>
  <si>
    <t>407-9859903-9981916</t>
  </si>
  <si>
    <t>402-4659317-1583506</t>
  </si>
  <si>
    <t>Kalka</t>
  </si>
  <si>
    <t>171-4992381-5397929</t>
  </si>
  <si>
    <t>Namakkal</t>
  </si>
  <si>
    <t>407-1026638-2875555</t>
  </si>
  <si>
    <t>408-8252532-1544357</t>
  </si>
  <si>
    <t>RAMGANJ MANDI</t>
  </si>
  <si>
    <t>402-6569844-0368332</t>
  </si>
  <si>
    <t>403-3100988-5172301</t>
  </si>
  <si>
    <t>403-7704506-8643548</t>
  </si>
  <si>
    <t>Bandel</t>
  </si>
  <si>
    <t>403-8218497-5733129</t>
  </si>
  <si>
    <t>19/10/2022</t>
  </si>
  <si>
    <t>405-6942048-0858768</t>
  </si>
  <si>
    <t>Valsad</t>
  </si>
  <si>
    <t>402-9186156-2113932</t>
  </si>
  <si>
    <t>403-8953570-6313913</t>
  </si>
  <si>
    <t>CHITRADURGA</t>
  </si>
  <si>
    <t>171-6821330-8989952</t>
  </si>
  <si>
    <t>KAITHAL</t>
  </si>
  <si>
    <t>403-3629968-8575509</t>
  </si>
  <si>
    <t>402-8099072-8225906</t>
  </si>
  <si>
    <t>KOCHI</t>
  </si>
  <si>
    <t>408-2723139-4663533</t>
  </si>
  <si>
    <t>20/10/2022</t>
  </si>
  <si>
    <t>406-0394923-9458750</t>
  </si>
  <si>
    <t>402-5294570-7507504</t>
  </si>
  <si>
    <t>403-4151862-1609156</t>
  </si>
  <si>
    <t>408-4074949-9183548</t>
  </si>
  <si>
    <t>403-0671912-4826766</t>
  </si>
  <si>
    <t>402-3194054-9675534</t>
  </si>
  <si>
    <t>4221_Black-11</t>
  </si>
  <si>
    <t>21/10/2022</t>
  </si>
  <si>
    <t>405-8751308-1193949</t>
  </si>
  <si>
    <t>Nagaur</t>
  </si>
  <si>
    <t>171-0579824-2489919</t>
  </si>
  <si>
    <t>404-2210841-4697903</t>
  </si>
  <si>
    <t>171-3310850-2237116</t>
  </si>
  <si>
    <t>402-7962661-8725933</t>
  </si>
  <si>
    <t>22/10/2022</t>
  </si>
  <si>
    <t>171-9554335-3116350</t>
  </si>
  <si>
    <t>2001-Tan-10</t>
  </si>
  <si>
    <t>171-3814195-9190719</t>
  </si>
  <si>
    <t>MEERUT</t>
  </si>
  <si>
    <t>408-8343149-2014767</t>
  </si>
  <si>
    <t>SAMBA</t>
  </si>
  <si>
    <t>23/10/2022</t>
  </si>
  <si>
    <t>403-8017434-5509910</t>
  </si>
  <si>
    <t>408-3207858-2465101</t>
  </si>
  <si>
    <t>171-1042155-2119501</t>
  </si>
  <si>
    <t>402-5985084-5540341</t>
  </si>
  <si>
    <t>CHANDIGARH</t>
  </si>
  <si>
    <t>407-3382113-0453915</t>
  </si>
  <si>
    <t>405-1252066-6857935</t>
  </si>
  <si>
    <t>Nadbai</t>
  </si>
  <si>
    <t>171-3287475-2305110</t>
  </si>
  <si>
    <t>30/10/2022</t>
  </si>
  <si>
    <t>402-6318511-1897953</t>
  </si>
  <si>
    <t>31/10/2022</t>
  </si>
  <si>
    <t>405-2240168-1761966</t>
  </si>
  <si>
    <t>407-2236740-7228309</t>
  </si>
  <si>
    <t>171-8067943-0764346</t>
  </si>
  <si>
    <t>DEOBAND</t>
  </si>
  <si>
    <t>408-2231356-2849962</t>
  </si>
  <si>
    <t>405-4610979-3111566</t>
  </si>
  <si>
    <t>403-6478989-4368318</t>
  </si>
  <si>
    <t>301_Black-09</t>
  </si>
  <si>
    <t>408-1896938-6672343</t>
  </si>
  <si>
    <t>404-8221743-4539551</t>
  </si>
  <si>
    <t>406-1483513-6206715</t>
  </si>
  <si>
    <t>171-6378643-7048355</t>
  </si>
  <si>
    <t>L-1-BLACK_07</t>
  </si>
  <si>
    <t>405-1903969-0813133</t>
  </si>
  <si>
    <t>305_Brown-10</t>
  </si>
  <si>
    <t>SHOLINGUR</t>
  </si>
  <si>
    <t>406-8877044-5533147</t>
  </si>
  <si>
    <t>29/10/2022</t>
  </si>
  <si>
    <t>171-8771524-7621134</t>
  </si>
  <si>
    <t>408-8585235-3010764</t>
  </si>
  <si>
    <t>402-3217570-2749145</t>
  </si>
  <si>
    <t>404-1527656-2948362</t>
  </si>
  <si>
    <t>403-9662624-5621936</t>
  </si>
  <si>
    <t>171-0733172-8009927</t>
  </si>
  <si>
    <t>405-6311994-0979526</t>
  </si>
  <si>
    <t>407-0727851-7404354</t>
  </si>
  <si>
    <t>01/11/2022</t>
  </si>
  <si>
    <t>408-7833328-8252319</t>
  </si>
  <si>
    <t>November</t>
  </si>
  <si>
    <t>405-5703998-0449962</t>
  </si>
  <si>
    <t>02/11/2022</t>
  </si>
  <si>
    <t>403-2642241-4224324</t>
  </si>
  <si>
    <t>8505_Black-06</t>
  </si>
  <si>
    <t>405-3760392-7341121</t>
  </si>
  <si>
    <t>TUTICORIN</t>
  </si>
  <si>
    <t>171-1587255-1696308</t>
  </si>
  <si>
    <t>407-5669997-5730767</t>
  </si>
  <si>
    <t>SRI GANGANAGAR</t>
  </si>
  <si>
    <t>408-4447461-4646752</t>
  </si>
  <si>
    <t>406-4534223-2038720</t>
  </si>
  <si>
    <t>402-6089504-5834714</t>
  </si>
  <si>
    <t>407-1113747-0802764</t>
  </si>
  <si>
    <t>03/11/2022</t>
  </si>
  <si>
    <t>407-7848826-5465941</t>
  </si>
  <si>
    <t>408-6855035-9937165</t>
  </si>
  <si>
    <t>404-2021999-1399514</t>
  </si>
  <si>
    <t>04/11/2022</t>
  </si>
  <si>
    <t>171-7477716-2029107</t>
  </si>
  <si>
    <t>Thane</t>
  </si>
  <si>
    <t>403-7363239-8991536</t>
  </si>
  <si>
    <t>05/11/2022</t>
  </si>
  <si>
    <t>404-2694237-1057158</t>
  </si>
  <si>
    <t>405-1750170-8610765</t>
  </si>
  <si>
    <t>404-1061862-4609139</t>
  </si>
  <si>
    <t>403-5683848-9658742</t>
  </si>
  <si>
    <t>407-3022054-9622764</t>
  </si>
  <si>
    <t>402-1064632-7071529</t>
  </si>
  <si>
    <t>RAMNAGAR</t>
  </si>
  <si>
    <t>404-5648705-3461929</t>
  </si>
  <si>
    <t>403-0818304-7504367</t>
  </si>
  <si>
    <t>Gandhinagar</t>
  </si>
  <si>
    <t>403-8811790-1801948</t>
  </si>
  <si>
    <t>405-0402119-1824310</t>
  </si>
  <si>
    <t>402-1002473-3735551</t>
  </si>
  <si>
    <t>SOUTH GOA</t>
  </si>
  <si>
    <t>403-5719319-1032354</t>
  </si>
  <si>
    <t>KAKINADA</t>
  </si>
  <si>
    <t>171-4966193-1334764</t>
  </si>
  <si>
    <t>CHANNARAYAPATNA</t>
  </si>
  <si>
    <t>403-6832875-4689905</t>
  </si>
  <si>
    <t>Nashik</t>
  </si>
  <si>
    <t>406-6002736-8348351</t>
  </si>
  <si>
    <t>06/11/2022</t>
  </si>
  <si>
    <t>171-9895783-1900368</t>
  </si>
  <si>
    <t>405-2767779-9014711</t>
  </si>
  <si>
    <t>408-6726933-1013930</t>
  </si>
  <si>
    <t>405-6213271-5634757</t>
  </si>
  <si>
    <t>404-0289972-4810735</t>
  </si>
  <si>
    <t>404-8462547-6317946</t>
  </si>
  <si>
    <t>DHARMAPURI</t>
  </si>
  <si>
    <t>405-7404388-5865926</t>
  </si>
  <si>
    <t>08/11/2022</t>
  </si>
  <si>
    <t>405-9048887-7964316</t>
  </si>
  <si>
    <t>07/11/2022</t>
  </si>
  <si>
    <t>408-9678778-2992300</t>
  </si>
  <si>
    <t>RENGALI</t>
  </si>
  <si>
    <t>408-5423069-9473914</t>
  </si>
  <si>
    <t>171-0951968-0021111</t>
  </si>
  <si>
    <t>405-4225370-3965931</t>
  </si>
  <si>
    <t>408-8807628-3134737</t>
  </si>
  <si>
    <t>404-0520558-0282745</t>
  </si>
  <si>
    <t>402-2589974-2047541</t>
  </si>
  <si>
    <t>09/11/2022</t>
  </si>
  <si>
    <t>402-2271259-5107569</t>
  </si>
  <si>
    <t>403-2294568-7220351</t>
  </si>
  <si>
    <t>404-0024067-5770762</t>
  </si>
  <si>
    <t>305_Black-07</t>
  </si>
  <si>
    <t>402-7840802-3673137</t>
  </si>
  <si>
    <t>PARLAKHEMUNDI</t>
  </si>
  <si>
    <t>171-1440900-5994769</t>
  </si>
  <si>
    <t>405-2468479-7771519</t>
  </si>
  <si>
    <t>407-1592140-4409147</t>
  </si>
  <si>
    <t>MORBI</t>
  </si>
  <si>
    <t>404-1903198-0342734</t>
  </si>
  <si>
    <t>408-4276982-9459509</t>
  </si>
  <si>
    <t>DEVADANAPATTI</t>
  </si>
  <si>
    <t>406-9854997-6029131</t>
  </si>
  <si>
    <t>405-8100217-6705143</t>
  </si>
  <si>
    <t>404-8741267-5653967</t>
  </si>
  <si>
    <t>403-9351034-7435538</t>
  </si>
  <si>
    <t>8505_Brown-09</t>
  </si>
  <si>
    <t>Kattathurai</t>
  </si>
  <si>
    <t>10/11/2022</t>
  </si>
  <si>
    <t>402-7234585-3795508</t>
  </si>
  <si>
    <t>THIRUNINRAVUR</t>
  </si>
  <si>
    <t>171-9237955-4352364</t>
  </si>
  <si>
    <t>406-4792294-3700350</t>
  </si>
  <si>
    <t>PANIPAT</t>
  </si>
  <si>
    <t>403-7730691-3843508</t>
  </si>
  <si>
    <t>KALOL GANDHINAGAR DISTRICT</t>
  </si>
  <si>
    <t>402-4623447-3864355</t>
  </si>
  <si>
    <t>Belagavi</t>
  </si>
  <si>
    <t>406-8547224-6287521</t>
  </si>
  <si>
    <t>402-2126665-1884305</t>
  </si>
  <si>
    <t>Otur  Pune</t>
  </si>
  <si>
    <t>403-4049075-9209125</t>
  </si>
  <si>
    <t>AZAMGARH</t>
  </si>
  <si>
    <t>11/11/2022</t>
  </si>
  <si>
    <t>408-4438324-3353160</t>
  </si>
  <si>
    <t>404-3494842-9607510</t>
  </si>
  <si>
    <t>407-7906727-1546769</t>
  </si>
  <si>
    <t>402-1387752-8871553</t>
  </si>
  <si>
    <t>406-2759210-3050758</t>
  </si>
  <si>
    <t>MANGRULPIR</t>
  </si>
  <si>
    <t>406-5337795-1416305</t>
  </si>
  <si>
    <t>406-2199056-3097105</t>
  </si>
  <si>
    <t>ADALAJ</t>
  </si>
  <si>
    <t>12/11/2022</t>
  </si>
  <si>
    <t>404-3729874-2273122</t>
  </si>
  <si>
    <t>407-7305446-0189153</t>
  </si>
  <si>
    <t>2001-Tan-07</t>
  </si>
  <si>
    <t>402-6950936-5477158</t>
  </si>
  <si>
    <t>404-0556973-6893912</t>
  </si>
  <si>
    <t>VASCO DA GAMA</t>
  </si>
  <si>
    <t>402-8557960-5596349</t>
  </si>
  <si>
    <t>407-7376980-6783511</t>
  </si>
  <si>
    <t>GUA</t>
  </si>
  <si>
    <t>171-7611557-9397131</t>
  </si>
  <si>
    <t>171-1783231-4341954</t>
  </si>
  <si>
    <t>13/11/2022</t>
  </si>
  <si>
    <t>404-2038051-8004355</t>
  </si>
  <si>
    <t>AMBATTUR</t>
  </si>
  <si>
    <t>408-0910559-7206749</t>
  </si>
  <si>
    <t>406-0995257-1833120</t>
  </si>
  <si>
    <t>405-2009973-3223556</t>
  </si>
  <si>
    <t>408-7982223-6101112</t>
  </si>
  <si>
    <t>407-1312508-8781138</t>
  </si>
  <si>
    <t>8501_Black-07</t>
  </si>
  <si>
    <t>8501_Brown-07</t>
  </si>
  <si>
    <t>407-0370666-6546701</t>
  </si>
  <si>
    <t>408-8580520-8043557</t>
  </si>
  <si>
    <t>BARKAKANA</t>
  </si>
  <si>
    <t>406-5989694-1473939</t>
  </si>
  <si>
    <t>UPPALA</t>
  </si>
  <si>
    <t>14/11/2022</t>
  </si>
  <si>
    <t>402-3358234-2350752</t>
  </si>
  <si>
    <t>Wada</t>
  </si>
  <si>
    <t>403-6992262-7677158</t>
  </si>
  <si>
    <t>171-9387718-5873913</t>
  </si>
  <si>
    <t>171-6617080-4485106</t>
  </si>
  <si>
    <t>406-5196374-7118748</t>
  </si>
  <si>
    <t>404-3802289-2265147</t>
  </si>
  <si>
    <t>Dahod</t>
  </si>
  <si>
    <t>405-4094627-3547537</t>
  </si>
  <si>
    <t>404-2690252-0947538</t>
  </si>
  <si>
    <t>408-0403789-1713969</t>
  </si>
  <si>
    <t>TALCHER</t>
  </si>
  <si>
    <t>408-8930524-1637967</t>
  </si>
  <si>
    <t>CANDOLIM</t>
  </si>
  <si>
    <t>402-5533459-1005960</t>
  </si>
  <si>
    <t>407-7561187-4758716</t>
  </si>
  <si>
    <t>405-9915474-7877142</t>
  </si>
  <si>
    <t>CHHARRA RAFATPUR</t>
  </si>
  <si>
    <t>404-1204930-9205114</t>
  </si>
  <si>
    <t>171-2128501-7125109</t>
  </si>
  <si>
    <t>15/11/2022</t>
  </si>
  <si>
    <t>404-5464995-4244358</t>
  </si>
  <si>
    <t>AMBEHTA</t>
  </si>
  <si>
    <t>407-9951860-2536324</t>
  </si>
  <si>
    <t>BARRACKPORE</t>
  </si>
  <si>
    <t>171-0001068-1199555</t>
  </si>
  <si>
    <t>171-3806952-4829141</t>
  </si>
  <si>
    <t>MALBAZAR</t>
  </si>
  <si>
    <t>405-7369439-4985951</t>
  </si>
  <si>
    <t>406-5326937-7913117</t>
  </si>
  <si>
    <t>405-7227906-6983511</t>
  </si>
  <si>
    <t>4221_Brown-08</t>
  </si>
  <si>
    <t>MAHWA</t>
  </si>
  <si>
    <t>404-0209398-7828360</t>
  </si>
  <si>
    <t>408-6146915-2668321</t>
  </si>
  <si>
    <t>404-1886902-4480367</t>
  </si>
  <si>
    <t>406-5472319-2353944</t>
  </si>
  <si>
    <t>406-3344787-6784307</t>
  </si>
  <si>
    <t>407-0920358-3089147</t>
  </si>
  <si>
    <t>407-5258225-4343564</t>
  </si>
  <si>
    <t>RAJAMPET</t>
  </si>
  <si>
    <t>407-9532504-8781166</t>
  </si>
  <si>
    <t>171-7777260-2113144</t>
  </si>
  <si>
    <t>SUJANGARH</t>
  </si>
  <si>
    <t>407-5818619-9349112</t>
  </si>
  <si>
    <t>403-7469217-3037936</t>
  </si>
  <si>
    <t>405-8768056-7125914</t>
  </si>
  <si>
    <t>BILGI</t>
  </si>
  <si>
    <t>402-7075890-2535511</t>
  </si>
  <si>
    <t>16/11/2022</t>
  </si>
  <si>
    <t>403-0968081-3088309</t>
  </si>
  <si>
    <t>408-7066429-7180305</t>
  </si>
  <si>
    <t>405-7350742-6681121</t>
  </si>
  <si>
    <t>DHANBAD</t>
  </si>
  <si>
    <t>402-1664857-5792325</t>
  </si>
  <si>
    <t>402-4444674-0863560</t>
  </si>
  <si>
    <t>402-4554787-4157112</t>
  </si>
  <si>
    <t>408-9214462-2753133</t>
  </si>
  <si>
    <t>BEGUSARAI</t>
  </si>
  <si>
    <t>404-2361208-0263553</t>
  </si>
  <si>
    <t>402-0738849-6566716</t>
  </si>
  <si>
    <t>RISHIKESH</t>
  </si>
  <si>
    <t>407-3843000-4308348</t>
  </si>
  <si>
    <t>403-5747084-7157941</t>
  </si>
  <si>
    <t>403-3430246-4244309</t>
  </si>
  <si>
    <t>406-1509246-8154740</t>
  </si>
  <si>
    <t>mumbai</t>
  </si>
  <si>
    <t>402-6818683-8997900</t>
  </si>
  <si>
    <t>2501-BLACK-09</t>
  </si>
  <si>
    <t>17/11/2022</t>
  </si>
  <si>
    <t>404-3055057-1940346</t>
  </si>
  <si>
    <t>407-8579151-4730749</t>
  </si>
  <si>
    <t>GANGAVALLI</t>
  </si>
  <si>
    <t>406-1954844-0523530</t>
  </si>
  <si>
    <t>305_Black-10</t>
  </si>
  <si>
    <t>BILIMORA</t>
  </si>
  <si>
    <t>406-5319241-5284334</t>
  </si>
  <si>
    <t>407-1817179-9277909</t>
  </si>
  <si>
    <t>NEW TOWN</t>
  </si>
  <si>
    <t>408-3219980-1278725</t>
  </si>
  <si>
    <t>406-8276696-3265108</t>
  </si>
  <si>
    <t>SIVAGIRI TENKASI DISTRICT</t>
  </si>
  <si>
    <t>407-6027160-6689127</t>
  </si>
  <si>
    <t>406-9671262-5498759</t>
  </si>
  <si>
    <t>Nandikotkur</t>
  </si>
  <si>
    <t>407-9123594-3417130</t>
  </si>
  <si>
    <t>408-7741625-8029150</t>
  </si>
  <si>
    <t>408-6219794-9036314</t>
  </si>
  <si>
    <t>403-0937323-9641135</t>
  </si>
  <si>
    <t>406-3212767-2245145</t>
  </si>
  <si>
    <t>18/11/2022</t>
  </si>
  <si>
    <t>171-5811796-1988365</t>
  </si>
  <si>
    <t>ELURU</t>
  </si>
  <si>
    <t>171-2732507-7589164</t>
  </si>
  <si>
    <t>501_BLACK_09</t>
  </si>
  <si>
    <t>19/11/2022</t>
  </si>
  <si>
    <t>171-2460326-6374704</t>
  </si>
  <si>
    <t>408-3745311-2595561</t>
  </si>
  <si>
    <t>407-5169925-6644300</t>
  </si>
  <si>
    <t>171-5725685-7792330</t>
  </si>
  <si>
    <t>KANNIYAKUMARI DISTRICT</t>
  </si>
  <si>
    <t>406-1230981-2893924</t>
  </si>
  <si>
    <t>VARANASI</t>
  </si>
  <si>
    <t>407-3865323-1330713</t>
  </si>
  <si>
    <t>407-6351437-1543529</t>
  </si>
  <si>
    <t>CANACONA</t>
  </si>
  <si>
    <t>405-1925699-6833908</t>
  </si>
  <si>
    <t>171-3264474-7095515</t>
  </si>
  <si>
    <t>406-4975241-3860315</t>
  </si>
  <si>
    <t>171-5601532-5765967</t>
  </si>
  <si>
    <t>PAITHAN</t>
  </si>
  <si>
    <t>404-2481305-6260334</t>
  </si>
  <si>
    <t>DAHIVADI</t>
  </si>
  <si>
    <t>405-9512066-9212307</t>
  </si>
  <si>
    <t>405-9267003-5523552</t>
  </si>
  <si>
    <t>407-0617322-8690731</t>
  </si>
  <si>
    <t>171-7507901-5233960</t>
  </si>
  <si>
    <t>171-7522785-7281118</t>
  </si>
  <si>
    <t>404-6247702-1644367</t>
  </si>
  <si>
    <t>408-5732631-9749917</t>
  </si>
  <si>
    <t>407-8715133-9167562</t>
  </si>
  <si>
    <t>406-3243536-8220362</t>
  </si>
  <si>
    <t>171-4173049-8193901</t>
  </si>
  <si>
    <t>ART_505_BROWN_09</t>
  </si>
  <si>
    <t>Banda</t>
  </si>
  <si>
    <t>20/11/2022</t>
  </si>
  <si>
    <t>171-6939365-9373168</t>
  </si>
  <si>
    <t>402-7484392-3478725</t>
  </si>
  <si>
    <t>405-4679153-2382700</t>
  </si>
  <si>
    <t>CHANNAPATNA</t>
  </si>
  <si>
    <t>402-6294377-1186702</t>
  </si>
  <si>
    <t>DIBRUGARH</t>
  </si>
  <si>
    <t>406-6349504-7153933</t>
  </si>
  <si>
    <t>DHAULPUR</t>
  </si>
  <si>
    <t>403-9913297-6239523</t>
  </si>
  <si>
    <t>404-5761211-6406755</t>
  </si>
  <si>
    <t>21/11/2022</t>
  </si>
  <si>
    <t>406-7502926-5586744</t>
  </si>
  <si>
    <t>406-1397606-6665152</t>
  </si>
  <si>
    <t>MANGROL</t>
  </si>
  <si>
    <t>403-5411965-9722749</t>
  </si>
  <si>
    <t>BETTIAH</t>
  </si>
  <si>
    <t>407-1090889-6109162</t>
  </si>
  <si>
    <t>406-1261143-6414736</t>
  </si>
  <si>
    <t>RAYAGADA RAYAGADA DISTRICT</t>
  </si>
  <si>
    <t>171-4568938-5955500</t>
  </si>
  <si>
    <t>405-7149125-5773133</t>
  </si>
  <si>
    <t>403-7995053-4940306</t>
  </si>
  <si>
    <t>403-9498504-1018701</t>
  </si>
  <si>
    <t>BHUSAWAL</t>
  </si>
  <si>
    <t>404-4033906-7071500</t>
  </si>
  <si>
    <t>404-7790146-3562715</t>
  </si>
  <si>
    <t>PALI</t>
  </si>
  <si>
    <t>405-0080714-2505974</t>
  </si>
  <si>
    <t>407-6062702-9039525</t>
  </si>
  <si>
    <t>405-5670641-2707531</t>
  </si>
  <si>
    <t>SATHUPALLY</t>
  </si>
  <si>
    <t>403-8495682-1285915</t>
  </si>
  <si>
    <t>GONDA</t>
  </si>
  <si>
    <t>402-1291473-4154746</t>
  </si>
  <si>
    <t>501_Tan_09</t>
  </si>
  <si>
    <t>KALYAN Dombivali</t>
  </si>
  <si>
    <t>405-5694515-2957115</t>
  </si>
  <si>
    <t>PHULERA</t>
  </si>
  <si>
    <t>408-9408408-1314708</t>
  </si>
  <si>
    <t>Cheraneloore</t>
  </si>
  <si>
    <t>171-3628485-9965133</t>
  </si>
  <si>
    <t>SHAHJAHANPUR</t>
  </si>
  <si>
    <t>406-9154604-9153965</t>
  </si>
  <si>
    <t>22/11/2022</t>
  </si>
  <si>
    <t>404-5468753-5796361</t>
  </si>
  <si>
    <t>23/11/2022</t>
  </si>
  <si>
    <t>407-9619522-3286728</t>
  </si>
  <si>
    <t>405-9452955-7276355</t>
  </si>
  <si>
    <t>BARABANKI</t>
  </si>
  <si>
    <t>171-9641921-4321106</t>
  </si>
  <si>
    <t>403-2410024-2731515</t>
  </si>
  <si>
    <t>406-8606783-4232305</t>
  </si>
  <si>
    <t>404-1650033-5088364</t>
  </si>
  <si>
    <t>YELLAPUR</t>
  </si>
  <si>
    <t>171-9319048-4152352</t>
  </si>
  <si>
    <t>Roorkee</t>
  </si>
  <si>
    <t>403-4950526-3755564</t>
  </si>
  <si>
    <t>407-5289087-3588344</t>
  </si>
  <si>
    <t>Gurdaspur</t>
  </si>
  <si>
    <t>404-9445806-1390704</t>
  </si>
  <si>
    <t>408-9191020-7519541</t>
  </si>
  <si>
    <t>VADAKKANANDAL</t>
  </si>
  <si>
    <t>402-4766515-0887532</t>
  </si>
  <si>
    <t>171-3283552-5638712</t>
  </si>
  <si>
    <t>BELA PRATAPGARH</t>
  </si>
  <si>
    <t>407-2790168-3688350</t>
  </si>
  <si>
    <t>SABARKANTHA</t>
  </si>
  <si>
    <t>405-6474489-0038759</t>
  </si>
  <si>
    <t>407-6456151-5905131</t>
  </si>
  <si>
    <t>408-9198590-3546710</t>
  </si>
  <si>
    <t>PRAYAGRAJ</t>
  </si>
  <si>
    <t>403-8208152-5044300</t>
  </si>
  <si>
    <t>403-8662116-3912304</t>
  </si>
  <si>
    <t>403-2696163-8223540</t>
  </si>
  <si>
    <t>403-6687815-6694742</t>
  </si>
  <si>
    <t>305_Brown-08</t>
  </si>
  <si>
    <t>171-3557133-6653926</t>
  </si>
  <si>
    <t>405-2019101-4062755</t>
  </si>
  <si>
    <t>305_Brown-07</t>
  </si>
  <si>
    <t>Manjummel</t>
  </si>
  <si>
    <t>24/11/2022</t>
  </si>
  <si>
    <t>405-2789771-1518714</t>
  </si>
  <si>
    <t>171-6713560-3772329</t>
  </si>
  <si>
    <t>403-6572828-9709901</t>
  </si>
  <si>
    <t>AURAIYA</t>
  </si>
  <si>
    <t>404-6911413-6293144</t>
  </si>
  <si>
    <t>403-1557458-6686718</t>
  </si>
  <si>
    <t>305_Black-09</t>
  </si>
  <si>
    <t>407-9487380-6077158</t>
  </si>
  <si>
    <t>ERODE</t>
  </si>
  <si>
    <t>402-6767052-4269946</t>
  </si>
  <si>
    <t>505_TAN_10</t>
  </si>
  <si>
    <t>Hanutiya</t>
  </si>
  <si>
    <t>408-2313224-0936307</t>
  </si>
  <si>
    <t>L-1-BLACK_10</t>
  </si>
  <si>
    <t>404-6115483-0788349</t>
  </si>
  <si>
    <t>406-9963119-4917938</t>
  </si>
  <si>
    <t>MELLAHALLI</t>
  </si>
  <si>
    <t>408-6086826-7453157</t>
  </si>
  <si>
    <t>HARRAIYA</t>
  </si>
  <si>
    <t>408-8119443-5776339</t>
  </si>
  <si>
    <t>405-1012016-9138727</t>
  </si>
  <si>
    <t>402-9403213-6633967</t>
  </si>
  <si>
    <t>AMRAVATI</t>
  </si>
  <si>
    <t>406-7926462-1442764</t>
  </si>
  <si>
    <t>171-1865035-3303537</t>
  </si>
  <si>
    <t>MAYUR VIHAR PHASE 1</t>
  </si>
  <si>
    <t>405-5404248-3552368</t>
  </si>
  <si>
    <t>171-0049884-5863528</t>
  </si>
  <si>
    <t>405-9525876-4196307</t>
  </si>
  <si>
    <t>403-6525155-0169154</t>
  </si>
  <si>
    <t>402-4847873-9185932</t>
  </si>
  <si>
    <t>ART_505_BROWN_10</t>
  </si>
  <si>
    <t>403-0220682-6101170</t>
  </si>
  <si>
    <t>408-7488003-5882738</t>
  </si>
  <si>
    <t>Vasai</t>
  </si>
  <si>
    <t>406-6129781-3369945</t>
  </si>
  <si>
    <t>406-7361833-1555515</t>
  </si>
  <si>
    <t>BARARA</t>
  </si>
  <si>
    <t>403-7266136-9285951</t>
  </si>
  <si>
    <t>CHOWWARA</t>
  </si>
  <si>
    <t>408-5569192-4084313</t>
  </si>
  <si>
    <t>405-2857747-8631552</t>
  </si>
  <si>
    <t>408-1502975-0641151</t>
  </si>
  <si>
    <t>407-5810819-2951510</t>
  </si>
  <si>
    <t>25/11/2022</t>
  </si>
  <si>
    <t>408-9715943-8735512</t>
  </si>
  <si>
    <t>402-6429644-6243536</t>
  </si>
  <si>
    <t>ICHAK</t>
  </si>
  <si>
    <t>403-4174359-6670744</t>
  </si>
  <si>
    <t>402-7080649-7773111</t>
  </si>
  <si>
    <t>404-8213571-3932302</t>
  </si>
  <si>
    <t>Mangaluru</t>
  </si>
  <si>
    <t>406-8152172-7377915</t>
  </si>
  <si>
    <t>403-6631987-9685937</t>
  </si>
  <si>
    <t>403-3066814-7474706</t>
  </si>
  <si>
    <t>404-7448233-2488332</t>
  </si>
  <si>
    <t>402-3944796-4381126</t>
  </si>
  <si>
    <t>403-1457116-2640311</t>
  </si>
  <si>
    <t>26/11/2022</t>
  </si>
  <si>
    <t>403-6744003-5005109</t>
  </si>
  <si>
    <t>kadapa</t>
  </si>
  <si>
    <t>403-8021572-9061922</t>
  </si>
  <si>
    <t>27/11/2022</t>
  </si>
  <si>
    <t>407-0519524-6147522</t>
  </si>
  <si>
    <t>408-5046669-9763502</t>
  </si>
  <si>
    <t>403-2125859-4861923</t>
  </si>
  <si>
    <t>405-1433648-0573912</t>
  </si>
  <si>
    <t>JHUNJHUNUN</t>
  </si>
  <si>
    <t>403-7386640-5845937</t>
  </si>
  <si>
    <t>407-5598834-2561951</t>
  </si>
  <si>
    <t>408-6884169-4804321</t>
  </si>
  <si>
    <t>403-7022027-0949129</t>
  </si>
  <si>
    <t>ZIRAKPUR</t>
  </si>
  <si>
    <t>404-1244778-4058750</t>
  </si>
  <si>
    <t>171-0869423-8581944</t>
  </si>
  <si>
    <t>L-1-BROWN_08</t>
  </si>
  <si>
    <t>NAHARLAGUN</t>
  </si>
  <si>
    <t>ARUNACHAL PRADESH</t>
  </si>
  <si>
    <t>408-2212803-1613100</t>
  </si>
  <si>
    <t>407-0948154-4007517</t>
  </si>
  <si>
    <t>Ludhiana</t>
  </si>
  <si>
    <t>406-9292118-3449100</t>
  </si>
  <si>
    <t>405-3841146-1501133</t>
  </si>
  <si>
    <t>407-5945232-6646769</t>
  </si>
  <si>
    <t>402-4070674-5269921</t>
  </si>
  <si>
    <t>403-8190320-6522724</t>
  </si>
  <si>
    <t>406-9197817-8682718</t>
  </si>
  <si>
    <t>TEZPUR</t>
  </si>
  <si>
    <t>405-3116441-7273159</t>
  </si>
  <si>
    <t>MEHATPUR</t>
  </si>
  <si>
    <t>404-3693594-0209933</t>
  </si>
  <si>
    <t>402-0357356-5229962</t>
  </si>
  <si>
    <t>171-1514047-3169127</t>
  </si>
  <si>
    <t>407-2397415-0469939</t>
  </si>
  <si>
    <t>404-2691375-9645146</t>
  </si>
  <si>
    <t>PILANI TOWN</t>
  </si>
  <si>
    <t>404-7247536-2615548</t>
  </si>
  <si>
    <t>28/11/2022</t>
  </si>
  <si>
    <t>407-8526968-9951507</t>
  </si>
  <si>
    <t>BHARUCH</t>
  </si>
  <si>
    <t>402-2268406-9842732</t>
  </si>
  <si>
    <t>NANDIVARAM GUDUVANCHERI</t>
  </si>
  <si>
    <t>405-9053017-0892339</t>
  </si>
  <si>
    <t>408-4453037-7618752</t>
  </si>
  <si>
    <t>Surat</t>
  </si>
  <si>
    <t>406-8313860-7334723</t>
  </si>
  <si>
    <t>408-7300586-9486717</t>
  </si>
  <si>
    <t>171-2259463-3095553</t>
  </si>
  <si>
    <t>403-7266493-8515528</t>
  </si>
  <si>
    <t>L-10-BLACK_10</t>
  </si>
  <si>
    <t>BALAGHAT</t>
  </si>
  <si>
    <t>407-8997151-3773104</t>
  </si>
  <si>
    <t>Shahada</t>
  </si>
  <si>
    <t>407-8487980-3086730</t>
  </si>
  <si>
    <t>408-8522091-3260307</t>
  </si>
  <si>
    <t>ART_505_BLACK_08</t>
  </si>
  <si>
    <t>408-9237391-7601158</t>
  </si>
  <si>
    <t>402-3337563-7345110</t>
  </si>
  <si>
    <t>CHITTOOR district</t>
  </si>
  <si>
    <t>402-5841414-1665924</t>
  </si>
  <si>
    <t>301_Brown-06</t>
  </si>
  <si>
    <t>405-1018360-4508317</t>
  </si>
  <si>
    <t>Anpara</t>
  </si>
  <si>
    <t>402-0669368-6406748</t>
  </si>
  <si>
    <t>29/11/2022</t>
  </si>
  <si>
    <t>405-1370342-6533141</t>
  </si>
  <si>
    <t>Suri  Birbhum</t>
  </si>
  <si>
    <t>407-5542298-9033917</t>
  </si>
  <si>
    <t>403-5008394-7128368</t>
  </si>
  <si>
    <t>403-0201386-0346701</t>
  </si>
  <si>
    <t>Jaipur</t>
  </si>
  <si>
    <t>408-6395270-2640358</t>
  </si>
  <si>
    <t>405-5570908-3370738</t>
  </si>
  <si>
    <t>402-2200185-3161911</t>
  </si>
  <si>
    <t>402-9174823-8188349</t>
  </si>
  <si>
    <t>YEMMIGANUR</t>
  </si>
  <si>
    <t>404-2264294-0406721</t>
  </si>
  <si>
    <t>30/11/2022</t>
  </si>
  <si>
    <t>407-1682402-6013127</t>
  </si>
  <si>
    <t>DARBHANGA</t>
  </si>
  <si>
    <t>405-9705616-3429923</t>
  </si>
  <si>
    <t>407-4180931-3257964</t>
  </si>
  <si>
    <t>HANDIA</t>
  </si>
  <si>
    <t>405-8690138-1064301</t>
  </si>
  <si>
    <t>407-9686198-7206723</t>
  </si>
  <si>
    <t>408-1032037-8935523</t>
  </si>
  <si>
    <t>406-9517438-8266742</t>
  </si>
  <si>
    <t>Mahilpur</t>
  </si>
  <si>
    <t>406-9463582-5993149</t>
  </si>
  <si>
    <t>MAHINDRA WORLD CITY</t>
  </si>
  <si>
    <t>408-8215509-5022755</t>
  </si>
  <si>
    <t>408-3205427-8669902</t>
  </si>
  <si>
    <t>171-0008329-2857162</t>
  </si>
  <si>
    <t>406-1139210-3175548</t>
  </si>
  <si>
    <t>402-5326544-0178735</t>
  </si>
  <si>
    <t>408-1703005-1571560</t>
  </si>
  <si>
    <t>TENALI</t>
  </si>
  <si>
    <t>405-8378385-7650752</t>
  </si>
  <si>
    <t>RUDRAPUR</t>
  </si>
  <si>
    <t>01/12/2022</t>
  </si>
  <si>
    <t>405-4134995-1685156</t>
  </si>
  <si>
    <t>December</t>
  </si>
  <si>
    <t>405-4941229-6049116</t>
  </si>
  <si>
    <t>J-5-BLACK_08</t>
  </si>
  <si>
    <t>406-7998381-2565113</t>
  </si>
  <si>
    <t>402-7043133-8526714</t>
  </si>
  <si>
    <t>408-5637680-1352346</t>
  </si>
  <si>
    <t>408-8214377-6609903</t>
  </si>
  <si>
    <t>405-9719757-5412317</t>
  </si>
  <si>
    <t>HARDA</t>
  </si>
  <si>
    <t>402-9261732-7250736</t>
  </si>
  <si>
    <t>Ranchi</t>
  </si>
  <si>
    <t>403-5067997-3962769</t>
  </si>
  <si>
    <t>Etah</t>
  </si>
  <si>
    <t>02/12/2022</t>
  </si>
  <si>
    <t>402-9334987-8217140</t>
  </si>
  <si>
    <t>407-8756783-1513911</t>
  </si>
  <si>
    <t>403-2598141-8074726</t>
  </si>
  <si>
    <t>408-0065641-7097969</t>
  </si>
  <si>
    <t>403-0694498-5381154</t>
  </si>
  <si>
    <t>FATEHGARH CHURIAN</t>
  </si>
  <si>
    <t>407-6696320-9019511</t>
  </si>
  <si>
    <t>403-5288443-2545944</t>
  </si>
  <si>
    <t>404-2149746-2764343</t>
  </si>
  <si>
    <t>402-1186139-0296301</t>
  </si>
  <si>
    <t>405-9230965-9965946</t>
  </si>
  <si>
    <t>402-1149877-6288313</t>
  </si>
  <si>
    <t>407-0189427-7742775</t>
  </si>
  <si>
    <t>Jaspur</t>
  </si>
  <si>
    <t>03/12/2022</t>
  </si>
  <si>
    <t>171-2032945-1210700</t>
  </si>
  <si>
    <t>408-0711306-3782731</t>
  </si>
  <si>
    <t>407-1739341-2057133</t>
  </si>
  <si>
    <t>171-6884309-0431521</t>
  </si>
  <si>
    <t>406-3966289-5562769</t>
  </si>
  <si>
    <t>402-6954920-6759524</t>
  </si>
  <si>
    <t>SIWANI</t>
  </si>
  <si>
    <t>403-6139633-3193106</t>
  </si>
  <si>
    <t>402-2754752-6585146</t>
  </si>
  <si>
    <t>BHATKAL</t>
  </si>
  <si>
    <t>407-5246087-3784366</t>
  </si>
  <si>
    <t>KARORAN</t>
  </si>
  <si>
    <t>402-7611110-9245955</t>
  </si>
  <si>
    <t>402-3348684-6443540</t>
  </si>
  <si>
    <t>1804-BLACK-10</t>
  </si>
  <si>
    <t>408-1840609-8244323</t>
  </si>
  <si>
    <t>402-0030845-6116301</t>
  </si>
  <si>
    <t>403-0920791-3844367</t>
  </si>
  <si>
    <t>4221_Brown-12</t>
  </si>
  <si>
    <t>404-1954855-4539530</t>
  </si>
  <si>
    <t>04/12/2022</t>
  </si>
  <si>
    <t>405-6496510-5337948</t>
  </si>
  <si>
    <t>405-9585178-5025143</t>
  </si>
  <si>
    <t>KURUKSHETRA</t>
  </si>
  <si>
    <t>05/12/2022</t>
  </si>
  <si>
    <t>406-4897987-7056326</t>
  </si>
  <si>
    <t>403-9607201-5638722</t>
  </si>
  <si>
    <t>407-1768538-0913922</t>
  </si>
  <si>
    <t>406-5859016-5033143</t>
  </si>
  <si>
    <t>L-1-BLACK_06</t>
  </si>
  <si>
    <t>407-5309755-8756329</t>
  </si>
  <si>
    <t>RAJGARH DHAR DISTRICT</t>
  </si>
  <si>
    <t>171-4303577-5249910</t>
  </si>
  <si>
    <t>403-5628707-6482763</t>
  </si>
  <si>
    <t>403-4934679-1340336</t>
  </si>
  <si>
    <t>8505_Brown-11</t>
  </si>
  <si>
    <t>DAVANAGERE</t>
  </si>
  <si>
    <t>408-3061907-9409104</t>
  </si>
  <si>
    <t>405-0967706-1417930</t>
  </si>
  <si>
    <t>408-3639175-4450751</t>
  </si>
  <si>
    <t>408-1268849-8946711</t>
  </si>
  <si>
    <t>06/12/2022</t>
  </si>
  <si>
    <t>171-4477757-4009946</t>
  </si>
  <si>
    <t>403-3972597-8624361</t>
  </si>
  <si>
    <t>408-4706046-2616348</t>
  </si>
  <si>
    <t>406-3779621-3077961</t>
  </si>
  <si>
    <t>171-8766398-5264369</t>
  </si>
  <si>
    <t>KOLAR</t>
  </si>
  <si>
    <t>407-5923197-2973946</t>
  </si>
  <si>
    <t>406-7936819-9268363</t>
  </si>
  <si>
    <t>FARIDKOT</t>
  </si>
  <si>
    <t>407-6979770-5862766</t>
  </si>
  <si>
    <t>404-5703913-5573952</t>
  </si>
  <si>
    <t>2002_Tan-11</t>
  </si>
  <si>
    <t>Kochi</t>
  </si>
  <si>
    <t>402-2448184-8513120</t>
  </si>
  <si>
    <t>GANDHIGRAM</t>
  </si>
  <si>
    <t>408-1921860-5283507</t>
  </si>
  <si>
    <t>407-7344984-8466747</t>
  </si>
  <si>
    <t>404-3199605-0129157</t>
  </si>
  <si>
    <t>408-0502046-1141138</t>
  </si>
  <si>
    <t>405-3596920-7461107</t>
  </si>
  <si>
    <t>RAJPUR</t>
  </si>
  <si>
    <t>403-7923798-3200351</t>
  </si>
  <si>
    <t>404-8720120-3841904</t>
  </si>
  <si>
    <t>MEMNAGAR  AHMEDABAD</t>
  </si>
  <si>
    <t>403-9866795-4723519</t>
  </si>
  <si>
    <t>405-6921897-2921932</t>
  </si>
  <si>
    <t>Chathannoor</t>
  </si>
  <si>
    <t>406-1391787-1695565</t>
  </si>
  <si>
    <t>VASAI West</t>
  </si>
  <si>
    <t>402-2805142-2807540</t>
  </si>
  <si>
    <t>171-8872777-9297142</t>
  </si>
  <si>
    <t>408-7344391-6322737</t>
  </si>
  <si>
    <t>171-7229597-8013920</t>
  </si>
  <si>
    <t>07/12/2022</t>
  </si>
  <si>
    <t>408-3254741-6707514</t>
  </si>
  <si>
    <t>406-5892770-9083501</t>
  </si>
  <si>
    <t>404-3938069-0001108</t>
  </si>
  <si>
    <t>SARDULGARH</t>
  </si>
  <si>
    <t>408-4793976-9517904</t>
  </si>
  <si>
    <t>408-9654295-0812343</t>
  </si>
  <si>
    <t>402-0810710-7009947</t>
  </si>
  <si>
    <t>404-0350755-4387544</t>
  </si>
  <si>
    <t>407-9485812-5543507</t>
  </si>
  <si>
    <t>171-7783436-1237928</t>
  </si>
  <si>
    <t>BOKARO THERMAL TOWNSHIP</t>
  </si>
  <si>
    <t>405-0613833-2738746</t>
  </si>
  <si>
    <t>Jhinjhak</t>
  </si>
  <si>
    <t>402-1606071-2962706</t>
  </si>
  <si>
    <t>Visakhapatnam</t>
  </si>
  <si>
    <t>403-2426017-5272320</t>
  </si>
  <si>
    <t>405-2457384-2245927</t>
  </si>
  <si>
    <t>DHAMPUR</t>
  </si>
  <si>
    <t>171-7844113-9286742</t>
  </si>
  <si>
    <t>407-4513756-3990717</t>
  </si>
  <si>
    <t>Nidadavolu</t>
  </si>
  <si>
    <t>405-7234052-2233933</t>
  </si>
  <si>
    <t>SONBHADRA</t>
  </si>
  <si>
    <t>406-9817647-5973906</t>
  </si>
  <si>
    <t>408-1233746-6011542</t>
  </si>
  <si>
    <t>404-2521347-1120330</t>
  </si>
  <si>
    <t>SANQUELIM</t>
  </si>
  <si>
    <t>408-6804869-1381115</t>
  </si>
  <si>
    <t>MANGALAGIRI</t>
  </si>
  <si>
    <t>09/12/2022</t>
  </si>
  <si>
    <t>171-0134647-6626739</t>
  </si>
  <si>
    <t>08/12/2022</t>
  </si>
  <si>
    <t>408-6457805-0060315</t>
  </si>
  <si>
    <t>406-5417689-8955537</t>
  </si>
  <si>
    <t>403-3876001-4397922</t>
  </si>
  <si>
    <t>DHARUHERA</t>
  </si>
  <si>
    <t>406-7744066-2353130</t>
  </si>
  <si>
    <t>PALAKKODU</t>
  </si>
  <si>
    <t>171-2160896-0678730</t>
  </si>
  <si>
    <t>403-2534885-1715569</t>
  </si>
  <si>
    <t>405-4004519-0022766</t>
  </si>
  <si>
    <t>GUSKARA</t>
  </si>
  <si>
    <t>407-1795808-0021103</t>
  </si>
  <si>
    <t>402-7911788-7793966</t>
  </si>
  <si>
    <t>DAMOH</t>
  </si>
  <si>
    <t>408-1345157-2469168</t>
  </si>
  <si>
    <t>404-5474466-8937113</t>
  </si>
  <si>
    <t>406-4624389-8258707</t>
  </si>
  <si>
    <t>402-9014172-3491522</t>
  </si>
  <si>
    <t>403-0244004-6999519</t>
  </si>
  <si>
    <t>408-3825132-5290727</t>
  </si>
  <si>
    <t>404-7059745-4077154</t>
  </si>
  <si>
    <t>8501_Black-10</t>
  </si>
  <si>
    <t>171-3130697-2277127</t>
  </si>
  <si>
    <t>171-8472868-3515561</t>
  </si>
  <si>
    <t>402-4789339-4745150</t>
  </si>
  <si>
    <t>Jhunjhunu</t>
  </si>
  <si>
    <t>405-1604841-4297957</t>
  </si>
  <si>
    <t>BADDI</t>
  </si>
  <si>
    <t>10/12/2022</t>
  </si>
  <si>
    <t>407-5572906-3205928</t>
  </si>
  <si>
    <t>406-3234608-3745162</t>
  </si>
  <si>
    <t>JAJPUR SADAR</t>
  </si>
  <si>
    <t>403-2247489-7425107</t>
  </si>
  <si>
    <t>171-0248011-3572370</t>
  </si>
  <si>
    <t>404-0896121-4043513</t>
  </si>
  <si>
    <t>407-9918936-8480316</t>
  </si>
  <si>
    <t>408-1431189-0546758</t>
  </si>
  <si>
    <t>408-4609530-7297134</t>
  </si>
  <si>
    <t>404-0369900-1705166</t>
  </si>
  <si>
    <t>407-2434469-5090702</t>
  </si>
  <si>
    <t>403-0312198-9799533</t>
  </si>
  <si>
    <t>171-4425245-6744346</t>
  </si>
  <si>
    <t>Mumbai Mumbai</t>
  </si>
  <si>
    <t>407-2044785-1637922</t>
  </si>
  <si>
    <t>BELAGAVI</t>
  </si>
  <si>
    <t>406-4688033-0449951</t>
  </si>
  <si>
    <t>KENDUJHAR</t>
  </si>
  <si>
    <t>11/12/2022</t>
  </si>
  <si>
    <t>408-5456561-1649162</t>
  </si>
  <si>
    <t>406-6064048-2173155</t>
  </si>
  <si>
    <t>SIRSI</t>
  </si>
  <si>
    <t>402-4077651-1998746</t>
  </si>
  <si>
    <t>Tirupati</t>
  </si>
  <si>
    <t>171-8688507-8041164</t>
  </si>
  <si>
    <t>408-7085254-6696307</t>
  </si>
  <si>
    <t>1802-BLACK-08</t>
  </si>
  <si>
    <t>LIMLA</t>
  </si>
  <si>
    <t>171-1681184-0763546</t>
  </si>
  <si>
    <t>407-8459325-3537950</t>
  </si>
  <si>
    <t>407-3928455-1322713</t>
  </si>
  <si>
    <t>mundur</t>
  </si>
  <si>
    <t>403-9363409-6841110</t>
  </si>
  <si>
    <t>TANDA AMBEDKAR NAGAR DISTRICT</t>
  </si>
  <si>
    <t>408-2616401-0169921</t>
  </si>
  <si>
    <t>407-1797780-6245137</t>
  </si>
  <si>
    <t>402-6957925-7655553</t>
  </si>
  <si>
    <t>403-5089041-3826730</t>
  </si>
  <si>
    <t>8501_Brown-09</t>
  </si>
  <si>
    <t>406-9983929-5572357</t>
  </si>
  <si>
    <t>403-8782327-7885941</t>
  </si>
  <si>
    <t>KARNAL</t>
  </si>
  <si>
    <t>403-4618245-1462702</t>
  </si>
  <si>
    <t>408-0195951-3643550</t>
  </si>
  <si>
    <t>171-3091417-5923537</t>
  </si>
  <si>
    <t>406-2634855-0565101</t>
  </si>
  <si>
    <t>12/12/2022</t>
  </si>
  <si>
    <t>402-9966052-8789947</t>
  </si>
  <si>
    <t>403-3258893-1946743</t>
  </si>
  <si>
    <t>Bagalkot</t>
  </si>
  <si>
    <t>405-3480389-4591567</t>
  </si>
  <si>
    <t>171-4184972-3521108</t>
  </si>
  <si>
    <t>405-2485278-6892340</t>
  </si>
  <si>
    <t>171-0984868-8976341</t>
  </si>
  <si>
    <t>FAIZABAD</t>
  </si>
  <si>
    <t>405-7590063-8478726</t>
  </si>
  <si>
    <t>Mirzapur</t>
  </si>
  <si>
    <t>403-5168319-9026740</t>
  </si>
  <si>
    <t>408-1502266-9089909</t>
  </si>
  <si>
    <t>407-2794904-7412311</t>
  </si>
  <si>
    <t>GARHWA</t>
  </si>
  <si>
    <t>403-4942614-8504353</t>
  </si>
  <si>
    <t>405-4385584-2825158</t>
  </si>
  <si>
    <t>IMPHAL EAST</t>
  </si>
  <si>
    <t>405-0653224-1569141</t>
  </si>
  <si>
    <t>402-7393206-3149166</t>
  </si>
  <si>
    <t>Wadgaon sheri  Pune</t>
  </si>
  <si>
    <t>404-1869931-3925134</t>
  </si>
  <si>
    <t>13/12/2022</t>
  </si>
  <si>
    <t>402-5805664-2237926</t>
  </si>
  <si>
    <t>406-3093743-3965116</t>
  </si>
  <si>
    <t>14/12/2022</t>
  </si>
  <si>
    <t>405-1333392-7374760</t>
  </si>
  <si>
    <t>Rajanpura</t>
  </si>
  <si>
    <t>404-9106030-1330749</t>
  </si>
  <si>
    <t>408-9621419-1630731</t>
  </si>
  <si>
    <t>408-0273667-5201147</t>
  </si>
  <si>
    <t>402-9342100-3200336</t>
  </si>
  <si>
    <t>NTPC TANDA COLONY</t>
  </si>
  <si>
    <t>171-0296611-8801929</t>
  </si>
  <si>
    <t>402-4871105-5951501</t>
  </si>
  <si>
    <t>171-5836154-5681154</t>
  </si>
  <si>
    <t>405-2484909-1709945</t>
  </si>
  <si>
    <t>PADAPPAI</t>
  </si>
  <si>
    <t>402-9299140-7959508</t>
  </si>
  <si>
    <t>ARANI THIRUVALLUR DISTRICT</t>
  </si>
  <si>
    <t>402-6172655-8249130</t>
  </si>
  <si>
    <t>Ramoji Film City  Hyderabad</t>
  </si>
  <si>
    <t>171-5272427-1955515</t>
  </si>
  <si>
    <t>408-6743657-8814761</t>
  </si>
  <si>
    <t>BEED</t>
  </si>
  <si>
    <t>408-3488527-5508369</t>
  </si>
  <si>
    <t>403-8159217-3081916</t>
  </si>
  <si>
    <t>404-7321517-9905909</t>
  </si>
  <si>
    <t>403-2214791-1770726</t>
  </si>
  <si>
    <t>407-9131910-2044320</t>
  </si>
  <si>
    <t>171-3941635-2364359</t>
  </si>
  <si>
    <t>408-6045530-2498720</t>
  </si>
  <si>
    <t>407-6421693-1827535</t>
  </si>
  <si>
    <t>403-0001594-4319523</t>
  </si>
  <si>
    <t>407-8944244-6183559</t>
  </si>
  <si>
    <t>408-4158826-6115520</t>
  </si>
  <si>
    <t>403-4931564-1549906</t>
  </si>
  <si>
    <t>Shillong</t>
  </si>
  <si>
    <t>407-4396693-0506722</t>
  </si>
  <si>
    <t>406-9470161-9199537</t>
  </si>
  <si>
    <t>Adimali</t>
  </si>
  <si>
    <t>408-8428443-6029125</t>
  </si>
  <si>
    <t>171-3477840-6165121</t>
  </si>
  <si>
    <t>404-7002623-8482752</t>
  </si>
  <si>
    <t>171-6954800-0481112</t>
  </si>
  <si>
    <t>Dombivli west</t>
  </si>
  <si>
    <t>171-1732460-2812352</t>
  </si>
  <si>
    <t>402-1395928-1111512</t>
  </si>
  <si>
    <t>171-5006584-5622754</t>
  </si>
  <si>
    <t>L-1-BLACK_08</t>
  </si>
  <si>
    <t>403-8429965-2641165</t>
  </si>
  <si>
    <t>16/12/2022</t>
  </si>
  <si>
    <t>402-5144272-2072314</t>
  </si>
  <si>
    <t>15/12/2022</t>
  </si>
  <si>
    <t>406-7640027-2362721</t>
  </si>
  <si>
    <t>405-9052959-8049129</t>
  </si>
  <si>
    <t>406-4306166-1570701</t>
  </si>
  <si>
    <t>BHUBAN</t>
  </si>
  <si>
    <t>403-9274603-7450742</t>
  </si>
  <si>
    <t>171-4972262-8039500</t>
  </si>
  <si>
    <t>CHAMARAJANAGAR</t>
  </si>
  <si>
    <t>171-7529628-2527533</t>
  </si>
  <si>
    <t>403-4292778-2620348</t>
  </si>
  <si>
    <t>Greater Noida</t>
  </si>
  <si>
    <t>171-9437779-8308368</t>
  </si>
  <si>
    <t>404-9515756-4396325</t>
  </si>
  <si>
    <t>406-1286996-9333165</t>
  </si>
  <si>
    <t>GWALIOR</t>
  </si>
  <si>
    <t>408-2733601-8633922</t>
  </si>
  <si>
    <t>405-2918903-2509952</t>
  </si>
  <si>
    <t>408-7644645-2186766</t>
  </si>
  <si>
    <t>406-4128258-1026766</t>
  </si>
  <si>
    <t>171-2484486-0196321</t>
  </si>
  <si>
    <t>408-7606034-0068361</t>
  </si>
  <si>
    <t>403-1936689-0161125</t>
  </si>
  <si>
    <t>407-4603970-1630744</t>
  </si>
  <si>
    <t>MANJHANPUR</t>
  </si>
  <si>
    <t>406-9329115-5241121</t>
  </si>
  <si>
    <t>NAWA</t>
  </si>
  <si>
    <t>403-4894689-4541926</t>
  </si>
  <si>
    <t>Singrauli</t>
  </si>
  <si>
    <t>407-6848542-6137152</t>
  </si>
  <si>
    <t>403-2173369-7688324</t>
  </si>
  <si>
    <t>17/12/2022</t>
  </si>
  <si>
    <t>406-7758126-5809105</t>
  </si>
  <si>
    <t>OLD GOA</t>
  </si>
  <si>
    <t>18/12/2022</t>
  </si>
  <si>
    <t>404-9244204-9932327</t>
  </si>
  <si>
    <t>405-7641399-6222735</t>
  </si>
  <si>
    <t>CHITHARA  KOLLAM</t>
  </si>
  <si>
    <t>406-3910075-4619508</t>
  </si>
  <si>
    <t>408-1416826-4733947</t>
  </si>
  <si>
    <t>407-7823180-0029913</t>
  </si>
  <si>
    <t>DAUSA</t>
  </si>
  <si>
    <t>405-1990015-2561913</t>
  </si>
  <si>
    <t>SWAMIMALAI</t>
  </si>
  <si>
    <t>404-4125882-6929947</t>
  </si>
  <si>
    <t>406-5173148-5052322</t>
  </si>
  <si>
    <t>407-6632622-0683529</t>
  </si>
  <si>
    <t>408-0311420-6542770</t>
  </si>
  <si>
    <t>404-7758832-4912369</t>
  </si>
  <si>
    <t>CHURU</t>
  </si>
  <si>
    <t>403-6836418-8151559</t>
  </si>
  <si>
    <t>405-9092015-1585911</t>
  </si>
  <si>
    <t>404-0720900-3335560</t>
  </si>
  <si>
    <t>408-2698100-5271544</t>
  </si>
  <si>
    <t>403-1747237-9359522</t>
  </si>
  <si>
    <t>405-3084526-3917963</t>
  </si>
  <si>
    <t>501_BROWN_07</t>
  </si>
  <si>
    <t>408-2535143-8253162</t>
  </si>
  <si>
    <t>404-0903570-9050707</t>
  </si>
  <si>
    <t>402-1125243-2062715</t>
  </si>
  <si>
    <t>405-7674248-9092327</t>
  </si>
  <si>
    <t>valsad</t>
  </si>
  <si>
    <t>404-5350542-6529141</t>
  </si>
  <si>
    <t>171-8239691-3461966</t>
  </si>
  <si>
    <t>Prayagraj</t>
  </si>
  <si>
    <t>402-4553714-0658719</t>
  </si>
  <si>
    <t>DASUA</t>
  </si>
  <si>
    <t>171-7689090-1452304</t>
  </si>
  <si>
    <t>406-4618940-8729142</t>
  </si>
  <si>
    <t>19/12/2022</t>
  </si>
  <si>
    <t>402-3472528-9471537</t>
  </si>
  <si>
    <t>406-7266696-2733929</t>
  </si>
  <si>
    <t>408-3472835-2066753</t>
  </si>
  <si>
    <t>406-2717038-1889954</t>
  </si>
  <si>
    <t>171-0282718-9345102</t>
  </si>
  <si>
    <t>404-9029413-2110739</t>
  </si>
  <si>
    <t>NARASARAOPET</t>
  </si>
  <si>
    <t>405-2848223-2769101</t>
  </si>
  <si>
    <t>GUMLA</t>
  </si>
  <si>
    <t>403-7426128-9194752</t>
  </si>
  <si>
    <t>305_Tan-10</t>
  </si>
  <si>
    <t>403-0859958-7401949</t>
  </si>
  <si>
    <t>8505_Black-08</t>
  </si>
  <si>
    <t>407-6077313-6833965</t>
  </si>
  <si>
    <t>408-0167646-7026758</t>
  </si>
  <si>
    <t>KATTANKULATHUR</t>
  </si>
  <si>
    <t>20/12/2022</t>
  </si>
  <si>
    <t>408-6384477-7902723</t>
  </si>
  <si>
    <t>403-9187793-8597134</t>
  </si>
  <si>
    <t>KOTTAYAM</t>
  </si>
  <si>
    <t>405-7666720-3098744</t>
  </si>
  <si>
    <t>MAHARAJGANJ</t>
  </si>
  <si>
    <t>171-3010797-6853955</t>
  </si>
  <si>
    <t>408-7850086-1273122</t>
  </si>
  <si>
    <t>408-7547625-5707511</t>
  </si>
  <si>
    <t>408-7581190-8654759</t>
  </si>
  <si>
    <t>Ghatkopar MUMBAI</t>
  </si>
  <si>
    <t>405-3344561-8269112</t>
  </si>
  <si>
    <t>404-8626216-1733143</t>
  </si>
  <si>
    <t>405-2129993-7587540</t>
  </si>
  <si>
    <t>408-2265095-0178731</t>
  </si>
  <si>
    <t>408-8137770-7461167</t>
  </si>
  <si>
    <t>171-9834068-2456304</t>
  </si>
  <si>
    <t>405-5730273-3717918</t>
  </si>
  <si>
    <t>21/12/2022</t>
  </si>
  <si>
    <t>171-8723196-0180326</t>
  </si>
  <si>
    <t>22/12/2022</t>
  </si>
  <si>
    <t>408-4248527-1141168</t>
  </si>
  <si>
    <t>RASIPURAM</t>
  </si>
  <si>
    <t>171-3059610-8828361</t>
  </si>
  <si>
    <t>405-3254974-2641919</t>
  </si>
  <si>
    <t>DIMAPUR</t>
  </si>
  <si>
    <t>405-7890891-1968340</t>
  </si>
  <si>
    <t>PALAMPUR</t>
  </si>
  <si>
    <t>404-6067095-3225117</t>
  </si>
  <si>
    <t>403-9009897-2784355</t>
  </si>
  <si>
    <t>408-7595510-4486764</t>
  </si>
  <si>
    <t>406-5337107-8169124</t>
  </si>
  <si>
    <t>171-6517202-9054753</t>
  </si>
  <si>
    <t>403-0444389-4269922</t>
  </si>
  <si>
    <t>402-7918465-1436340</t>
  </si>
  <si>
    <t>406-8449733-4005150</t>
  </si>
  <si>
    <t>402-5959115-6901956</t>
  </si>
  <si>
    <t>2505-BLACK-07</t>
  </si>
  <si>
    <t>MUDBIDRI</t>
  </si>
  <si>
    <t>404-6226605-2636316</t>
  </si>
  <si>
    <t>402-2848813-7272336</t>
  </si>
  <si>
    <t>MUNIYAPPAN KOVIL</t>
  </si>
  <si>
    <t>171-4047587-6996315</t>
  </si>
  <si>
    <t>24/12/2022</t>
  </si>
  <si>
    <t>408-1747493-7427500</t>
  </si>
  <si>
    <t>GAURIBIDANUR</t>
  </si>
  <si>
    <t>403-1749915-7745907</t>
  </si>
  <si>
    <t>23/12/2022</t>
  </si>
  <si>
    <t>403-2028192-7386706</t>
  </si>
  <si>
    <t>407-8213583-2965944</t>
  </si>
  <si>
    <t>402-8519345-1412353</t>
  </si>
  <si>
    <t>406-5862020-7313129</t>
  </si>
  <si>
    <t>404-4238202-4390727</t>
  </si>
  <si>
    <t>PALWAL</t>
  </si>
  <si>
    <t>405-2960767-7339560</t>
  </si>
  <si>
    <t>RAICHUR</t>
  </si>
  <si>
    <t>171-4215986-8055524</t>
  </si>
  <si>
    <t>Guntur</t>
  </si>
  <si>
    <t>171-2048784-9461959</t>
  </si>
  <si>
    <t>171-7798130-8854746</t>
  </si>
  <si>
    <t>404-3885024-0033940</t>
  </si>
  <si>
    <t>405-7510745-3529103</t>
  </si>
  <si>
    <t>171-5899170-7501162</t>
  </si>
  <si>
    <t>SURATGARH</t>
  </si>
  <si>
    <t>25/12/2022</t>
  </si>
  <si>
    <t>171-7754028-4431559</t>
  </si>
  <si>
    <t>MOGA</t>
  </si>
  <si>
    <t>405-8563344-8328309</t>
  </si>
  <si>
    <t>Bhagalpur</t>
  </si>
  <si>
    <t>408-8053318-4373900</t>
  </si>
  <si>
    <t>407-5934753-7049928</t>
  </si>
  <si>
    <t>404-9880250-7749147</t>
  </si>
  <si>
    <t>402-7732107-9004310</t>
  </si>
  <si>
    <t>405-0191558-6250748</t>
  </si>
  <si>
    <t>407-7278080-0565955</t>
  </si>
  <si>
    <t>404-1048189-5795520</t>
  </si>
  <si>
    <t>BOISAR</t>
  </si>
  <si>
    <t>171-4061248-3308326</t>
  </si>
  <si>
    <t>405-8312070-2516321</t>
  </si>
  <si>
    <t>HATHRAS</t>
  </si>
  <si>
    <t>408-8666207-5358727</t>
  </si>
  <si>
    <t>305_Tan-09</t>
  </si>
  <si>
    <t>404-0984746-9113943</t>
  </si>
  <si>
    <t>Idaicode</t>
  </si>
  <si>
    <t>26/12/2022</t>
  </si>
  <si>
    <t>402-2915943-9029903</t>
  </si>
  <si>
    <t>GOSSAIGAON</t>
  </si>
  <si>
    <t>402-0930354-7025965</t>
  </si>
  <si>
    <t>403-0919190-3993910</t>
  </si>
  <si>
    <t>408-8470963-4166750</t>
  </si>
  <si>
    <t>UDHAMPUR</t>
  </si>
  <si>
    <t>407-9830892-0814715</t>
  </si>
  <si>
    <t>Patana Bhal   Ta  Vallbhipur   Distric  Bhavnagar</t>
  </si>
  <si>
    <t>171-7899051-5687515</t>
  </si>
  <si>
    <t>407-9922732-6592356</t>
  </si>
  <si>
    <t>402-7866523-5355567</t>
  </si>
  <si>
    <t>408-9522658-0969922</t>
  </si>
  <si>
    <t>404-6932248-0116330</t>
  </si>
  <si>
    <t>402-0233878-1525114</t>
  </si>
  <si>
    <t>6301_Brown_7</t>
  </si>
  <si>
    <t>28/12/2022</t>
  </si>
  <si>
    <t>405-1607807-9967516</t>
  </si>
  <si>
    <t>27/12/2022</t>
  </si>
  <si>
    <t>404-4802807-8370748</t>
  </si>
  <si>
    <t>406-0495548-5405168</t>
  </si>
  <si>
    <t>171-4156607-6300305</t>
  </si>
  <si>
    <t>405-7520160-9405124</t>
  </si>
  <si>
    <t>PALAMANER</t>
  </si>
  <si>
    <t>406-0887109-7729968</t>
  </si>
  <si>
    <t>402-1019729-1977104</t>
  </si>
  <si>
    <t>406-5502147-4539542</t>
  </si>
  <si>
    <t>404-8955946-1650730</t>
  </si>
  <si>
    <t>405-7179423-0410720</t>
  </si>
  <si>
    <t>406-9251705-6520355</t>
  </si>
  <si>
    <t>7201-Tan-9</t>
  </si>
  <si>
    <t>402-9761827-4522737</t>
  </si>
  <si>
    <t>408-3005160-9993927</t>
  </si>
  <si>
    <t>404-0613481-9991511</t>
  </si>
  <si>
    <t>402-3437959-1879552</t>
  </si>
  <si>
    <t>403-6952773-2734710</t>
  </si>
  <si>
    <t>LATUR</t>
  </si>
  <si>
    <t>405-5074050-2494735</t>
  </si>
  <si>
    <t>402-8197152-6319512</t>
  </si>
  <si>
    <t>29/12/2022</t>
  </si>
  <si>
    <t>405-8597768-1585169</t>
  </si>
  <si>
    <t>GONDIYA</t>
  </si>
  <si>
    <t>402-2544406-5132354</t>
  </si>
  <si>
    <t>408-6683064-2109969</t>
  </si>
  <si>
    <t>171-3776100-2539502</t>
  </si>
  <si>
    <t>404-4133344-7660349</t>
  </si>
  <si>
    <t>408-7862720-0973955</t>
  </si>
  <si>
    <t>407-2091039-8884329</t>
  </si>
  <si>
    <t>SANGARIA</t>
  </si>
  <si>
    <t>403-6412255-1902736</t>
  </si>
  <si>
    <t>Alappuzha</t>
  </si>
  <si>
    <t>171-0447127-2089908</t>
  </si>
  <si>
    <t>30/12/2022</t>
  </si>
  <si>
    <t>402-6044057-6149134</t>
  </si>
  <si>
    <t>PUTTUR</t>
  </si>
  <si>
    <t>404-6322351-4228348</t>
  </si>
  <si>
    <t>CHAKRADHARPUR</t>
  </si>
  <si>
    <t>402-2749920-5010718</t>
  </si>
  <si>
    <t>408-4606035-6841137</t>
  </si>
  <si>
    <t>402-4102586-5782720</t>
  </si>
  <si>
    <t>408-3900164-8729943</t>
  </si>
  <si>
    <t>408-0116920-3461177</t>
  </si>
  <si>
    <t>408-5984993-2432327</t>
  </si>
  <si>
    <t>171-2347394-2437151</t>
  </si>
  <si>
    <t>31/12/2022</t>
  </si>
  <si>
    <t>408-5266723-7435541</t>
  </si>
  <si>
    <t>171-2179502-6397932</t>
  </si>
  <si>
    <t>MAMALURLUR INDUSTRIAL AREA</t>
  </si>
  <si>
    <t>405-7577921-9056314</t>
  </si>
  <si>
    <t>BCPL TOWNSHIP</t>
  </si>
  <si>
    <t>408-1450198-3225142</t>
  </si>
  <si>
    <t>402-2072230-8589940</t>
  </si>
  <si>
    <t>Edakadathy</t>
  </si>
  <si>
    <t>405-4158822-8028366</t>
  </si>
  <si>
    <t>404-9454792-1876350</t>
  </si>
  <si>
    <t>407-2110610-1809908</t>
  </si>
  <si>
    <t>PUTHUNAGARAM</t>
  </si>
  <si>
    <t>402-5897146-6411561</t>
  </si>
  <si>
    <t>404-7302918-6647559</t>
  </si>
  <si>
    <t>408-3192644-2414734</t>
  </si>
  <si>
    <t>402-2350070-2096331</t>
  </si>
  <si>
    <t>407-0423361-7824366</t>
  </si>
  <si>
    <t>CHITAPUR</t>
  </si>
  <si>
    <t>404-8953789-0550713</t>
  </si>
  <si>
    <t>404-7500442-9906731</t>
  </si>
  <si>
    <t>ALUVA</t>
  </si>
  <si>
    <t>171-9401877-4238730</t>
  </si>
  <si>
    <t>403-2690333-5923516</t>
  </si>
  <si>
    <t>LALGANJ</t>
  </si>
  <si>
    <t>407-5788078-3365931</t>
  </si>
  <si>
    <t>408-8340782-3244337</t>
  </si>
  <si>
    <t>01/01/2023</t>
  </si>
  <si>
    <t>406-5591816-6534737</t>
  </si>
  <si>
    <t>January</t>
  </si>
  <si>
    <t>407-8747753-0537922</t>
  </si>
  <si>
    <t>405-8263153-4125114</t>
  </si>
  <si>
    <t>403-3354561-4044304</t>
  </si>
  <si>
    <t>405-8410109-1108344</t>
  </si>
  <si>
    <t>405-2903468-2857101</t>
  </si>
  <si>
    <t>171-9772519-5815513</t>
  </si>
  <si>
    <t>404-0615993-5383507</t>
  </si>
  <si>
    <t>405-6796934-2039566</t>
  </si>
  <si>
    <t>171-2515259-0186735</t>
  </si>
  <si>
    <t>02/01/2023</t>
  </si>
  <si>
    <t>408-5400079-9422728</t>
  </si>
  <si>
    <t>404-3466127-1858721</t>
  </si>
  <si>
    <t>402-2197642-6967531</t>
  </si>
  <si>
    <t>405-5114151-2224347</t>
  </si>
  <si>
    <t>Kishangarh Ajmer</t>
  </si>
  <si>
    <t>407-4485994-9791500</t>
  </si>
  <si>
    <t>403-7899214-2702740</t>
  </si>
  <si>
    <t>408-7748495-9095565</t>
  </si>
  <si>
    <t>402-5411353-8871563</t>
  </si>
  <si>
    <t>404-6786851-3257106</t>
  </si>
  <si>
    <t>402-8664600-8430766</t>
  </si>
  <si>
    <t>408-5231376-5993148</t>
  </si>
  <si>
    <t>501_BROWN_09</t>
  </si>
  <si>
    <t>MAHIM  MUMBAI</t>
  </si>
  <si>
    <t>408-5419698-2489132</t>
  </si>
  <si>
    <t>171-9974066-1162755</t>
  </si>
  <si>
    <t>407-1365813-1792339</t>
  </si>
  <si>
    <t>VADDAKKANKULAM</t>
  </si>
  <si>
    <t>408-0080732-3569915</t>
  </si>
  <si>
    <t>Degana</t>
  </si>
  <si>
    <t>03/01/2023</t>
  </si>
  <si>
    <t>403-2743503-1459503</t>
  </si>
  <si>
    <t>PADRA</t>
  </si>
  <si>
    <t>404-5272785-7954762</t>
  </si>
  <si>
    <t>171-4870895-2355559</t>
  </si>
  <si>
    <t>171-6763945-2205144</t>
  </si>
  <si>
    <t>404-5039017-5294758</t>
  </si>
  <si>
    <t>BHILAI</t>
  </si>
  <si>
    <t>408-9158739-3625933</t>
  </si>
  <si>
    <t>405-5370829-4297923</t>
  </si>
  <si>
    <t>ART_505_BLACK_07</t>
  </si>
  <si>
    <t>408-5446290-4346704</t>
  </si>
  <si>
    <t>04/01/2023</t>
  </si>
  <si>
    <t>403-6217559-1925958</t>
  </si>
  <si>
    <t>407-1492745-7188335</t>
  </si>
  <si>
    <t>404-5691883-3578709</t>
  </si>
  <si>
    <t>CHOUTUPPAL</t>
  </si>
  <si>
    <t>405-2401455-1753924</t>
  </si>
  <si>
    <t>171-7128934-3713919</t>
  </si>
  <si>
    <t>Meenangadi</t>
  </si>
  <si>
    <t>404-5027941-4229138</t>
  </si>
  <si>
    <t>171-0278029-1603574</t>
  </si>
  <si>
    <t>404-1978645-5644344</t>
  </si>
  <si>
    <t>171-8884011-8369154</t>
  </si>
  <si>
    <t>Longding</t>
  </si>
  <si>
    <t>405-4005970-3151545</t>
  </si>
  <si>
    <t>JUNNAR</t>
  </si>
  <si>
    <t>06/01/2023</t>
  </si>
  <si>
    <t>402-7126509-5382727</t>
  </si>
  <si>
    <t>05/01/2023</t>
  </si>
  <si>
    <t>171-0348055-5163513</t>
  </si>
  <si>
    <t>171-3178380-3636321</t>
  </si>
  <si>
    <t>402-0153283-6145177</t>
  </si>
  <si>
    <t>BALASINOR</t>
  </si>
  <si>
    <t>407-2631516-5164317</t>
  </si>
  <si>
    <t>407-8382107-3454764</t>
  </si>
  <si>
    <t>PETTAI</t>
  </si>
  <si>
    <t>402-8094974-6879506</t>
  </si>
  <si>
    <t>406-1530668-4563538</t>
  </si>
  <si>
    <t>SAPUTARA</t>
  </si>
  <si>
    <t>407-4485712-9895536</t>
  </si>
  <si>
    <t>407-2502945-2609159</t>
  </si>
  <si>
    <t>ART_505_BLACK_12</t>
  </si>
  <si>
    <t>171-4759062-4175525</t>
  </si>
  <si>
    <t>07/01/2023</t>
  </si>
  <si>
    <t>408-0222204-7026762</t>
  </si>
  <si>
    <t>405-6600493-7909960</t>
  </si>
  <si>
    <t>171-3114618-0805125</t>
  </si>
  <si>
    <t>ADONI</t>
  </si>
  <si>
    <t>403-4462875-1104329</t>
  </si>
  <si>
    <t>408-7400962-0193920</t>
  </si>
  <si>
    <t>408-0595860-6015536</t>
  </si>
  <si>
    <t>404-7250665-5921963</t>
  </si>
  <si>
    <t>408-3862183-9336316</t>
  </si>
  <si>
    <t>402-7076560-0489117</t>
  </si>
  <si>
    <t>405-8792204-5571540</t>
  </si>
  <si>
    <t>404-8420544-7568312</t>
  </si>
  <si>
    <t>KANKINARA</t>
  </si>
  <si>
    <t>402-3405241-2367516</t>
  </si>
  <si>
    <t>171-0257661-6514764</t>
  </si>
  <si>
    <t>408-9738609-4114745</t>
  </si>
  <si>
    <t>403-4815672-8627559</t>
  </si>
  <si>
    <t>403-5924937-6744301</t>
  </si>
  <si>
    <t>402-1695626-9583569</t>
  </si>
  <si>
    <t>Navi Mumbai</t>
  </si>
  <si>
    <t>08/01/2023</t>
  </si>
  <si>
    <t>408-2476003-5328332</t>
  </si>
  <si>
    <t>171-0422593-5952325</t>
  </si>
  <si>
    <t>408-3077578-8739506</t>
  </si>
  <si>
    <t>406-4450030-9474730</t>
  </si>
  <si>
    <t>402-5777241-1753915</t>
  </si>
  <si>
    <t>403-7428724-0171507</t>
  </si>
  <si>
    <t>171-1699841-0259559</t>
  </si>
  <si>
    <t>1804-BLACK-06</t>
  </si>
  <si>
    <t>402-1485583-3857930</t>
  </si>
  <si>
    <t>406-3212889-2127556</t>
  </si>
  <si>
    <t>404-9463631-6174706</t>
  </si>
  <si>
    <t>407-9074133-0369967</t>
  </si>
  <si>
    <t>402-1582222-2967536</t>
  </si>
  <si>
    <t>171-5146859-7805903</t>
  </si>
  <si>
    <t>408-0387443-8669152</t>
  </si>
  <si>
    <t>406-0428162-0042735</t>
  </si>
  <si>
    <t>402-1999073-2274749</t>
  </si>
  <si>
    <t>406-4998833-4598749</t>
  </si>
  <si>
    <t>Hanamkonda</t>
  </si>
  <si>
    <t>407-2311785-8460301</t>
  </si>
  <si>
    <t>407-6604713-4283527</t>
  </si>
  <si>
    <t>L-1-BLACK_09</t>
  </si>
  <si>
    <t>171-1161159-7426733</t>
  </si>
  <si>
    <t>405-6516194-6137163</t>
  </si>
  <si>
    <t>DALSINGHSARAI</t>
  </si>
  <si>
    <t>405-7385388-0818759</t>
  </si>
  <si>
    <t>405-8162880-0658718</t>
  </si>
  <si>
    <t>JHARSUGUDA</t>
  </si>
  <si>
    <t>171-5249641-2324360</t>
  </si>
  <si>
    <t>408-7717077-8729952</t>
  </si>
  <si>
    <t>402-6239612-5712363</t>
  </si>
  <si>
    <t>408-2433751-9984349</t>
  </si>
  <si>
    <t>1804-BLACK-11</t>
  </si>
  <si>
    <t>Osmanabad</t>
  </si>
  <si>
    <t>09/01/2023</t>
  </si>
  <si>
    <t>407-2468041-0532321</t>
  </si>
  <si>
    <t>402-5113943-9805145</t>
  </si>
  <si>
    <t>406-7512098-4125958</t>
  </si>
  <si>
    <t>171-0494263-9028347</t>
  </si>
  <si>
    <t>407-0589668-3848304</t>
  </si>
  <si>
    <t>407-0275534-0682725</t>
  </si>
  <si>
    <t>171-2705066-8169158</t>
  </si>
  <si>
    <t>PANIHATI</t>
  </si>
  <si>
    <t>406-7517446-1804365</t>
  </si>
  <si>
    <t>407-6093801-8867516</t>
  </si>
  <si>
    <t>BARBIL</t>
  </si>
  <si>
    <t>406-7517717-1235533</t>
  </si>
  <si>
    <t>402-1415000-9092315</t>
  </si>
  <si>
    <t>11/01/2023</t>
  </si>
  <si>
    <t>171-5758887-0517124</t>
  </si>
  <si>
    <t>403-1339288-9690768</t>
  </si>
  <si>
    <t>10/01/2023</t>
  </si>
  <si>
    <t>171-2052313-4319503</t>
  </si>
  <si>
    <t>408-1249298-3154764</t>
  </si>
  <si>
    <t>408-4951117-7310762</t>
  </si>
  <si>
    <t>404-2865061-6961141</t>
  </si>
  <si>
    <t>KHEKADA</t>
  </si>
  <si>
    <t>406-4961804-4746759</t>
  </si>
  <si>
    <t>408-0711117-3753156</t>
  </si>
  <si>
    <t>171-5539355-2541146</t>
  </si>
  <si>
    <t>408-7512659-6395513</t>
  </si>
  <si>
    <t>404-9791537-7080352</t>
  </si>
  <si>
    <t>403-6500043-3871563</t>
  </si>
  <si>
    <t>408-1548442-6855542</t>
  </si>
  <si>
    <t>404-4614333-9521914</t>
  </si>
  <si>
    <t>408-5728537-3795517</t>
  </si>
  <si>
    <t>407-8040721-6292315</t>
  </si>
  <si>
    <t>Hindaun city</t>
  </si>
  <si>
    <t>171-9789125-0258732</t>
  </si>
  <si>
    <t>403-4196338-7951569</t>
  </si>
  <si>
    <t>404-5319516-9146731</t>
  </si>
  <si>
    <t>402-0298350-5801950</t>
  </si>
  <si>
    <t>405-9672527-9813136</t>
  </si>
  <si>
    <t>171-1918103-4706718</t>
  </si>
  <si>
    <t>408-2998045-7902700</t>
  </si>
  <si>
    <t>405-6736527-4314757</t>
  </si>
  <si>
    <t>406-0154408-8261957</t>
  </si>
  <si>
    <t>405-6900377-9759550</t>
  </si>
  <si>
    <t>CHITTAURGARH</t>
  </si>
  <si>
    <t>406-4865122-4312305</t>
  </si>
  <si>
    <t>12/01/2023</t>
  </si>
  <si>
    <t>408-0099675-8116310</t>
  </si>
  <si>
    <t>KALYAN East  Thane</t>
  </si>
  <si>
    <t>171-8145729-9861148</t>
  </si>
  <si>
    <t>408-6075101-2699561</t>
  </si>
  <si>
    <t>403-4833427-9140314</t>
  </si>
  <si>
    <t>KANPUR Nagar</t>
  </si>
  <si>
    <t>407-9555296-8313124</t>
  </si>
  <si>
    <t>408-8315674-3664368</t>
  </si>
  <si>
    <t>DHARWAD</t>
  </si>
  <si>
    <t>405-6001387-7066713</t>
  </si>
  <si>
    <t>Ganjam</t>
  </si>
  <si>
    <t>406-8768064-5741101</t>
  </si>
  <si>
    <t>407-8082034-8057932</t>
  </si>
  <si>
    <t>KALADHUNGI</t>
  </si>
  <si>
    <t>407-0837142-3530740</t>
  </si>
  <si>
    <t>DIAMOND HARBOUR</t>
  </si>
  <si>
    <t>403-2474629-5940352</t>
  </si>
  <si>
    <t>408-7568714-2563501</t>
  </si>
  <si>
    <t>Bikaner</t>
  </si>
  <si>
    <t>402-0443729-1334722</t>
  </si>
  <si>
    <t>KUNNATHUNAD</t>
  </si>
  <si>
    <t>402-1606976-0153940</t>
  </si>
  <si>
    <t>MADURANTHAKAM</t>
  </si>
  <si>
    <t>403-4905153-9635543</t>
  </si>
  <si>
    <t>JHANSI</t>
  </si>
  <si>
    <t>13/01/2023</t>
  </si>
  <si>
    <t>405-6066751-2277146</t>
  </si>
  <si>
    <t>PARAMATHI</t>
  </si>
  <si>
    <t>406-4000136-3649952</t>
  </si>
  <si>
    <t>402-6347726-1229919</t>
  </si>
  <si>
    <t>403-3711405-5262738</t>
  </si>
  <si>
    <t>405-3973221-1072361</t>
  </si>
  <si>
    <t>405-2706475-5798769</t>
  </si>
  <si>
    <t>LIMKHEDA</t>
  </si>
  <si>
    <t>407-8524721-8093966</t>
  </si>
  <si>
    <t>BERHAMPUR</t>
  </si>
  <si>
    <t>404-3485016-0158731</t>
  </si>
  <si>
    <t>405-7589137-7456354</t>
  </si>
  <si>
    <t>ADILABAD</t>
  </si>
  <si>
    <t>407-3830310-3215506</t>
  </si>
  <si>
    <t>408-9970981-7200324</t>
  </si>
  <si>
    <t>404-5274956-2981952</t>
  </si>
  <si>
    <t>15/01/2023</t>
  </si>
  <si>
    <t>408-4876840-7885116</t>
  </si>
  <si>
    <t>THIRUVARUR</t>
  </si>
  <si>
    <t>408-7649903-5657933</t>
  </si>
  <si>
    <t>14/01/2023</t>
  </si>
  <si>
    <t>404-5705155-9898734</t>
  </si>
  <si>
    <t>MUNDRA</t>
  </si>
  <si>
    <t>404-9536659-0938745</t>
  </si>
  <si>
    <t>408-1176631-2387567</t>
  </si>
  <si>
    <t>402-6114159-9070758</t>
  </si>
  <si>
    <t>408-8322788-6640323</t>
  </si>
  <si>
    <t>407-3825819-9664310</t>
  </si>
  <si>
    <t>Shimla</t>
  </si>
  <si>
    <t>406-9745218-6101150</t>
  </si>
  <si>
    <t>408-5291339-3837963</t>
  </si>
  <si>
    <t>405-5880688-6365909</t>
  </si>
  <si>
    <t>408-8128551-0986727</t>
  </si>
  <si>
    <t>Kanpur Nagar</t>
  </si>
  <si>
    <t>403-1099369-9004345</t>
  </si>
  <si>
    <t>402-8010582-8798718</t>
  </si>
  <si>
    <t>301_Brown-07</t>
  </si>
  <si>
    <t>404-0950579-3589935</t>
  </si>
  <si>
    <t>407-9018906-0042720</t>
  </si>
  <si>
    <t>Aizawl</t>
  </si>
  <si>
    <t>405-6270005-9832320</t>
  </si>
  <si>
    <t>KASHIPUR</t>
  </si>
  <si>
    <t>402-2300908-0817137</t>
  </si>
  <si>
    <t>HILSA</t>
  </si>
  <si>
    <t>408-2656648-8499561</t>
  </si>
  <si>
    <t>407-1407548-6987546</t>
  </si>
  <si>
    <t>HAPUR</t>
  </si>
  <si>
    <t>406-1572289-8931546</t>
  </si>
  <si>
    <t>17/01/2023</t>
  </si>
  <si>
    <t>402-6385256-4701965</t>
  </si>
  <si>
    <t>402-7473605-7486724</t>
  </si>
  <si>
    <t>16/01/2023</t>
  </si>
  <si>
    <t>405-2211542-0833127</t>
  </si>
  <si>
    <t>405-4277948-1650708</t>
  </si>
  <si>
    <t>ALIGARH</t>
  </si>
  <si>
    <t>408-8460963-5737121</t>
  </si>
  <si>
    <t>Latur</t>
  </si>
  <si>
    <t>171-1350415-3501121</t>
  </si>
  <si>
    <t>407-7581565-5607548</t>
  </si>
  <si>
    <t>406-0563771-1905105</t>
  </si>
  <si>
    <t>Chityala</t>
  </si>
  <si>
    <t>407-3613879-4691516</t>
  </si>
  <si>
    <t>Dombivali East</t>
  </si>
  <si>
    <t>403-2851108-8039509</t>
  </si>
  <si>
    <t>405-7235663-7564341</t>
  </si>
  <si>
    <t>18/01/2023</t>
  </si>
  <si>
    <t>407-9956482-3645141</t>
  </si>
  <si>
    <t>405-6713627-8448343</t>
  </si>
  <si>
    <t>171-3558977-6658737</t>
  </si>
  <si>
    <t>J-5-BROWN_10</t>
  </si>
  <si>
    <t>ANCHARAKANDY</t>
  </si>
  <si>
    <t>405-1335608-6581138</t>
  </si>
  <si>
    <t>171-0641893-3758710</t>
  </si>
  <si>
    <t>403-0093056-3610775</t>
  </si>
  <si>
    <t>DIU</t>
  </si>
  <si>
    <t>DADRA AND NAGAR HAVELI AND DAMAN AND DIU</t>
  </si>
  <si>
    <t>408-1399272-6837145</t>
  </si>
  <si>
    <t>405-6799441-8289144</t>
  </si>
  <si>
    <t>405-0388013-7219525</t>
  </si>
  <si>
    <t>ANAND</t>
  </si>
  <si>
    <t>408-1662712-9501967</t>
  </si>
  <si>
    <t>403-9955628-4742701</t>
  </si>
  <si>
    <t>PADRA  Vadodara</t>
  </si>
  <si>
    <t>406-6366408-1778721</t>
  </si>
  <si>
    <t>408-5899353-1671557</t>
  </si>
  <si>
    <t>407-9286774-0201939</t>
  </si>
  <si>
    <t>404-0021239-7720347</t>
  </si>
  <si>
    <t>408-1355089-6732316</t>
  </si>
  <si>
    <t>403-8932819-2677121</t>
  </si>
  <si>
    <t>408-2414088-5706739</t>
  </si>
  <si>
    <t>402-4913544-6033142</t>
  </si>
  <si>
    <t>408-0746122-3721129</t>
  </si>
  <si>
    <t>171-1710836-3775545</t>
  </si>
  <si>
    <t>171-9112382-7896360</t>
  </si>
  <si>
    <t>404-7321352-4203533</t>
  </si>
  <si>
    <t>SHERGHATI</t>
  </si>
  <si>
    <t>402-5870626-6033116</t>
  </si>
  <si>
    <t>408-9176878-5898748</t>
  </si>
  <si>
    <t>19/01/2023</t>
  </si>
  <si>
    <t>403-9754860-0655565</t>
  </si>
  <si>
    <t>Raebareli</t>
  </si>
  <si>
    <t>403-2629251-5538763</t>
  </si>
  <si>
    <t>BELTANGADI</t>
  </si>
  <si>
    <t>408-5850626-7565909</t>
  </si>
  <si>
    <t>PANDHARKAODA</t>
  </si>
  <si>
    <t>402-1784808-7580358</t>
  </si>
  <si>
    <t>A-1-BROWN_08</t>
  </si>
  <si>
    <t>AWALPUR</t>
  </si>
  <si>
    <t>171-4914766-6418769</t>
  </si>
  <si>
    <t>408-6048684-9853123</t>
  </si>
  <si>
    <t>chengalpattu</t>
  </si>
  <si>
    <t>408-1770434-7644334</t>
  </si>
  <si>
    <t>402-4271084-3944365</t>
  </si>
  <si>
    <t>NAGDA</t>
  </si>
  <si>
    <t>407-5042410-9782716</t>
  </si>
  <si>
    <t>404-3019751-0149125</t>
  </si>
  <si>
    <t>404-0726827-6609133</t>
  </si>
  <si>
    <t>NUZVID</t>
  </si>
  <si>
    <t>407-6997766-4671516</t>
  </si>
  <si>
    <t>408-4845234-7940349</t>
  </si>
  <si>
    <t>171-8809815-6918754</t>
  </si>
  <si>
    <t>404-8568345-3540315</t>
  </si>
  <si>
    <t>408-6729796-1970715</t>
  </si>
  <si>
    <t>20/01/2023</t>
  </si>
  <si>
    <t>406-9785633-1348300</t>
  </si>
  <si>
    <t>405-3756082-7220304</t>
  </si>
  <si>
    <t>407-1753508-2795537</t>
  </si>
  <si>
    <t>Gorakhpur</t>
  </si>
  <si>
    <t>403-2259620-7001922</t>
  </si>
  <si>
    <t>Yeola</t>
  </si>
  <si>
    <t>402-2539342-7609935</t>
  </si>
  <si>
    <t>408-8531240-0918700</t>
  </si>
  <si>
    <t>GAYA</t>
  </si>
  <si>
    <t>403-6023666-8498729</t>
  </si>
  <si>
    <t>405-4328089-6381101</t>
  </si>
  <si>
    <t>402-9162988-2089157</t>
  </si>
  <si>
    <t>KURNOOL Nandhikottukuru road</t>
  </si>
  <si>
    <t>402-2991146-6822721</t>
  </si>
  <si>
    <t>402-2708850-3407564</t>
  </si>
  <si>
    <t>404-0718863-3521151</t>
  </si>
  <si>
    <t>171-7537685-0078757</t>
  </si>
  <si>
    <t>405-9691431-4416337</t>
  </si>
  <si>
    <t>Jamshedpur</t>
  </si>
  <si>
    <t>403-6026153-4768357</t>
  </si>
  <si>
    <t>407-4291964-0723537</t>
  </si>
  <si>
    <t>407-2554231-7968335</t>
  </si>
  <si>
    <t>Loni</t>
  </si>
  <si>
    <t>404-2537293-3933100</t>
  </si>
  <si>
    <t>404-3913481-6889948</t>
  </si>
  <si>
    <t>21/01/2023</t>
  </si>
  <si>
    <t>408-0347658-3105157</t>
  </si>
  <si>
    <t>22/01/2023</t>
  </si>
  <si>
    <t>404-9231966-4046713</t>
  </si>
  <si>
    <t>23/01/2023</t>
  </si>
  <si>
    <t>405-8538965-0230718</t>
  </si>
  <si>
    <t>MACHILIPATNAM</t>
  </si>
  <si>
    <t>407-0106655-3272300</t>
  </si>
  <si>
    <t>408-1509965-2782756</t>
  </si>
  <si>
    <t>407-5118445-4644312</t>
  </si>
  <si>
    <t>SATHYAMANGALAM</t>
  </si>
  <si>
    <t>404-9198531-0128315</t>
  </si>
  <si>
    <t>Thiruvalla</t>
  </si>
  <si>
    <t>408-1246152-8726755</t>
  </si>
  <si>
    <t>405-4067305-4582716</t>
  </si>
  <si>
    <t>KHARDAHA</t>
  </si>
  <si>
    <t>408-8715176-0154768</t>
  </si>
  <si>
    <t>408-8593586-9411517</t>
  </si>
  <si>
    <t>8505_Brown-07</t>
  </si>
  <si>
    <t>GIDDALURU</t>
  </si>
  <si>
    <t>407-7910379-3461965</t>
  </si>
  <si>
    <t>SHAHPUR</t>
  </si>
  <si>
    <t>405-9019322-1257153</t>
  </si>
  <si>
    <t>407-4773683-6892349</t>
  </si>
  <si>
    <t>171-7459216-4967521</t>
  </si>
  <si>
    <t>406-9625690-5934717</t>
  </si>
  <si>
    <t>408-5368052-5241115</t>
  </si>
  <si>
    <t>407-9867474-1291512</t>
  </si>
  <si>
    <t>171-8929579-0549152</t>
  </si>
  <si>
    <t>405-1120875-6959541</t>
  </si>
  <si>
    <t>408-9991215-2606721</t>
  </si>
  <si>
    <t>403-0493535-9784306</t>
  </si>
  <si>
    <t>407-9834665-5747505</t>
  </si>
  <si>
    <t>403-7954022-5813916</t>
  </si>
  <si>
    <t>403-5283704-2789961</t>
  </si>
  <si>
    <t>406-3463679-9268326</t>
  </si>
  <si>
    <t>ARRAH</t>
  </si>
  <si>
    <t>408-1661943-9759560</t>
  </si>
  <si>
    <t>406-9562262-9173136</t>
  </si>
  <si>
    <t>Budhanpur</t>
  </si>
  <si>
    <t>405-5146609-3817919</t>
  </si>
  <si>
    <t>403-2398714-3997926</t>
  </si>
  <si>
    <t>GURGAON</t>
  </si>
  <si>
    <t>171-3323730-0092353</t>
  </si>
  <si>
    <t>405-0556133-6816335</t>
  </si>
  <si>
    <t>406-3167960-3773941</t>
  </si>
  <si>
    <t>403-9280290-9901949</t>
  </si>
  <si>
    <t>SENDHWA</t>
  </si>
  <si>
    <t>402-1115007-8962724</t>
  </si>
  <si>
    <t>402-7736589-3513937</t>
  </si>
  <si>
    <t>404-4755335-0354727</t>
  </si>
  <si>
    <t>delhi</t>
  </si>
  <si>
    <t>407-7239286-3918764</t>
  </si>
  <si>
    <t>VIJAINAGAR AJMER DISTRICT</t>
  </si>
  <si>
    <t>404-5298457-7847533</t>
  </si>
  <si>
    <t>407-5340207-7352341</t>
  </si>
  <si>
    <t>24/01/2023</t>
  </si>
  <si>
    <t>407-1468495-3279551</t>
  </si>
  <si>
    <t>407-8528643-8867505</t>
  </si>
  <si>
    <t>403-0201946-5117958</t>
  </si>
  <si>
    <t>HALDIA</t>
  </si>
  <si>
    <t>407-9229807-0497912</t>
  </si>
  <si>
    <t>406-0462406-7611535</t>
  </si>
  <si>
    <t>402-6036866-6004305</t>
  </si>
  <si>
    <t>POWAYAN</t>
  </si>
  <si>
    <t>171-2794207-8832363</t>
  </si>
  <si>
    <t>KALABURGI</t>
  </si>
  <si>
    <t>404-1582936-1261130</t>
  </si>
  <si>
    <t>J-5-BLACK_07</t>
  </si>
  <si>
    <t>404-4429585-9663511</t>
  </si>
  <si>
    <t>J-5-BLACK_06</t>
  </si>
  <si>
    <t>402-3086657-2576357</t>
  </si>
  <si>
    <t>404-3552405-9540358</t>
  </si>
  <si>
    <t>405-3546415-9413922</t>
  </si>
  <si>
    <t>405-2968349-0627544</t>
  </si>
  <si>
    <t>404-8325470-1961100</t>
  </si>
  <si>
    <t>405-2420216-1096346</t>
  </si>
  <si>
    <t>171-2910174-0133152</t>
  </si>
  <si>
    <t>Sillod</t>
  </si>
  <si>
    <t>408-6551873-5487517</t>
  </si>
  <si>
    <t>406-6660809-5957920</t>
  </si>
  <si>
    <t>405-0043912-3648312</t>
  </si>
  <si>
    <t>171-2079089-7442717</t>
  </si>
  <si>
    <t>NAWALGARH</t>
  </si>
  <si>
    <t>404-4056964-6149157</t>
  </si>
  <si>
    <t>CHIKHAL KASA</t>
  </si>
  <si>
    <t>404-0530653-3909941</t>
  </si>
  <si>
    <t>171-9584453-1059566</t>
  </si>
  <si>
    <t>406-2239737-3197158</t>
  </si>
  <si>
    <t>REWA</t>
  </si>
  <si>
    <t>25/01/2023</t>
  </si>
  <si>
    <t>404-2035526-4043568</t>
  </si>
  <si>
    <t>26/01/2023</t>
  </si>
  <si>
    <t>404-4986996-7799519</t>
  </si>
  <si>
    <t>407-2981059-2724348</t>
  </si>
  <si>
    <t>27/01/2023</t>
  </si>
  <si>
    <t>406-2490458-6075527</t>
  </si>
  <si>
    <t>404-0869094-6468303</t>
  </si>
  <si>
    <t>406-4659376-1157140</t>
  </si>
  <si>
    <t>407-9893271-3488362</t>
  </si>
  <si>
    <t>404-2397293-3748327</t>
  </si>
  <si>
    <t>171-4573510-1297911</t>
  </si>
  <si>
    <t>KURATTISSERY</t>
  </si>
  <si>
    <t>408-1336012-0885162</t>
  </si>
  <si>
    <t>406-8367860-2900357</t>
  </si>
  <si>
    <t>407-1789061-2537121</t>
  </si>
  <si>
    <t>408-6824960-8437926</t>
  </si>
  <si>
    <t>402-2011457-5101943</t>
  </si>
  <si>
    <t>405-0416057-9019500</t>
  </si>
  <si>
    <t>403-1472018-3682759</t>
  </si>
  <si>
    <t>407-5769375-4805152</t>
  </si>
  <si>
    <t>408-1059424-9745123</t>
  </si>
  <si>
    <t>402-0956723-6697165</t>
  </si>
  <si>
    <t>JALGAON</t>
  </si>
  <si>
    <t>407-2639542-6889968</t>
  </si>
  <si>
    <t>402-6131568-3380322</t>
  </si>
  <si>
    <t>403-9016673-9827555</t>
  </si>
  <si>
    <t>404-1836798-6185924</t>
  </si>
  <si>
    <t>402-7524905-0542717</t>
  </si>
  <si>
    <t>406-9286469-4134723</t>
  </si>
  <si>
    <t>408-7219926-5273156</t>
  </si>
  <si>
    <t>BALOD</t>
  </si>
  <si>
    <t>403-2238260-9672360</t>
  </si>
  <si>
    <t>ROHTAK</t>
  </si>
  <si>
    <t>406-1911253-4499555</t>
  </si>
  <si>
    <t>Prakasam district</t>
  </si>
  <si>
    <t>28/01/2023</t>
  </si>
  <si>
    <t>402-0283731-8418710</t>
  </si>
  <si>
    <t>Unnao</t>
  </si>
  <si>
    <t>403-1083066-2706706</t>
  </si>
  <si>
    <t>406-3426223-6633104</t>
  </si>
  <si>
    <t>402-2681300-4823508</t>
  </si>
  <si>
    <t>171-2512812-1195546</t>
  </si>
  <si>
    <t>Salem</t>
  </si>
  <si>
    <t>405-9963581-0341922</t>
  </si>
  <si>
    <t>408-4451650-2957127</t>
  </si>
  <si>
    <t>RATIA</t>
  </si>
  <si>
    <t>404-0044377-0306770</t>
  </si>
  <si>
    <t>407-6971367-4513965</t>
  </si>
  <si>
    <t>402-1591522-4427565</t>
  </si>
  <si>
    <t>403-7830405-1284324</t>
  </si>
  <si>
    <t>Dombivli</t>
  </si>
  <si>
    <t>408-0762892-7647506</t>
  </si>
  <si>
    <t>407-6165380-2042737</t>
  </si>
  <si>
    <t>404-8705842-6441124</t>
  </si>
  <si>
    <t>PURNIA</t>
  </si>
  <si>
    <t>403-8576822-3633951</t>
  </si>
  <si>
    <t>404-0552835-2433932</t>
  </si>
  <si>
    <t>402-3517968-6965164</t>
  </si>
  <si>
    <t>407-5765120-7559506</t>
  </si>
  <si>
    <t>Carmona</t>
  </si>
  <si>
    <t>171-0300749-6750733</t>
  </si>
  <si>
    <t>406-4799124-1315545</t>
  </si>
  <si>
    <t>Samba</t>
  </si>
  <si>
    <t>405-9087882-4122746</t>
  </si>
  <si>
    <t>406-0576059-6973128</t>
  </si>
  <si>
    <t>Akividu</t>
  </si>
  <si>
    <t>407-1504910-3303540</t>
  </si>
  <si>
    <t>Secunderabd</t>
  </si>
  <si>
    <t>29/01/2023</t>
  </si>
  <si>
    <t>408-4978758-3594731</t>
  </si>
  <si>
    <t>SANCHORE</t>
  </si>
  <si>
    <t>171-3287820-5677160</t>
  </si>
  <si>
    <t>405-1618719-8423521</t>
  </si>
  <si>
    <t>406-3188315-0792319</t>
  </si>
  <si>
    <t>ONGOLE</t>
  </si>
  <si>
    <t>402-0995725-9529126</t>
  </si>
  <si>
    <t>408-9528799-8296361</t>
  </si>
  <si>
    <t>firozpur</t>
  </si>
  <si>
    <t>406-3231185-3467536</t>
  </si>
  <si>
    <t>BISAULI</t>
  </si>
  <si>
    <t>406-2992593-0138705</t>
  </si>
  <si>
    <t>Ongole</t>
  </si>
  <si>
    <t>171-2043297-8613939</t>
  </si>
  <si>
    <t>402-5071252-2701929</t>
  </si>
  <si>
    <t>171-7523724-4843521</t>
  </si>
  <si>
    <t>408-8662197-1793921</t>
  </si>
  <si>
    <t>171-4709689-2313907</t>
  </si>
  <si>
    <t>SANGLI MIRAJ KUPWAD</t>
  </si>
  <si>
    <t>407-8292542-9813922</t>
  </si>
  <si>
    <t>405-1699844-9262759</t>
  </si>
  <si>
    <t>406-0348119-3917903</t>
  </si>
  <si>
    <t>PATIALA</t>
  </si>
  <si>
    <t>405-1916774-9238753</t>
  </si>
  <si>
    <t>GUDALUR THE NILGIRIS DISTRICT</t>
  </si>
  <si>
    <t>402-4395000-9702729</t>
  </si>
  <si>
    <t>ANANTAPUR</t>
  </si>
  <si>
    <t>403-8236037-4977940</t>
  </si>
  <si>
    <t>407-4448660-1168355</t>
  </si>
  <si>
    <t>171-1715886-0616351</t>
  </si>
  <si>
    <t>406-4583135-0891542</t>
  </si>
  <si>
    <t>402-8587829-2089928</t>
  </si>
  <si>
    <t>402-7303761-0703539</t>
  </si>
  <si>
    <t>405-3919437-4404315</t>
  </si>
  <si>
    <t>NALLAMPATTI</t>
  </si>
  <si>
    <t>404-6116963-9040327</t>
  </si>
  <si>
    <t>munnar</t>
  </si>
  <si>
    <t>405-7334879-3201964</t>
  </si>
  <si>
    <t>407-2121170-1001930</t>
  </si>
  <si>
    <t>Amnour</t>
  </si>
  <si>
    <t>407-3328602-2167569</t>
  </si>
  <si>
    <t>407-3645856-7937119</t>
  </si>
  <si>
    <t>406-2656519-5421909</t>
  </si>
  <si>
    <t>402-2326889-8603563</t>
  </si>
  <si>
    <t>30/01/2023</t>
  </si>
  <si>
    <t>408-1921380-6464359</t>
  </si>
  <si>
    <t>402-4172695-9523507</t>
  </si>
  <si>
    <t>TIRTHAHALLI</t>
  </si>
  <si>
    <t>404-4986597-3121124</t>
  </si>
  <si>
    <t>404-2322695-5675502</t>
  </si>
  <si>
    <t>407-1015320-3205957</t>
  </si>
  <si>
    <t>1805-BLACK-10</t>
  </si>
  <si>
    <t>BAGALKOT</t>
  </si>
  <si>
    <t>404-0398480-7501964</t>
  </si>
  <si>
    <t>402-8849805-8732333</t>
  </si>
  <si>
    <t>408-3291315-6599527</t>
  </si>
  <si>
    <t>171-3776567-0101159</t>
  </si>
  <si>
    <t>403-0026281-4197951</t>
  </si>
  <si>
    <t>404-4604404-6729916</t>
  </si>
  <si>
    <t>402-5045605-4590717</t>
  </si>
  <si>
    <t>408-7086486-1365960</t>
  </si>
  <si>
    <t>CHANGANACHERRY</t>
  </si>
  <si>
    <t>408-9584888-7635550</t>
  </si>
  <si>
    <t>408-2279426-8389110</t>
  </si>
  <si>
    <t>171-9567380-6984367</t>
  </si>
  <si>
    <t>4221_Black-07</t>
  </si>
  <si>
    <t>406-2365911-7479512</t>
  </si>
  <si>
    <t>171-6800841-9209932</t>
  </si>
  <si>
    <t>408-7721988-3955551</t>
  </si>
  <si>
    <t>408-7494743-2467528</t>
  </si>
  <si>
    <t>171-9742517-0925962</t>
  </si>
  <si>
    <t>403-3818436-3764329</t>
  </si>
  <si>
    <t>406-0514240-2825952</t>
  </si>
  <si>
    <t>MARGAO</t>
  </si>
  <si>
    <t>404-1221461-5433912</t>
  </si>
  <si>
    <t>Ghaziabad</t>
  </si>
  <si>
    <t>405-2579944-7175501</t>
  </si>
  <si>
    <t>403-5127746-6229105</t>
  </si>
  <si>
    <t>402-3918540-3260359</t>
  </si>
  <si>
    <t>404-8515849-0960319</t>
  </si>
  <si>
    <t>408-8190855-3009110</t>
  </si>
  <si>
    <t>SOUTH WEST DELHI</t>
  </si>
  <si>
    <t>171-3985221-9408351</t>
  </si>
  <si>
    <t>31/01/2023</t>
  </si>
  <si>
    <t>406-8625993-9464350</t>
  </si>
  <si>
    <t>408-2012200-1909943</t>
  </si>
  <si>
    <t>406-3790726-7642757</t>
  </si>
  <si>
    <t>404-6087879-3922701</t>
  </si>
  <si>
    <t>171-6475686-7989157</t>
  </si>
  <si>
    <t>171-9956253-1346700</t>
  </si>
  <si>
    <t>Balangir</t>
  </si>
  <si>
    <t>405-1061984-6335504</t>
  </si>
  <si>
    <t>171-2567303-1069157</t>
  </si>
  <si>
    <t>407-0612989-7917941</t>
  </si>
  <si>
    <t>LAKHIMPUR</t>
  </si>
  <si>
    <t>171-2050118-0136300</t>
  </si>
  <si>
    <t>407-9025054-7568366</t>
  </si>
  <si>
    <t>JEYPUR</t>
  </si>
  <si>
    <t>405-9532711-8359520</t>
  </si>
  <si>
    <t>KOTPUTLI</t>
  </si>
  <si>
    <t>404-0209909-0240376</t>
  </si>
  <si>
    <t>402-3577264-7378722</t>
  </si>
  <si>
    <t>403-4141792-9877952</t>
  </si>
  <si>
    <t>Parasia</t>
  </si>
  <si>
    <t>403-2839770-7523541</t>
  </si>
  <si>
    <t>Jogbani</t>
  </si>
  <si>
    <t>407-3753710-7470766</t>
  </si>
  <si>
    <t>TALEGAON</t>
  </si>
  <si>
    <t>402-9164369-1011541</t>
  </si>
  <si>
    <t>407-9497625-8930752</t>
  </si>
  <si>
    <t>UMBERGAON</t>
  </si>
  <si>
    <t>407-3725128-4977951</t>
  </si>
  <si>
    <t>ADALAJ   District Gandhinagar</t>
  </si>
  <si>
    <t>407-1660472-3982726</t>
  </si>
  <si>
    <t>Diva</t>
  </si>
  <si>
    <t>402-5973479-7392315</t>
  </si>
  <si>
    <t>GUDUR</t>
  </si>
  <si>
    <t>403-0918003-8541160</t>
  </si>
  <si>
    <t>Meerut</t>
  </si>
  <si>
    <t>403-4440650-7113155</t>
  </si>
  <si>
    <t>RAYA</t>
  </si>
  <si>
    <t>407-3955345-7264332</t>
  </si>
  <si>
    <t>408-3552352-7994764</t>
  </si>
  <si>
    <t>406-4930581-0651527</t>
  </si>
  <si>
    <t>406-5038459-3521967</t>
  </si>
  <si>
    <t>408-9750371-0878702</t>
  </si>
  <si>
    <t>Amravati</t>
  </si>
  <si>
    <t>01/02/2023</t>
  </si>
  <si>
    <t>171-8809865-0154715</t>
  </si>
  <si>
    <t>February</t>
  </si>
  <si>
    <t>408-9797846-1490751</t>
  </si>
  <si>
    <t>408-2553892-8091551</t>
  </si>
  <si>
    <t>406-1238515-3746746</t>
  </si>
  <si>
    <t>408-0085547-1175500</t>
  </si>
  <si>
    <t>404-7048067-3767513</t>
  </si>
  <si>
    <t>404-6348838-7322769</t>
  </si>
  <si>
    <t>NAIHATI</t>
  </si>
  <si>
    <t>403-5775831-8913116</t>
  </si>
  <si>
    <t>406-9915478-0459557</t>
  </si>
  <si>
    <t>404-2171680-8033113</t>
  </si>
  <si>
    <t>405-2607031-3721124</t>
  </si>
  <si>
    <t>Trivandrum</t>
  </si>
  <si>
    <t>406-1246605-2497102</t>
  </si>
  <si>
    <t>407-0032047-5547522</t>
  </si>
  <si>
    <t>402-6764741-3575509</t>
  </si>
  <si>
    <t>402-8904735-8441962</t>
  </si>
  <si>
    <t>VERNA</t>
  </si>
  <si>
    <t>404-9338647-7578767</t>
  </si>
  <si>
    <t>Bhatbhera</t>
  </si>
  <si>
    <t>171-7129377-6457936</t>
  </si>
  <si>
    <t>KOTHAGUDEM</t>
  </si>
  <si>
    <t>404-2946042-2340351</t>
  </si>
  <si>
    <t>404-4582478-7338757</t>
  </si>
  <si>
    <t>402-9877490-2601166</t>
  </si>
  <si>
    <t>SOHNA</t>
  </si>
  <si>
    <t>408-1503334-4038701</t>
  </si>
  <si>
    <t>171-2626366-5661127</t>
  </si>
  <si>
    <t>407-8765769-3959504</t>
  </si>
  <si>
    <t>MADUKKUR</t>
  </si>
  <si>
    <t>402-9880436-5330701</t>
  </si>
  <si>
    <t>02/02/2023</t>
  </si>
  <si>
    <t>403-7338472-5416365</t>
  </si>
  <si>
    <t>Cuttack</t>
  </si>
  <si>
    <t>171-1285463-4843549</t>
  </si>
  <si>
    <t>171-2803096-3088312</t>
  </si>
  <si>
    <t>406-8514495-5569111</t>
  </si>
  <si>
    <t>BIKANER</t>
  </si>
  <si>
    <t>407-2720137-1329109</t>
  </si>
  <si>
    <t>407-8625146-2109166</t>
  </si>
  <si>
    <t>404-9877614-1576316</t>
  </si>
  <si>
    <t>404-4723671-4325125</t>
  </si>
  <si>
    <t>Allagadda</t>
  </si>
  <si>
    <t>406-9410152-6045136</t>
  </si>
  <si>
    <t>03/02/2023</t>
  </si>
  <si>
    <t>405-6854383-7949942</t>
  </si>
  <si>
    <t>171-5650823-7457158</t>
  </si>
  <si>
    <t>403-0971858-8149123</t>
  </si>
  <si>
    <t>408-0333948-1425919</t>
  </si>
  <si>
    <t>404-9465660-4522722</t>
  </si>
  <si>
    <t>Kota</t>
  </si>
  <si>
    <t>406-2220273-5277161</t>
  </si>
  <si>
    <t>404-7421096-5976348</t>
  </si>
  <si>
    <t>OEL DHAKWA</t>
  </si>
  <si>
    <t>404-1736712-1511503</t>
  </si>
  <si>
    <t>408-0430218-2920352</t>
  </si>
  <si>
    <t>405-9533188-0871551</t>
  </si>
  <si>
    <t>171-5473023-5971538</t>
  </si>
  <si>
    <t>405-1379786-4354766</t>
  </si>
  <si>
    <t>407-1477512-3907554</t>
  </si>
  <si>
    <t>KIRUMAMPAKKAM</t>
  </si>
  <si>
    <t>402-3170234-1213902</t>
  </si>
  <si>
    <t>4222_Brown-12</t>
  </si>
  <si>
    <t>405-3546012-9368305</t>
  </si>
  <si>
    <t>KORBA</t>
  </si>
  <si>
    <t>407-2273551-5158709</t>
  </si>
  <si>
    <t>404-5071815-0216328</t>
  </si>
  <si>
    <t>402-1027097-4945137</t>
  </si>
  <si>
    <t>407-9138013-4069969</t>
  </si>
  <si>
    <t>171-5576024-6037110</t>
  </si>
  <si>
    <t>404-1891824-6533915</t>
  </si>
  <si>
    <t>MOTIHARI</t>
  </si>
  <si>
    <t>404-4168978-0842749</t>
  </si>
  <si>
    <t>REASI</t>
  </si>
  <si>
    <t>403-2540108-9268366</t>
  </si>
  <si>
    <t>402-5916182-4633128</t>
  </si>
  <si>
    <t>402-1163525-0670731</t>
  </si>
  <si>
    <t>Anand</t>
  </si>
  <si>
    <t>407-6894076-0655504</t>
  </si>
  <si>
    <t>karumathampatty</t>
  </si>
  <si>
    <t>171-9471110-1565920</t>
  </si>
  <si>
    <t>BHALWAL</t>
  </si>
  <si>
    <t>408-7323729-9901942</t>
  </si>
  <si>
    <t>405-6882771-9853150</t>
  </si>
  <si>
    <t>SANAND</t>
  </si>
  <si>
    <t>408-5558099-9471527</t>
  </si>
  <si>
    <t>405-5581627-8384335</t>
  </si>
  <si>
    <t>04/02/2023</t>
  </si>
  <si>
    <t>403-4333416-2434738</t>
  </si>
  <si>
    <t>402-3885625-6175502</t>
  </si>
  <si>
    <t>403-5848610-8901112</t>
  </si>
  <si>
    <t>GANGAIKONDAN TIRUNELVELI DISTRICT</t>
  </si>
  <si>
    <t>402-2330392-1784306</t>
  </si>
  <si>
    <t>408-1527338-1886763</t>
  </si>
  <si>
    <t>408-2574398-0153143</t>
  </si>
  <si>
    <t>171-2659718-7578743</t>
  </si>
  <si>
    <t>406-0203327-1679553</t>
  </si>
  <si>
    <t>JAGTIAL</t>
  </si>
  <si>
    <t>406-7186877-6118700</t>
  </si>
  <si>
    <t>408-6750902-1570756</t>
  </si>
  <si>
    <t>CHAKAN</t>
  </si>
  <si>
    <t>405-3651471-0388346</t>
  </si>
  <si>
    <t>404-2899301-0201168</t>
  </si>
  <si>
    <t>301_Brown-08</t>
  </si>
  <si>
    <t>402-3747087-0465903</t>
  </si>
  <si>
    <t>405-2937125-8103538</t>
  </si>
  <si>
    <t>404-0291692-1208322</t>
  </si>
  <si>
    <t>BIKRAMGANJ</t>
  </si>
  <si>
    <t>408-6027370-9533960</t>
  </si>
  <si>
    <t>403-3789766-0743523</t>
  </si>
  <si>
    <t>Edappaly  kochi</t>
  </si>
  <si>
    <t>405-6262449-0665929</t>
  </si>
  <si>
    <t>406-2274030-9973107</t>
  </si>
  <si>
    <t>403-4409211-2811521</t>
  </si>
  <si>
    <t>407-8464838-1839519</t>
  </si>
  <si>
    <t>PALIA KALAN</t>
  </si>
  <si>
    <t>408-0574618-8188334</t>
  </si>
  <si>
    <t>06/02/2023</t>
  </si>
  <si>
    <t>407-7344193-8085165</t>
  </si>
  <si>
    <t>05/02/2023</t>
  </si>
  <si>
    <t>406-1790722-7027534</t>
  </si>
  <si>
    <t>406-6717569-1690706</t>
  </si>
  <si>
    <t>408-6468232-2112321</t>
  </si>
  <si>
    <t>Ballia</t>
  </si>
  <si>
    <t>403-9860611-9190765</t>
  </si>
  <si>
    <t>Chas</t>
  </si>
  <si>
    <t>408-9631111-7997169</t>
  </si>
  <si>
    <t>KANCHEEPURAM</t>
  </si>
  <si>
    <t>405-0909651-1757960</t>
  </si>
  <si>
    <t>406-8718925-3085139</t>
  </si>
  <si>
    <t>AMBUR</t>
  </si>
  <si>
    <t>404-7049006-2631564</t>
  </si>
  <si>
    <t>406-6118156-3093913</t>
  </si>
  <si>
    <t>403-4550252-8533129</t>
  </si>
  <si>
    <t>407-7405896-9039526</t>
  </si>
  <si>
    <t>DELLHI</t>
  </si>
  <si>
    <t>408-1228858-6253933</t>
  </si>
  <si>
    <t>SHIVAMOGGA</t>
  </si>
  <si>
    <t>403-9332839-6513968</t>
  </si>
  <si>
    <t>403-2257184-9317907</t>
  </si>
  <si>
    <t>402-1237737-7259507</t>
  </si>
  <si>
    <t>403-9274569-3183526</t>
  </si>
  <si>
    <t>405-1729719-7841100</t>
  </si>
  <si>
    <t>405-6360462-1121929</t>
  </si>
  <si>
    <t>ALWAR</t>
  </si>
  <si>
    <t>404-6393455-0858731</t>
  </si>
  <si>
    <t>405-9194692-2542739</t>
  </si>
  <si>
    <t>Medinipur</t>
  </si>
  <si>
    <t>402-6323233-8148326</t>
  </si>
  <si>
    <t>KHERI</t>
  </si>
  <si>
    <t>402-6508959-9827529</t>
  </si>
  <si>
    <t>171-6875566-1243514</t>
  </si>
  <si>
    <t>404-9143520-3048318</t>
  </si>
  <si>
    <t>403-0519961-4483538</t>
  </si>
  <si>
    <t>KALAVAI</t>
  </si>
  <si>
    <t>402-5335893-8437117</t>
  </si>
  <si>
    <t>171-0071621-1212318</t>
  </si>
  <si>
    <t>171-8619159-9923534</t>
  </si>
  <si>
    <t>402-9298652-7789129</t>
  </si>
  <si>
    <t>404-0536591-4825905</t>
  </si>
  <si>
    <t>PHAGWARA</t>
  </si>
  <si>
    <t>403-1348411-6817157</t>
  </si>
  <si>
    <t>SRIVILLIPUTHUR</t>
  </si>
  <si>
    <t>07/02/2023</t>
  </si>
  <si>
    <t>403-9407135-6365126</t>
  </si>
  <si>
    <t>SIPCOT INDUSTRIAL PARK SRIPRUMBUDUR</t>
  </si>
  <si>
    <t>402-4360266-8841104</t>
  </si>
  <si>
    <t>TARAKESWAR</t>
  </si>
  <si>
    <t>408-4129622-1285164</t>
  </si>
  <si>
    <t>407-2931854-5557117</t>
  </si>
  <si>
    <t>406-3092750-9453908</t>
  </si>
  <si>
    <t>402-3582184-6166711</t>
  </si>
  <si>
    <t>405-0683255-4627502</t>
  </si>
  <si>
    <t>402-1849519-1238720</t>
  </si>
  <si>
    <t>403-9533999-8375550</t>
  </si>
  <si>
    <t>402-2048689-5313937</t>
  </si>
  <si>
    <t>402-1493536-0950759</t>
  </si>
  <si>
    <t>404-7761380-4040329</t>
  </si>
  <si>
    <t>408-6611999-9529904</t>
  </si>
  <si>
    <t>403-8220269-8842717</t>
  </si>
  <si>
    <t>406-3147437-5524366</t>
  </si>
  <si>
    <t>RAMAN MANDI</t>
  </si>
  <si>
    <t>407-1219055-6944321</t>
  </si>
  <si>
    <t>NJARACKAL</t>
  </si>
  <si>
    <t>407-0626016-7164313</t>
  </si>
  <si>
    <t>403-3060147-6977144</t>
  </si>
  <si>
    <t>405-4192772-1280326</t>
  </si>
  <si>
    <t>408-5956772-1983569</t>
  </si>
  <si>
    <t>171-5501159-0594764</t>
  </si>
  <si>
    <t>405-3749624-9057933</t>
  </si>
  <si>
    <t>405-7311390-3146748</t>
  </si>
  <si>
    <t>KATTAPPANA</t>
  </si>
  <si>
    <t>405-6597070-2448327</t>
  </si>
  <si>
    <t>404-5489969-6517116</t>
  </si>
  <si>
    <t>405-8956116-2860300</t>
  </si>
  <si>
    <t>VADA</t>
  </si>
  <si>
    <t>403-4523983-7992356</t>
  </si>
  <si>
    <t>408-0938310-9213911</t>
  </si>
  <si>
    <t>406-3433412-6040338</t>
  </si>
  <si>
    <t>403-6295867-4994750</t>
  </si>
  <si>
    <t>171-7250390-5832342</t>
  </si>
  <si>
    <t>Adilabad</t>
  </si>
  <si>
    <t>405-9540499-9179519</t>
  </si>
  <si>
    <t>VEPPATHUR</t>
  </si>
  <si>
    <t>403-8372710-0300359</t>
  </si>
  <si>
    <t>KHANDAPADA</t>
  </si>
  <si>
    <t>171-7238670-2974725</t>
  </si>
  <si>
    <t>8501_Black-06</t>
  </si>
  <si>
    <t>BADAMI</t>
  </si>
  <si>
    <t>08/02/2023</t>
  </si>
  <si>
    <t>408-4591842-7125164</t>
  </si>
  <si>
    <t>406-6619715-4937909</t>
  </si>
  <si>
    <t>402-8793650-4615515</t>
  </si>
  <si>
    <t>408-0977613-3884355</t>
  </si>
  <si>
    <t>403-6822509-0641901</t>
  </si>
  <si>
    <t>JSW STEEL PLANT TOWNSHIP</t>
  </si>
  <si>
    <t>406-2464598-4033945</t>
  </si>
  <si>
    <t>403-9597255-0841114</t>
  </si>
  <si>
    <t>407-5384667-4896304</t>
  </si>
  <si>
    <t>Jattari</t>
  </si>
  <si>
    <t>403-5340899-1919537</t>
  </si>
  <si>
    <t>402-2682592-6513153</t>
  </si>
  <si>
    <t>BAGH</t>
  </si>
  <si>
    <t>403-9757464-9542750</t>
  </si>
  <si>
    <t>SHRIVARDHAN</t>
  </si>
  <si>
    <t>406-8233198-7345115</t>
  </si>
  <si>
    <t>407-0585045-3373948</t>
  </si>
  <si>
    <t>403-9607181-8084302</t>
  </si>
  <si>
    <t>408-0182461-0020333</t>
  </si>
  <si>
    <t>RAIGARH</t>
  </si>
  <si>
    <t>407-2410431-9413955</t>
  </si>
  <si>
    <t>404-4384375-4759522</t>
  </si>
  <si>
    <t>407-5604312-5254715</t>
  </si>
  <si>
    <t>408-2619179-5192310</t>
  </si>
  <si>
    <t>402-1757698-5757923</t>
  </si>
  <si>
    <t>402-7690433-8697955</t>
  </si>
  <si>
    <t>405-5783619-8893147</t>
  </si>
  <si>
    <t>Mohali</t>
  </si>
  <si>
    <t>403-0109773-9355508</t>
  </si>
  <si>
    <t>405-4826163-6113154</t>
  </si>
  <si>
    <t>GOLA GOKARANNATH</t>
  </si>
  <si>
    <t>407-4972176-6446732</t>
  </si>
  <si>
    <t>405-0823533-1370754</t>
  </si>
  <si>
    <t>Haroa</t>
  </si>
  <si>
    <t>403-0078345-2337119</t>
  </si>
  <si>
    <t>KODAIKANAL</t>
  </si>
  <si>
    <t>405-2881671-9635518</t>
  </si>
  <si>
    <t>BIKAPUR</t>
  </si>
  <si>
    <t>408-5307692-9665141</t>
  </si>
  <si>
    <t>ETTAYAPURAM</t>
  </si>
  <si>
    <t>405-9928926-8992369</t>
  </si>
  <si>
    <t>408-9768204-0945131</t>
  </si>
  <si>
    <t>405-5449661-5474722</t>
  </si>
  <si>
    <t>403-3084747-7129144</t>
  </si>
  <si>
    <t>406-9714365-2639511</t>
  </si>
  <si>
    <t>501_BROWN_12</t>
  </si>
  <si>
    <t>403-4955277-0886757</t>
  </si>
  <si>
    <t>Pollachi</t>
  </si>
  <si>
    <t>406-3484152-0899560</t>
  </si>
  <si>
    <t>408-3149486-6386705</t>
  </si>
  <si>
    <t>407-0801621-9543566</t>
  </si>
  <si>
    <t>408-5448906-0865930</t>
  </si>
  <si>
    <t>MAGAM</t>
  </si>
  <si>
    <t>406-7728015-8691548</t>
  </si>
  <si>
    <t>407-9584482-9222704</t>
  </si>
  <si>
    <t>171-2855715-0277136</t>
  </si>
  <si>
    <t>406-3630924-3380337</t>
  </si>
  <si>
    <t>403-4091022-8768336</t>
  </si>
  <si>
    <t>408-9855849-5706755</t>
  </si>
  <si>
    <t>402-4811416-2240314</t>
  </si>
  <si>
    <t>09/02/2023</t>
  </si>
  <si>
    <t>404-2129138-4420304</t>
  </si>
  <si>
    <t>ASIKA</t>
  </si>
  <si>
    <t>402-8980119-1566759</t>
  </si>
  <si>
    <t>405-1398556-4632329</t>
  </si>
  <si>
    <t>406-8301289-3333949</t>
  </si>
  <si>
    <t>404-8703892-6642764</t>
  </si>
  <si>
    <t>4221_Black-08</t>
  </si>
  <si>
    <t>Chengannur</t>
  </si>
  <si>
    <t>402-7042973-3264305</t>
  </si>
  <si>
    <t>408-3959131-8877100</t>
  </si>
  <si>
    <t>SUPAUL</t>
  </si>
  <si>
    <t>405-7032435-0513157</t>
  </si>
  <si>
    <t>408-3042886-5196364</t>
  </si>
  <si>
    <t>MANGAN</t>
  </si>
  <si>
    <t>SIKKIM</t>
  </si>
  <si>
    <t>404-7838361-1693965</t>
  </si>
  <si>
    <t>SIHOR</t>
  </si>
  <si>
    <t>405-5692795-7621930</t>
  </si>
  <si>
    <t>403-1662593-6628364</t>
  </si>
  <si>
    <t>406-0786961-4515548</t>
  </si>
  <si>
    <t>402-1903663-5188311</t>
  </si>
  <si>
    <t>404-0214966-6768344</t>
  </si>
  <si>
    <t>VEERULLAPADU</t>
  </si>
  <si>
    <t>403-1369180-8284300</t>
  </si>
  <si>
    <t>404-5788454-1565924</t>
  </si>
  <si>
    <t>10/02/2023</t>
  </si>
  <si>
    <t>171-5106065-8069125</t>
  </si>
  <si>
    <t>MYSORE</t>
  </si>
  <si>
    <t>404-2119346-8034755</t>
  </si>
  <si>
    <t>408-1089974-5785962</t>
  </si>
  <si>
    <t>408-4897906-3222745</t>
  </si>
  <si>
    <t>407-7630148-8950716</t>
  </si>
  <si>
    <t>RATNAGIRI</t>
  </si>
  <si>
    <t>408-1649640-7713925</t>
  </si>
  <si>
    <t>8501_Brown-06</t>
  </si>
  <si>
    <t>DEORIA</t>
  </si>
  <si>
    <t>171-3207201-9477954</t>
  </si>
  <si>
    <t>MOLAKALMURU</t>
  </si>
  <si>
    <t>405-6848194-6625152</t>
  </si>
  <si>
    <t>LONAVALA</t>
  </si>
  <si>
    <t>406-1689082-7489945</t>
  </si>
  <si>
    <t>406-5272383-8833120</t>
  </si>
  <si>
    <t>171-6498849-2511530</t>
  </si>
  <si>
    <t>404-4181946-1608321</t>
  </si>
  <si>
    <t>MORJIM</t>
  </si>
  <si>
    <t>404-4001380-7297113</t>
  </si>
  <si>
    <t>CHEKKIAD</t>
  </si>
  <si>
    <t>171-8316284-6627525</t>
  </si>
  <si>
    <t>BASTI</t>
  </si>
  <si>
    <t>408-4503120-1521950</t>
  </si>
  <si>
    <t>KATIHAR</t>
  </si>
  <si>
    <t>408-7128925-2069908</t>
  </si>
  <si>
    <t>ANKLESHWAR</t>
  </si>
  <si>
    <t>171-0409853-6918753</t>
  </si>
  <si>
    <t>404-9462377-3573943</t>
  </si>
  <si>
    <t>403-6904214-0643533</t>
  </si>
  <si>
    <t>403-0206910-5229977</t>
  </si>
  <si>
    <t>405-8803228-8550747</t>
  </si>
  <si>
    <t>407-5232864-6078733</t>
  </si>
  <si>
    <t>11/02/2023</t>
  </si>
  <si>
    <t>403-8058699-8050719</t>
  </si>
  <si>
    <t>402-6297223-3627546</t>
  </si>
  <si>
    <t>171-1459446-2440309</t>
  </si>
  <si>
    <t>171-4032999-0489941</t>
  </si>
  <si>
    <t>12/02/2023</t>
  </si>
  <si>
    <t>406-1545934-1215543</t>
  </si>
  <si>
    <t>407-0063930-2985148</t>
  </si>
  <si>
    <t>407-5626018-1385119</t>
  </si>
  <si>
    <t>407-5609922-1005155</t>
  </si>
  <si>
    <t>403-5235254-4165964</t>
  </si>
  <si>
    <t>13/02/2023</t>
  </si>
  <si>
    <t>402-8551329-1604313</t>
  </si>
  <si>
    <t>BORSAD</t>
  </si>
  <si>
    <t>407-1955090-8365156</t>
  </si>
  <si>
    <t>171-1605323-8361168</t>
  </si>
  <si>
    <t>402-1887878-8724336</t>
  </si>
  <si>
    <t>402-2692038-2145117</t>
  </si>
  <si>
    <t>407-1871026-7476327</t>
  </si>
  <si>
    <t>403-4578385-1300356</t>
  </si>
  <si>
    <t>405-8577002-1841130</t>
  </si>
  <si>
    <t>JANGAREDDIGUDEM</t>
  </si>
  <si>
    <t>408-5516326-9386734</t>
  </si>
  <si>
    <t>171-5454482-0914702</t>
  </si>
  <si>
    <t>406-0059325-4781973</t>
  </si>
  <si>
    <t>KHANNA</t>
  </si>
  <si>
    <t>407-7171186-1829152</t>
  </si>
  <si>
    <t>407-4523993-5528341</t>
  </si>
  <si>
    <t>402-9938414-2661161</t>
  </si>
  <si>
    <t>405-2168743-4221958</t>
  </si>
  <si>
    <t>171-1163886-1997955</t>
  </si>
  <si>
    <t>405-0132647-0607513</t>
  </si>
  <si>
    <t>KESABPUR</t>
  </si>
  <si>
    <t>171-4110578-3275524</t>
  </si>
  <si>
    <t>403-6483135-3399528</t>
  </si>
  <si>
    <t>404-5414382-1602716</t>
  </si>
  <si>
    <t>407-7430343-2112335</t>
  </si>
  <si>
    <t>406-0528537-7899529</t>
  </si>
  <si>
    <t>GUWAHATI 781029</t>
  </si>
  <si>
    <t>402-0333482-8525134</t>
  </si>
  <si>
    <t>ponda</t>
  </si>
  <si>
    <t>408-0736709-6920324</t>
  </si>
  <si>
    <t>AMTALA   DIST  SOUTH 24 PARGANAS</t>
  </si>
  <si>
    <t>407-8730782-4181153</t>
  </si>
  <si>
    <t>perinthalmanna  Malappuram</t>
  </si>
  <si>
    <t>408-8116039-7434713</t>
  </si>
  <si>
    <t>404-8479996-1037915</t>
  </si>
  <si>
    <t>403-0462542-6929159</t>
  </si>
  <si>
    <t>406-9870321-4591548</t>
  </si>
  <si>
    <t>IGATPURI</t>
  </si>
  <si>
    <t>403-6924714-7003559</t>
  </si>
  <si>
    <t>404-8340366-6505930</t>
  </si>
  <si>
    <t>405-9274559-3266712</t>
  </si>
  <si>
    <t>RANAGHAT</t>
  </si>
  <si>
    <t>403-1774957-7206726</t>
  </si>
  <si>
    <t>407-4986350-6644317</t>
  </si>
  <si>
    <t>408-9665745-2343544</t>
  </si>
  <si>
    <t>407-5849913-5353140</t>
  </si>
  <si>
    <t>408-9524658-0170733</t>
  </si>
  <si>
    <t>Kaviyoor Thiruvalla</t>
  </si>
  <si>
    <t>402-7815654-8024341</t>
  </si>
  <si>
    <t>403-3319891-4597926</t>
  </si>
  <si>
    <t>407-1958299-4974734</t>
  </si>
  <si>
    <t>408-6748130-1139548</t>
  </si>
  <si>
    <t>402-5236720-4487517</t>
  </si>
  <si>
    <t>408-8967053-5578731</t>
  </si>
  <si>
    <t>405-7798551-0513103</t>
  </si>
  <si>
    <t>171-3773891-4323546</t>
  </si>
  <si>
    <t>404-1548518-4921126</t>
  </si>
  <si>
    <t>404-9359807-9064359</t>
  </si>
  <si>
    <t>403-6319619-8724304</t>
  </si>
  <si>
    <t>305_Brown-06</t>
  </si>
  <si>
    <t>406-5420987-4442704</t>
  </si>
  <si>
    <t>Chadoora</t>
  </si>
  <si>
    <t>407-7646355-6773916</t>
  </si>
  <si>
    <t>403-0679750-3644309</t>
  </si>
  <si>
    <t>14/02/2023</t>
  </si>
  <si>
    <t>406-2784033-0605901</t>
  </si>
  <si>
    <t>405-5552864-0674720</t>
  </si>
  <si>
    <t>Nallasopara East</t>
  </si>
  <si>
    <t>408-4945548-9235564</t>
  </si>
  <si>
    <t>171-0204373-4321937</t>
  </si>
  <si>
    <t>406-9859866-3326750</t>
  </si>
  <si>
    <t>403-6672899-1438746</t>
  </si>
  <si>
    <t>406-0306441-6370768</t>
  </si>
  <si>
    <t>405-1401739-9173930</t>
  </si>
  <si>
    <t>404-0820495-5128342</t>
  </si>
  <si>
    <t>171-7411154-0977947</t>
  </si>
  <si>
    <t>Narnaul</t>
  </si>
  <si>
    <t>171-5816205-9875512</t>
  </si>
  <si>
    <t>407-5525043-3677923</t>
  </si>
  <si>
    <t>408-0149863-1820377</t>
  </si>
  <si>
    <t>CUTTACK</t>
  </si>
  <si>
    <t>408-8347646-1072327</t>
  </si>
  <si>
    <t>8505_Brown-10</t>
  </si>
  <si>
    <t>405-8103289-7213944</t>
  </si>
  <si>
    <t>406-4062155-1987519</t>
  </si>
  <si>
    <t>OACHIRA</t>
  </si>
  <si>
    <t>171-8896464-1750767</t>
  </si>
  <si>
    <t>MECHERI</t>
  </si>
  <si>
    <t>405-2260236-6253922</t>
  </si>
  <si>
    <t>406-3609797-6102751</t>
  </si>
  <si>
    <t>Amb</t>
  </si>
  <si>
    <t>407-0027205-3819547</t>
  </si>
  <si>
    <t>406-4317826-0121954</t>
  </si>
  <si>
    <t>405-1805443-9921103</t>
  </si>
  <si>
    <t>405-3309351-3985927</t>
  </si>
  <si>
    <t>NONGPOH</t>
  </si>
  <si>
    <t>16/02/2023</t>
  </si>
  <si>
    <t>405-0105316-6917134</t>
  </si>
  <si>
    <t>DHARMAVARAM</t>
  </si>
  <si>
    <t>15/02/2023</t>
  </si>
  <si>
    <t>407-7499633-4326762</t>
  </si>
  <si>
    <t>405-4541254-6753133</t>
  </si>
  <si>
    <t>407-4083290-8513925</t>
  </si>
  <si>
    <t>404-8274318-3713943</t>
  </si>
  <si>
    <t>171-4539049-3103557</t>
  </si>
  <si>
    <t>402-1705208-5353139</t>
  </si>
  <si>
    <t>408-7255371-3584359</t>
  </si>
  <si>
    <t>408-1451892-5860369</t>
  </si>
  <si>
    <t>405-6396231-3853138</t>
  </si>
  <si>
    <t>403-6233322-7467563</t>
  </si>
  <si>
    <t>171-8718666-2377952</t>
  </si>
  <si>
    <t>Dombivali</t>
  </si>
  <si>
    <t>406-5339600-1235538</t>
  </si>
  <si>
    <t>406-0269125-7481977</t>
  </si>
  <si>
    <t>407-8726521-7993964</t>
  </si>
  <si>
    <t>408-3707128-2544320</t>
  </si>
  <si>
    <t>17/02/2023</t>
  </si>
  <si>
    <t>171-7197795-5209937</t>
  </si>
  <si>
    <t>pathanamthitta</t>
  </si>
  <si>
    <t>405-6767647-1562742</t>
  </si>
  <si>
    <t>407-6521154-9277909</t>
  </si>
  <si>
    <t>Guwahati</t>
  </si>
  <si>
    <t>407-2772458-3861914</t>
  </si>
  <si>
    <t>406-5052571-7642707</t>
  </si>
  <si>
    <t>Makrana</t>
  </si>
  <si>
    <t>406-2616399-3462747</t>
  </si>
  <si>
    <t>SIWAN</t>
  </si>
  <si>
    <t>405-8902457-9821169</t>
  </si>
  <si>
    <t>404-6813852-4601939</t>
  </si>
  <si>
    <t>406-5177223-1837967</t>
  </si>
  <si>
    <t>403-4825225-2041924</t>
  </si>
  <si>
    <t>403-8400705-7096316</t>
  </si>
  <si>
    <t>402-4215085-5878740</t>
  </si>
  <si>
    <t>406-1859346-2333129</t>
  </si>
  <si>
    <t>407-1283649-8236309</t>
  </si>
  <si>
    <t>171-8284684-7364336</t>
  </si>
  <si>
    <t>408-1202969-8983543</t>
  </si>
  <si>
    <t>8505_Black-10</t>
  </si>
  <si>
    <t>407-1605719-1113949</t>
  </si>
  <si>
    <t>404-7836511-5270757</t>
  </si>
  <si>
    <t>408-6878215-4756347</t>
  </si>
  <si>
    <t>402-6022257-4895507</t>
  </si>
  <si>
    <t>171-6320160-5449917</t>
  </si>
  <si>
    <t>MAHUVA</t>
  </si>
  <si>
    <t>402-7730035-4089929</t>
  </si>
  <si>
    <t>URAN</t>
  </si>
  <si>
    <t>407-6227906-5203504</t>
  </si>
  <si>
    <t>405-9978421-7049934</t>
  </si>
  <si>
    <t>403-1984501-4057969</t>
  </si>
  <si>
    <t>MALLASAMUDRAM</t>
  </si>
  <si>
    <t>402-4556354-0209926</t>
  </si>
  <si>
    <t>8501_Brown-10</t>
  </si>
  <si>
    <t>MANDSAUR</t>
  </si>
  <si>
    <t>403-1275745-6283502</t>
  </si>
  <si>
    <t>407-6091850-2821150</t>
  </si>
  <si>
    <t>VADAKKUMMURI</t>
  </si>
  <si>
    <t>171-2554257-5100303</t>
  </si>
  <si>
    <t>402-0801641-5901153</t>
  </si>
  <si>
    <t>SAMBHAL</t>
  </si>
  <si>
    <t>18/02/2023</t>
  </si>
  <si>
    <t>407-2501637-4635513</t>
  </si>
  <si>
    <t>19/02/2023</t>
  </si>
  <si>
    <t>405-2454585-2378757</t>
  </si>
  <si>
    <t>CONTAI</t>
  </si>
  <si>
    <t>405-2559812-9469105</t>
  </si>
  <si>
    <t>402-1193221-0714745</t>
  </si>
  <si>
    <t>8205_Tan_7</t>
  </si>
  <si>
    <t>BUXAR</t>
  </si>
  <si>
    <t>171-4981210-0531554</t>
  </si>
  <si>
    <t>405-3698660-2209106</t>
  </si>
  <si>
    <t>171-0494305-3139553</t>
  </si>
  <si>
    <t>408-0733706-3155526</t>
  </si>
  <si>
    <t>408-9795657-1553108</t>
  </si>
  <si>
    <t>405-9085476-7694718</t>
  </si>
  <si>
    <t>404-1272936-3904367</t>
  </si>
  <si>
    <t>408-0347597-0701935</t>
  </si>
  <si>
    <t>407-1559568-4802769</t>
  </si>
  <si>
    <t>402-5302480-0317950</t>
  </si>
  <si>
    <t>408-6895183-4821117</t>
  </si>
  <si>
    <t>171-9133887-3895543</t>
  </si>
  <si>
    <t>Fatehgarh Sahib</t>
  </si>
  <si>
    <t>402-3504695-0066767</t>
  </si>
  <si>
    <t>L-5-BLACK_06</t>
  </si>
  <si>
    <t>20/02/2023</t>
  </si>
  <si>
    <t>405-3570775-4645918</t>
  </si>
  <si>
    <t>MUDKHED</t>
  </si>
  <si>
    <t>408-0100106-4314701</t>
  </si>
  <si>
    <t>402-4983218-9137120</t>
  </si>
  <si>
    <t>404-1253401-1196347</t>
  </si>
  <si>
    <t>JAGGAYYAPET</t>
  </si>
  <si>
    <t>406-5175430-7849144</t>
  </si>
  <si>
    <t>MANDVI</t>
  </si>
  <si>
    <t>406-1779996-4894737</t>
  </si>
  <si>
    <t>405-0548573-1436361</t>
  </si>
  <si>
    <t>PIPARIYA</t>
  </si>
  <si>
    <t>408-4626384-3565107</t>
  </si>
  <si>
    <t>408-2425254-5684359</t>
  </si>
  <si>
    <t>Thiruvallur</t>
  </si>
  <si>
    <t>21/02/2023</t>
  </si>
  <si>
    <t>407-3616512-5735555</t>
  </si>
  <si>
    <t>405-3592968-2131501</t>
  </si>
  <si>
    <t>ALONG</t>
  </si>
  <si>
    <t>404-2932090-1841144</t>
  </si>
  <si>
    <t>CHAKAPARA</t>
  </si>
  <si>
    <t>405-1840112-1089122</t>
  </si>
  <si>
    <t>402-7911184-5025910</t>
  </si>
  <si>
    <t>PALLICHAL</t>
  </si>
  <si>
    <t>404-4475923-2005922</t>
  </si>
  <si>
    <t>Chamarajanagar</t>
  </si>
  <si>
    <t>407-5017963-8437124</t>
  </si>
  <si>
    <t>406-7740063-0660339</t>
  </si>
  <si>
    <t>BHANDARA</t>
  </si>
  <si>
    <t>171-8734249-9724345</t>
  </si>
  <si>
    <t>404-0081588-3565960</t>
  </si>
  <si>
    <t>404-3663974-8765142</t>
  </si>
  <si>
    <t>406-6123751-8848318</t>
  </si>
  <si>
    <t>406-6100115-7052349</t>
  </si>
  <si>
    <t>402-9260213-9798768</t>
  </si>
  <si>
    <t>22/02/2023</t>
  </si>
  <si>
    <t>402-0103113-7049911</t>
  </si>
  <si>
    <t>Panaji</t>
  </si>
  <si>
    <t>406-6138338-2937942</t>
  </si>
  <si>
    <t>L-5-BROWN_08</t>
  </si>
  <si>
    <t>403-6429113-0811508</t>
  </si>
  <si>
    <t>171-8546286-0020333</t>
  </si>
  <si>
    <t>23/02/2023</t>
  </si>
  <si>
    <t>403-8347938-6817105</t>
  </si>
  <si>
    <t>408-7668476-2276306</t>
  </si>
  <si>
    <t>403-6855118-6344320</t>
  </si>
  <si>
    <t>404-2794919-2967507</t>
  </si>
  <si>
    <t>404-1928786-2932326</t>
  </si>
  <si>
    <t>404-5526056-9064320</t>
  </si>
  <si>
    <t>2001-Black-10</t>
  </si>
  <si>
    <t>MAPUSA</t>
  </si>
  <si>
    <t>402-6437454-7485144</t>
  </si>
  <si>
    <t>Bhayander East Thane</t>
  </si>
  <si>
    <t>407-7869363-5211510</t>
  </si>
  <si>
    <t>171-2769822-0232301</t>
  </si>
  <si>
    <t>2001-Black-12</t>
  </si>
  <si>
    <t>407-1405930-4892300</t>
  </si>
  <si>
    <t>407-9680917-4824333</t>
  </si>
  <si>
    <t>24/02/2023</t>
  </si>
  <si>
    <t>405-1752120-8307552</t>
  </si>
  <si>
    <t>408-0064294-0537955</t>
  </si>
  <si>
    <t>407-6224866-1533131</t>
  </si>
  <si>
    <t>402-1871137-1996331</t>
  </si>
  <si>
    <t>405-3909019-4172366</t>
  </si>
  <si>
    <t>SAUSAR</t>
  </si>
  <si>
    <t>406-7643340-4562714</t>
  </si>
  <si>
    <t>BANSWARA</t>
  </si>
  <si>
    <t>25/02/2023</t>
  </si>
  <si>
    <t>405-0988914-3413938</t>
  </si>
  <si>
    <t>BALODA BAZAR</t>
  </si>
  <si>
    <t>26/02/2023</t>
  </si>
  <si>
    <t>171-0729078-5357115</t>
  </si>
  <si>
    <t>171-3175650-3093927</t>
  </si>
  <si>
    <t>403-4689021-4332338</t>
  </si>
  <si>
    <t>407-4834117-3652353</t>
  </si>
  <si>
    <t>406-3335610-3694741</t>
  </si>
  <si>
    <t>404-0052801-9154746</t>
  </si>
  <si>
    <t>408-4865918-6064361</t>
  </si>
  <si>
    <t>407-1145126-1700301</t>
  </si>
  <si>
    <t>407-8458228-2935526</t>
  </si>
  <si>
    <t>405-5846833-3097105</t>
  </si>
  <si>
    <t>2001-Black-11</t>
  </si>
  <si>
    <t>402-6876801-9429949</t>
  </si>
  <si>
    <t>404-1419219-9793136</t>
  </si>
  <si>
    <t>402-1698832-8669950</t>
  </si>
  <si>
    <t>407-2709101-2209934</t>
  </si>
  <si>
    <t>BALBIR NAGAR EXTENSION SHAHDARA</t>
  </si>
  <si>
    <t>27/02/2023</t>
  </si>
  <si>
    <t>404-3580068-1843502</t>
  </si>
  <si>
    <t>KOTULPUR</t>
  </si>
  <si>
    <t>405-5955417-1461138</t>
  </si>
  <si>
    <t>SUNAM</t>
  </si>
  <si>
    <t>407-0703536-9641148</t>
  </si>
  <si>
    <t>406-3901141-7923565</t>
  </si>
  <si>
    <t>405-5297634-1244310</t>
  </si>
  <si>
    <t>407-0714426-7290710</t>
  </si>
  <si>
    <t>404-2399228-4820329</t>
  </si>
  <si>
    <t>406-8043148-6645103</t>
  </si>
  <si>
    <t>404-8491662-1234755</t>
  </si>
  <si>
    <t>402-4815478-4111541</t>
  </si>
  <si>
    <t>403-9226926-4558765</t>
  </si>
  <si>
    <t>SULTANPUR</t>
  </si>
  <si>
    <t>402-7139968-8054718</t>
  </si>
  <si>
    <t>407-8515315-4604365</t>
  </si>
  <si>
    <t>405-0354048-2401164</t>
  </si>
  <si>
    <t>407-3724402-0166751</t>
  </si>
  <si>
    <t>406-6514413-4181953</t>
  </si>
  <si>
    <t>408-2804723-2225106</t>
  </si>
  <si>
    <t>406-2742917-1965139</t>
  </si>
  <si>
    <t>28/02/2023</t>
  </si>
  <si>
    <t>403-0936452-3093117</t>
  </si>
  <si>
    <t>BHUJ</t>
  </si>
  <si>
    <t>404-6942180-9377115</t>
  </si>
  <si>
    <t>Ghoman</t>
  </si>
  <si>
    <t>171-6803682-8873131</t>
  </si>
  <si>
    <t>404-4710817-7791557</t>
  </si>
  <si>
    <t>CHETPET</t>
  </si>
  <si>
    <t>408-7943810-0815512</t>
  </si>
  <si>
    <t>01/03/2023</t>
  </si>
  <si>
    <t>407-6562807-3883501</t>
  </si>
  <si>
    <t>March</t>
  </si>
  <si>
    <t>02/03/2023</t>
  </si>
  <si>
    <t>402-6739486-2972323</t>
  </si>
  <si>
    <t>171-7729968-2614726</t>
  </si>
  <si>
    <t>407-1726152-7459560</t>
  </si>
  <si>
    <t>403-6314992-6285939</t>
  </si>
  <si>
    <t>171-1555918-6245111</t>
  </si>
  <si>
    <t>trichy</t>
  </si>
  <si>
    <t>406-2404180-1650740</t>
  </si>
  <si>
    <t>404-2008516-1499535</t>
  </si>
  <si>
    <t>407-3344353-5733911</t>
  </si>
  <si>
    <t>407-4251404-1463531</t>
  </si>
  <si>
    <t>03/03/2023</t>
  </si>
  <si>
    <t>408-3516974-5796368</t>
  </si>
  <si>
    <t>BHADRAVATI</t>
  </si>
  <si>
    <t>403-5453057-3289103</t>
  </si>
  <si>
    <t>402-7443550-3494740</t>
  </si>
  <si>
    <t>Birbhum</t>
  </si>
  <si>
    <t>402-3575730-0303569</t>
  </si>
  <si>
    <t>KUPPAM</t>
  </si>
  <si>
    <t>408-9787429-1982756</t>
  </si>
  <si>
    <t>408-7964668-4249153</t>
  </si>
  <si>
    <t>408-9362986-2782707</t>
  </si>
  <si>
    <t>04/03/2023</t>
  </si>
  <si>
    <t>408-9953091-4501929</t>
  </si>
  <si>
    <t>404-3307750-6631519</t>
  </si>
  <si>
    <t>171-3718618-9496328</t>
  </si>
  <si>
    <t>Near Barasat Telephone exchange</t>
  </si>
  <si>
    <t>402-4215443-0279560</t>
  </si>
  <si>
    <t>Diphu</t>
  </si>
  <si>
    <t>406-1713861-9394746</t>
  </si>
  <si>
    <t>171-5415559-6487568</t>
  </si>
  <si>
    <t>TALWARA</t>
  </si>
  <si>
    <t>403-4931971-4097950</t>
  </si>
  <si>
    <t>408-1752055-0611507</t>
  </si>
  <si>
    <t>05/03/2023</t>
  </si>
  <si>
    <t>406-1192364-7907516</t>
  </si>
  <si>
    <t>407-4080182-6960320</t>
  </si>
  <si>
    <t>PURANATTUKARA</t>
  </si>
  <si>
    <t>403-5364207-9902755</t>
  </si>
  <si>
    <t>MIRYALAGUDA</t>
  </si>
  <si>
    <t>408-0092828-8738704</t>
  </si>
  <si>
    <t>KARIMGANJ</t>
  </si>
  <si>
    <t>171-7016540-7721914</t>
  </si>
  <si>
    <t>403-4782402-8182703</t>
  </si>
  <si>
    <t>402-1240176-3607514</t>
  </si>
  <si>
    <t>404-3364044-9402717</t>
  </si>
  <si>
    <t>405-0445313-2444310</t>
  </si>
  <si>
    <t>12/03/2023</t>
  </si>
  <si>
    <t>404-8346771-6749114</t>
  </si>
  <si>
    <t>408-8562694-9826706</t>
  </si>
  <si>
    <t>Panvel</t>
  </si>
  <si>
    <t>406-9402415-2280339</t>
  </si>
  <si>
    <t>405-9664513-5576346</t>
  </si>
  <si>
    <t>405-2674862-6712328</t>
  </si>
  <si>
    <t>403-0553972-4085915</t>
  </si>
  <si>
    <t>13/03/2023</t>
  </si>
  <si>
    <t>171-4629208-9903529</t>
  </si>
  <si>
    <t>14/03/2023</t>
  </si>
  <si>
    <t>408-4060370-9749943</t>
  </si>
  <si>
    <t>171-5613316-3455513</t>
  </si>
  <si>
    <t>404-0191046-0578707</t>
  </si>
  <si>
    <t>404-3487743-0215565</t>
  </si>
  <si>
    <t>Chinchinim</t>
  </si>
  <si>
    <t>171-8607255-0215561</t>
  </si>
  <si>
    <t>404-1433603-2031540</t>
  </si>
  <si>
    <t>HUKERI</t>
  </si>
  <si>
    <t>404-7119196-5713159</t>
  </si>
  <si>
    <t>15/03/2023</t>
  </si>
  <si>
    <t>407-2493819-5861935</t>
  </si>
  <si>
    <t>GOHANA</t>
  </si>
  <si>
    <t>408-2988815-4289934</t>
  </si>
  <si>
    <t>16/03/2023</t>
  </si>
  <si>
    <t>403-9633992-9611550</t>
  </si>
  <si>
    <t>408-7596542-3638752</t>
  </si>
  <si>
    <t>404-7119141-8472308</t>
  </si>
  <si>
    <t>MADHURAWADA</t>
  </si>
  <si>
    <t>406-4978565-3760359</t>
  </si>
  <si>
    <t>171-6444421-5908354</t>
  </si>
  <si>
    <t>Chikkodi</t>
  </si>
  <si>
    <t>408-4077115-2950715</t>
  </si>
  <si>
    <t>408-2592619-0724330</t>
  </si>
  <si>
    <t>402-0528920-8598723</t>
  </si>
  <si>
    <t>TALEGAON MIDC</t>
  </si>
  <si>
    <t>405-3660226-0655504</t>
  </si>
  <si>
    <t>171-6697801-6613966</t>
  </si>
  <si>
    <t>171-9135074-2897966</t>
  </si>
  <si>
    <t>171-0609871-0026763</t>
  </si>
  <si>
    <t>Rasipuram</t>
  </si>
  <si>
    <t>408-0485295-5459502</t>
  </si>
  <si>
    <t>2001-Black-08</t>
  </si>
  <si>
    <t>BASODA</t>
  </si>
  <si>
    <t>402-0691858-2059556</t>
  </si>
  <si>
    <t>407-5577762-6734737</t>
  </si>
  <si>
    <t>402-3301784-6676340</t>
  </si>
  <si>
    <t>17/03/2023</t>
  </si>
  <si>
    <t>408-1249097-5907558</t>
  </si>
  <si>
    <t>407-1634879-9287554</t>
  </si>
  <si>
    <t>Shivaji Nagar Pune</t>
  </si>
  <si>
    <t>171-2613638-8540341</t>
  </si>
  <si>
    <t>403-2858490-8366757</t>
  </si>
  <si>
    <t>402-5153092-7929125</t>
  </si>
  <si>
    <t>408-7487812-8173123</t>
  </si>
  <si>
    <t>JAUNPUR</t>
  </si>
  <si>
    <t>406-0714395-2869109</t>
  </si>
  <si>
    <t>RAIL</t>
  </si>
  <si>
    <t>406-7599769-4586719</t>
  </si>
  <si>
    <t>KOLHAPUR</t>
  </si>
  <si>
    <t>406-7019986-2017931</t>
  </si>
  <si>
    <t>403-1274419-5131554</t>
  </si>
  <si>
    <t>19/03/2023</t>
  </si>
  <si>
    <t>408-8886452-7010702</t>
  </si>
  <si>
    <t>Anjar</t>
  </si>
  <si>
    <t>406-0020092-7660312</t>
  </si>
  <si>
    <t>DOIWALA</t>
  </si>
  <si>
    <t>408-3626282-8359513</t>
  </si>
  <si>
    <t>TANUKU</t>
  </si>
  <si>
    <t>18/03/2023</t>
  </si>
  <si>
    <t>408-0385853-5914761</t>
  </si>
  <si>
    <t>MUTTAYYAPURAM</t>
  </si>
  <si>
    <t>171-1588938-9473944</t>
  </si>
  <si>
    <t>Tinsukia</t>
  </si>
  <si>
    <t>408-6919056-9185145</t>
  </si>
  <si>
    <t>405-4110977-2822707</t>
  </si>
  <si>
    <t>NIZAMABAD</t>
  </si>
  <si>
    <t>404-8600580-9028304</t>
  </si>
  <si>
    <t>405-5292989-2879522</t>
  </si>
  <si>
    <t>8501_Brown-08</t>
  </si>
  <si>
    <t>Harnaut</t>
  </si>
  <si>
    <t>404-4790660-4898742</t>
  </si>
  <si>
    <t>ITANAGAR</t>
  </si>
  <si>
    <t>404-6237652-8465932</t>
  </si>
  <si>
    <t>Chadora BADGAM DISTRICT</t>
  </si>
  <si>
    <t>402-5054398-4389927</t>
  </si>
  <si>
    <t>20/03/2023</t>
  </si>
  <si>
    <t>403-4536788-2904340</t>
  </si>
  <si>
    <t>408-3694078-2744302</t>
  </si>
  <si>
    <t>403-1710380-0226702</t>
  </si>
  <si>
    <t>404-4738080-2606723</t>
  </si>
  <si>
    <t>407-1792068-6995569</t>
  </si>
  <si>
    <t>403-2186086-5256301</t>
  </si>
  <si>
    <t>ATCHUTAPURAM APSEZ</t>
  </si>
  <si>
    <t>408-2032229-9417953</t>
  </si>
  <si>
    <t>403-5917844-9110712</t>
  </si>
  <si>
    <t>SALEKASA</t>
  </si>
  <si>
    <t>402-2818281-2093146</t>
  </si>
  <si>
    <t>402-3077889-4879558</t>
  </si>
  <si>
    <t>21/03/2023</t>
  </si>
  <si>
    <t>405-2091378-9040351</t>
  </si>
  <si>
    <t>SONEPUR</t>
  </si>
  <si>
    <t>406-8572009-1070753</t>
  </si>
  <si>
    <t>408-8536922-7842722</t>
  </si>
  <si>
    <t>402-3645198-4886769</t>
  </si>
  <si>
    <t>PATTIVEERANPATTI</t>
  </si>
  <si>
    <t>404-1511339-6101952</t>
  </si>
  <si>
    <t>22/03/2023</t>
  </si>
  <si>
    <t>406-6403162-5063536</t>
  </si>
  <si>
    <t>404-8868002-9201127</t>
  </si>
  <si>
    <t>405-8375169-4646753</t>
  </si>
  <si>
    <t>407-0157090-4708323</t>
  </si>
  <si>
    <t>405-1375520-2304324</t>
  </si>
  <si>
    <t>TRICHUR</t>
  </si>
  <si>
    <t>403-8260947-9867508</t>
  </si>
  <si>
    <t>402-0759370-6773911</t>
  </si>
  <si>
    <t>Tirora</t>
  </si>
  <si>
    <t>403-3381202-6440321</t>
  </si>
  <si>
    <t>404-4885434-0219511</t>
  </si>
  <si>
    <t>171-3421960-4976342</t>
  </si>
  <si>
    <t>305_Brown-09</t>
  </si>
  <si>
    <t>305_Tan-11</t>
  </si>
  <si>
    <t>408-3717654-1950766</t>
  </si>
  <si>
    <t>23/03/2023</t>
  </si>
  <si>
    <t>404-1542258-6668324</t>
  </si>
  <si>
    <t>24/03/2023</t>
  </si>
  <si>
    <t>405-9414886-8703550</t>
  </si>
  <si>
    <t>Kalavoor</t>
  </si>
  <si>
    <t>407-8866214-5533156</t>
  </si>
  <si>
    <t>408-1496049-8076314</t>
  </si>
  <si>
    <t>171-1134695-9685956</t>
  </si>
  <si>
    <t>407-5468671-8565105</t>
  </si>
  <si>
    <t>2001-Black-07</t>
  </si>
  <si>
    <t>407-4556110-0158768</t>
  </si>
  <si>
    <t>408-9386083-7384330</t>
  </si>
  <si>
    <t>407-9327705-6268303</t>
  </si>
  <si>
    <t>402-4625140-4761164</t>
  </si>
  <si>
    <t>VENGURLA</t>
  </si>
  <si>
    <t>408-2163262-3229106</t>
  </si>
  <si>
    <t>407-2942912-6018760</t>
  </si>
  <si>
    <t>TALIPARAMBA</t>
  </si>
  <si>
    <t>407-8945879-8506767</t>
  </si>
  <si>
    <t>402-3888154-5466752</t>
  </si>
  <si>
    <t>408-6277624-6267529</t>
  </si>
  <si>
    <t>402-7528350-0245157</t>
  </si>
  <si>
    <t>ROSERA</t>
  </si>
  <si>
    <t>402-6045276-0981155</t>
  </si>
  <si>
    <t>403-8163377-8011500</t>
  </si>
  <si>
    <t>DABHOI</t>
  </si>
  <si>
    <t>25/03/2023</t>
  </si>
  <si>
    <t>404-8835668-4701114</t>
  </si>
  <si>
    <t>26/03/2023</t>
  </si>
  <si>
    <t>404-0986186-8894724</t>
  </si>
  <si>
    <t>406-6452727-8425966</t>
  </si>
  <si>
    <t>405-6179236-2122764</t>
  </si>
  <si>
    <t>402-4802701-4792319</t>
  </si>
  <si>
    <t>305_Black-06</t>
  </si>
  <si>
    <t>SOLAN</t>
  </si>
  <si>
    <t>408-3866529-5127536</t>
  </si>
  <si>
    <t>405-6323760-8581964</t>
  </si>
  <si>
    <t>402-2228957-1282736</t>
  </si>
  <si>
    <t>404-3613154-1482708</t>
  </si>
  <si>
    <t>403-9505180-4346720</t>
  </si>
  <si>
    <t>407-2202361-3204364</t>
  </si>
  <si>
    <t>407-6850584-3950763</t>
  </si>
  <si>
    <t>ANANDPUR SAHIB</t>
  </si>
  <si>
    <t>403-1259085-5392303</t>
  </si>
  <si>
    <t>405-8582245-4404309</t>
  </si>
  <si>
    <t>403-8078175-6665134</t>
  </si>
  <si>
    <t>171-5183067-7047506</t>
  </si>
  <si>
    <t>403-7145796-7513946</t>
  </si>
  <si>
    <t>27/03/2023</t>
  </si>
  <si>
    <t>404-6517591-2825149</t>
  </si>
  <si>
    <t>408-3092171-3064319</t>
  </si>
  <si>
    <t>402-7219873-7294756</t>
  </si>
  <si>
    <t>406-0866854-1926720</t>
  </si>
  <si>
    <t>171-2135076-3850711</t>
  </si>
  <si>
    <t>MUNGELI</t>
  </si>
  <si>
    <t>402-9818349-6231526</t>
  </si>
  <si>
    <t>AKOLA</t>
  </si>
  <si>
    <t>407-0801222-9744313</t>
  </si>
  <si>
    <t>2001-Black-06</t>
  </si>
  <si>
    <t>171-3892374-3080349</t>
  </si>
  <si>
    <t>AJMER</t>
  </si>
  <si>
    <t>404-9222352-9429137</t>
  </si>
  <si>
    <t>JHALAWAR</t>
  </si>
  <si>
    <t>408-1414963-9445141</t>
  </si>
  <si>
    <t>404-1231378-2889115</t>
  </si>
  <si>
    <t>Gudalur Coimbatore District</t>
  </si>
  <si>
    <t>171-9701654-5154740</t>
  </si>
  <si>
    <t>408-0655931-8732345</t>
  </si>
  <si>
    <t>29/03/2023</t>
  </si>
  <si>
    <t>171-4574091-9814767</t>
  </si>
  <si>
    <t>28/03/2023</t>
  </si>
  <si>
    <t>402-7242485-7578754</t>
  </si>
  <si>
    <t>404-8098556-3877904</t>
  </si>
  <si>
    <t>portblair</t>
  </si>
  <si>
    <t>408-2992036-5708369</t>
  </si>
  <si>
    <t>405-2889793-2122727</t>
  </si>
  <si>
    <t>Amritsar</t>
  </si>
  <si>
    <t>408-0608730-2148366</t>
  </si>
  <si>
    <t>406-9025208-0793122</t>
  </si>
  <si>
    <t>406-8523442-3073929</t>
  </si>
  <si>
    <t>171-6516118-8272312</t>
  </si>
  <si>
    <t>30/03/2023</t>
  </si>
  <si>
    <t>405-6139115-5921963</t>
  </si>
  <si>
    <t>171-9227104-2928336</t>
  </si>
  <si>
    <t>408-2472926-8357926</t>
  </si>
  <si>
    <t>406-0650149-7761133</t>
  </si>
  <si>
    <t>405-1725458-9561128</t>
  </si>
  <si>
    <t>Vishwapriya nagar  Begur  Bangalore</t>
  </si>
  <si>
    <t>402-2582396-9417922</t>
  </si>
  <si>
    <t>BHOGPUR</t>
  </si>
  <si>
    <t>171-0108094-3772348</t>
  </si>
  <si>
    <t>407-2727130-4907558</t>
  </si>
  <si>
    <t>403-0410935-7378721</t>
  </si>
  <si>
    <t>405-4861056-5564332</t>
  </si>
  <si>
    <t>KANNUR</t>
  </si>
  <si>
    <t>406-7355743-5593932</t>
  </si>
  <si>
    <t>405-3548178-0461125</t>
  </si>
  <si>
    <t>403-6930354-3363503</t>
  </si>
  <si>
    <t>404-6835213-3709145</t>
  </si>
  <si>
    <t>406-9986062-3982739</t>
  </si>
  <si>
    <t>403-8789208-8837115</t>
  </si>
  <si>
    <t>31/03/2023</t>
  </si>
  <si>
    <t>408-8674641-3285907</t>
  </si>
  <si>
    <t>402-3927661-6965163</t>
  </si>
  <si>
    <t>407-8195174-0962704</t>
  </si>
  <si>
    <t>408-9350936-8995544</t>
  </si>
  <si>
    <t>171-1478936-0258758</t>
  </si>
  <si>
    <t>402-9202669-9284300</t>
  </si>
  <si>
    <t>407-8802921-7517959</t>
  </si>
  <si>
    <t>171-2875026-5297953</t>
  </si>
  <si>
    <t>Pratapgarh</t>
  </si>
  <si>
    <t>402-5966186-6931569</t>
  </si>
  <si>
    <t>403-2576859-8500327</t>
  </si>
  <si>
    <t>402-6528274-6653157</t>
  </si>
  <si>
    <t xml:space="preserve">PORT BLAIR  SOUTH ANDAMAN </t>
  </si>
  <si>
    <t>405-2304852-3825116</t>
  </si>
  <si>
    <t>405-0180082-1924333</t>
  </si>
  <si>
    <t>408-4173211-5064318</t>
  </si>
  <si>
    <t>MUVATTUPUZHA</t>
  </si>
  <si>
    <t>407-9000431-4607545</t>
  </si>
  <si>
    <t>406-5870584-8952321</t>
  </si>
  <si>
    <t>MANDYA</t>
  </si>
  <si>
    <t>171-3962333-3675532</t>
  </si>
  <si>
    <t>408-2852532-6561945</t>
  </si>
  <si>
    <t>405-3460113-1822730</t>
  </si>
  <si>
    <t>406-7263901-1231514</t>
  </si>
  <si>
    <t>408-9494360-3022703</t>
  </si>
  <si>
    <t>402-3197244-1281100</t>
  </si>
  <si>
    <t>403-7718972-2453928</t>
  </si>
  <si>
    <t>NABARANGAPUR</t>
  </si>
  <si>
    <t>405-5707326-2577933</t>
  </si>
  <si>
    <t>505_TAN_12</t>
  </si>
  <si>
    <t>402-7996251-3594749</t>
  </si>
  <si>
    <t>405-0408159-0364360</t>
  </si>
  <si>
    <t>171-3851578-0693151</t>
  </si>
  <si>
    <t>408-9396306-4641947</t>
  </si>
  <si>
    <t>403-2192293-9635563</t>
  </si>
  <si>
    <t>406-6592518-9601108</t>
  </si>
  <si>
    <t>Sum of Sale Amount</t>
  </si>
  <si>
    <t>Sum of Net Amount Received</t>
  </si>
  <si>
    <t>Row Labels</t>
  </si>
  <si>
    <t>Grand Total</t>
  </si>
  <si>
    <t>Count of Order Id</t>
  </si>
  <si>
    <t>Sum of Comission Fee</t>
  </si>
  <si>
    <t>Sum of Product Cost</t>
  </si>
  <si>
    <t>Sum of Profit &amp; Loss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</si>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</sst>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3">
    <xf numFmtId="0" fontId="0" fillId="0" borderId="0" xfId="0"/>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0" xfId="0" applyBorder="1" applyAlignment="1">
      <alignment vertical="center"/>
    </xf>
  </cellXfs>
  <cellStyles count="1">
    <cellStyle name="Normal" xfId="0" builtinId="0"/>
  </cellStyles>
  <dxfs count="1">
    <dxf>
      <numFmt numFmtId="30" formatCode="@"/>
    </dxf>
  </dxfs>
  <tableStyles count="0" defaultTableStyle="TableStyleMedium2" defaultPivotStyle="PivotStyleLight16"/>
  <colors>
    <mruColors>
      <color rgb="FFD3E4F4"/>
      <color rgb="FF469EBC"/>
      <color rgb="FF589F77"/>
      <color rgb="FFD2E3F4"/>
      <color rgb="FFF28877"/>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Seller Dashboard.xlsx]Pivot_Analysis!Top 5 SKU</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SKU wise Sales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3276179262639"/>
          <c:y val="0.19317708333333333"/>
          <c:w val="0.69950088306718661"/>
          <c:h val="0.74953124999999998"/>
        </c:manualLayout>
      </c:layout>
      <c:barChart>
        <c:barDir val="bar"/>
        <c:grouping val="clustered"/>
        <c:varyColors val="0"/>
        <c:ser>
          <c:idx val="0"/>
          <c:order val="0"/>
          <c:tx>
            <c:strRef>
              <c:f>Pivot_Analysis!$E$31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Pivot_Analysis!$D$32:$D$37</c:f>
              <c:strCache>
                <c:ptCount val="5"/>
                <c:pt idx="0">
                  <c:v>2001-BLACK-12</c:v>
                </c:pt>
                <c:pt idx="1">
                  <c:v>8210-Brown-8</c:v>
                </c:pt>
                <c:pt idx="2">
                  <c:v>8210-Brown-9</c:v>
                </c:pt>
                <c:pt idx="3">
                  <c:v>2001-BLACK-08</c:v>
                </c:pt>
                <c:pt idx="4">
                  <c:v>2001-BLACK-09</c:v>
                </c:pt>
              </c:strCache>
            </c:strRef>
          </c:cat>
          <c:val>
            <c:numRef>
              <c:f>Pivot_Analysis!$E$32:$E$37</c:f>
              <c:numCache>
                <c:formatCode>General</c:formatCode>
                <c:ptCount val="5"/>
                <c:pt idx="0">
                  <c:v>159484.65000000008</c:v>
                </c:pt>
                <c:pt idx="1">
                  <c:v>78407.350000000006</c:v>
                </c:pt>
                <c:pt idx="2">
                  <c:v>53616.25</c:v>
                </c:pt>
                <c:pt idx="3">
                  <c:v>52398.45</c:v>
                </c:pt>
                <c:pt idx="4">
                  <c:v>48140.25</c:v>
                </c:pt>
              </c:numCache>
            </c:numRef>
          </c:val>
          <c:extLst>
            <c:ext xmlns:c16="http://schemas.microsoft.com/office/drawing/2014/chart" uri="{C3380CC4-5D6E-409C-BE32-E72D297353CC}">
              <c16:uniqueId val="{00000000-745F-8C43-B18A-2997DB17A55F}"/>
            </c:ext>
          </c:extLst>
        </c:ser>
        <c:dLbls>
          <c:dLblPos val="outEnd"/>
          <c:showLegendKey val="0"/>
          <c:showVal val="1"/>
          <c:showCatName val="0"/>
          <c:showSerName val="0"/>
          <c:showPercent val="0"/>
          <c:showBubbleSize val="0"/>
        </c:dLbls>
        <c:gapWidth val="149"/>
        <c:overlap val="77"/>
        <c:axId val="150743263"/>
        <c:axId val="184294591"/>
      </c:barChart>
      <c:catAx>
        <c:axId val="150743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4294591"/>
        <c:crosses val="autoZero"/>
        <c:auto val="1"/>
        <c:lblAlgn val="ctr"/>
        <c:lblOffset val="100"/>
        <c:noMultiLvlLbl val="0"/>
      </c:catAx>
      <c:valAx>
        <c:axId val="184294591"/>
        <c:scaling>
          <c:orientation val="minMax"/>
        </c:scaling>
        <c:delete val="1"/>
        <c:axPos val="b"/>
        <c:numFmt formatCode="General" sourceLinked="1"/>
        <c:majorTickMark val="none"/>
        <c:minorTickMark val="none"/>
        <c:tickLblPos val="nextTo"/>
        <c:crossAx val="15074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Seller Dashboard.xlsx]Pivot_Analysis!top 5 States</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State by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Pivot_Analysis!$G$32:$G$37</c:f>
              <c:strCache>
                <c:ptCount val="5"/>
                <c:pt idx="0">
                  <c:v>MAHARASHTRA</c:v>
                </c:pt>
                <c:pt idx="1">
                  <c:v>KARNATAKA</c:v>
                </c:pt>
                <c:pt idx="2">
                  <c:v>TAMIL NADU</c:v>
                </c:pt>
                <c:pt idx="3">
                  <c:v>UTTAR PRADESH</c:v>
                </c:pt>
                <c:pt idx="4">
                  <c:v>TELANGANA</c:v>
                </c:pt>
              </c:strCache>
            </c:strRef>
          </c:cat>
          <c:val>
            <c:numRef>
              <c:f>Pivot_Analysis!$H$32:$H$37</c:f>
              <c:numCache>
                <c:formatCode>General</c:formatCode>
                <c:ptCount val="5"/>
                <c:pt idx="0">
                  <c:v>318597.64999999973</c:v>
                </c:pt>
                <c:pt idx="1">
                  <c:v>192867.68000000005</c:v>
                </c:pt>
                <c:pt idx="2">
                  <c:v>191614.80000000005</c:v>
                </c:pt>
                <c:pt idx="3">
                  <c:v>140754.50000000003</c:v>
                </c:pt>
                <c:pt idx="4">
                  <c:v>119704.95000000003</c:v>
                </c:pt>
              </c:numCache>
            </c:numRef>
          </c:val>
          <c:extLst>
            <c:ext xmlns:c16="http://schemas.microsoft.com/office/drawing/2014/chart" uri="{C3380CC4-5D6E-409C-BE32-E72D297353CC}">
              <c16:uniqueId val="{00000000-4152-A546-AD2F-6AE275769CED}"/>
            </c:ext>
          </c:extLst>
        </c:ser>
        <c:dLbls>
          <c:dLblPos val="outEnd"/>
          <c:showLegendKey val="0"/>
          <c:showVal val="1"/>
          <c:showCatName val="0"/>
          <c:showSerName val="0"/>
          <c:showPercent val="0"/>
          <c:showBubbleSize val="0"/>
        </c:dLbls>
        <c:gapWidth val="219"/>
        <c:overlap val="-27"/>
        <c:axId val="1887913296"/>
        <c:axId val="1887915008"/>
      </c:barChart>
      <c:catAx>
        <c:axId val="188791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887915008"/>
        <c:crosses val="autoZero"/>
        <c:auto val="1"/>
        <c:lblAlgn val="ctr"/>
        <c:lblOffset val="100"/>
        <c:noMultiLvlLbl val="0"/>
      </c:catAx>
      <c:valAx>
        <c:axId val="1887915008"/>
        <c:scaling>
          <c:orientation val="minMax"/>
        </c:scaling>
        <c:delete val="1"/>
        <c:axPos val="l"/>
        <c:numFmt formatCode="General" sourceLinked="1"/>
        <c:majorTickMark val="none"/>
        <c:minorTickMark val="none"/>
        <c:tickLblPos val="nextTo"/>
        <c:crossAx val="1887913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Seller Dashboard.xlsx]Pivot_Analysis!Trend Monthly</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GB" sz="1600" b="1">
                <a:solidFill>
                  <a:schemeClr val="tx1"/>
                </a:solidFill>
              </a:rPr>
              <a:t>Monthly</a:t>
            </a:r>
            <a:r>
              <a:rPr lang="en-GB" sz="1600" b="1" baseline="0">
                <a:solidFill>
                  <a:schemeClr val="tx1"/>
                </a:solidFill>
              </a:rPr>
              <a:t> Sales Trend</a:t>
            </a:r>
            <a:endParaRPr lang="en-GB"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Pivot_Analysis!$B$31</c:f>
              <c:strCache>
                <c:ptCount val="1"/>
                <c:pt idx="0">
                  <c:v>Total</c:v>
                </c:pt>
              </c:strCache>
            </c:strRef>
          </c:tx>
          <c:spPr>
            <a:ln w="28575" cap="rnd">
              <a:solidFill>
                <a:schemeClr val="accent1"/>
              </a:solidFill>
              <a:round/>
            </a:ln>
            <a:effectLst/>
          </c:spPr>
          <c:marker>
            <c:symbol val="none"/>
          </c:marker>
          <c:cat>
            <c:multiLvlStrRef>
              <c:f>Pivot_Analysis!$A$32:$A$46</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2022</c:v>
                  </c:pt>
                  <c:pt idx="9">
                    <c:v>2023</c:v>
                  </c:pt>
                </c:lvl>
              </c:multiLvlStrCache>
            </c:multiLvlStrRef>
          </c:cat>
          <c:val>
            <c:numRef>
              <c:f>Pivot_Analysis!$B$32:$B$46</c:f>
              <c:numCache>
                <c:formatCode>General</c:formatCode>
                <c:ptCount val="12"/>
                <c:pt idx="0">
                  <c:v>80761</c:v>
                </c:pt>
                <c:pt idx="1">
                  <c:v>73616</c:v>
                </c:pt>
                <c:pt idx="2">
                  <c:v>68720</c:v>
                </c:pt>
                <c:pt idx="3">
                  <c:v>124205</c:v>
                </c:pt>
                <c:pt idx="4">
                  <c:v>121357</c:v>
                </c:pt>
                <c:pt idx="5">
                  <c:v>112765</c:v>
                </c:pt>
                <c:pt idx="6">
                  <c:v>105433.50000000003</c:v>
                </c:pt>
                <c:pt idx="7">
                  <c:v>197654.49999999983</c:v>
                </c:pt>
                <c:pt idx="8">
                  <c:v>244234.02999999962</c:v>
                </c:pt>
                <c:pt idx="9">
                  <c:v>269635</c:v>
                </c:pt>
                <c:pt idx="10">
                  <c:v>269584</c:v>
                </c:pt>
                <c:pt idx="11">
                  <c:v>131396</c:v>
                </c:pt>
              </c:numCache>
            </c:numRef>
          </c:val>
          <c:smooth val="0"/>
          <c:extLst>
            <c:ext xmlns:c16="http://schemas.microsoft.com/office/drawing/2014/chart" uri="{C3380CC4-5D6E-409C-BE32-E72D297353CC}">
              <c16:uniqueId val="{00000000-EE1A-2841-B9B8-52EE67F06B30}"/>
            </c:ext>
          </c:extLst>
        </c:ser>
        <c:dLbls>
          <c:showLegendKey val="0"/>
          <c:showVal val="0"/>
          <c:showCatName val="0"/>
          <c:showSerName val="0"/>
          <c:showPercent val="0"/>
          <c:showBubbleSize val="0"/>
        </c:dLbls>
        <c:smooth val="0"/>
        <c:axId val="192524911"/>
        <c:axId val="1907236512"/>
      </c:lineChart>
      <c:catAx>
        <c:axId val="19252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07236512"/>
        <c:crosses val="autoZero"/>
        <c:auto val="1"/>
        <c:lblAlgn val="ctr"/>
        <c:lblOffset val="100"/>
        <c:noMultiLvlLbl val="0"/>
      </c:catAx>
      <c:valAx>
        <c:axId val="190723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252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279401</xdr:colOff>
      <xdr:row>0</xdr:row>
      <xdr:rowOff>25400</xdr:rowOff>
    </xdr:from>
    <xdr:to>
      <xdr:col>17</xdr:col>
      <xdr:colOff>319034</xdr:colOff>
      <xdr:row>41</xdr:row>
      <xdr:rowOff>88900</xdr:rowOff>
    </xdr:to>
    <xdr:sp macro="" textlink="">
      <xdr:nvSpPr>
        <xdr:cNvPr id="2" name="Rounded Rectangle 1">
          <a:extLst>
            <a:ext uri="{FF2B5EF4-FFF2-40B4-BE49-F238E27FC236}">
              <a16:creationId xmlns:a16="http://schemas.microsoft.com/office/drawing/2014/main" id="{E3D70903-5CE7-BF1B-80C8-1709229B94E4}"/>
            </a:ext>
          </a:extLst>
        </xdr:cNvPr>
        <xdr:cNvSpPr/>
      </xdr:nvSpPr>
      <xdr:spPr>
        <a:xfrm>
          <a:off x="279401" y="25400"/>
          <a:ext cx="13488933" cy="8394700"/>
        </a:xfrm>
        <a:prstGeom prst="roundRect">
          <a:avLst>
            <a:gd name="adj" fmla="val 0"/>
          </a:avLst>
        </a:prstGeom>
        <a:solidFill>
          <a:srgbClr val="F9F9F9"/>
        </a:solidFill>
        <a:ln>
          <a:noFill/>
        </a:ln>
        <a:effectLst>
          <a:outerShdw blurRad="115229" sx="43000" sy="43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18600</xdr:colOff>
      <xdr:row>15</xdr:row>
      <xdr:rowOff>101600</xdr:rowOff>
    </xdr:from>
    <xdr:to>
      <xdr:col>17</xdr:col>
      <xdr:colOff>139700</xdr:colOff>
      <xdr:row>40</xdr:row>
      <xdr:rowOff>190500</xdr:rowOff>
    </xdr:to>
    <xdr:sp macro="" textlink="">
      <xdr:nvSpPr>
        <xdr:cNvPr id="19" name="Rounded Rectangle 18">
          <a:extLst>
            <a:ext uri="{FF2B5EF4-FFF2-40B4-BE49-F238E27FC236}">
              <a16:creationId xmlns:a16="http://schemas.microsoft.com/office/drawing/2014/main" id="{F010AD95-5555-5268-A44C-FC1CCB0903B1}"/>
            </a:ext>
          </a:extLst>
        </xdr:cNvPr>
        <xdr:cNvSpPr/>
      </xdr:nvSpPr>
      <xdr:spPr>
        <a:xfrm>
          <a:off x="2736400" y="3149600"/>
          <a:ext cx="10852600" cy="5168900"/>
        </a:xfrm>
        <a:prstGeom prst="roundRect">
          <a:avLst>
            <a:gd name="adj"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clientData/>
  </xdr:twoCellAnchor>
  <xdr:twoCellAnchor>
    <xdr:from>
      <xdr:col>0</xdr:col>
      <xdr:colOff>266700</xdr:colOff>
      <xdr:row>0</xdr:row>
      <xdr:rowOff>25400</xdr:rowOff>
    </xdr:from>
    <xdr:to>
      <xdr:col>21</xdr:col>
      <xdr:colOff>9922</xdr:colOff>
      <xdr:row>3</xdr:row>
      <xdr:rowOff>152400</xdr:rowOff>
    </xdr:to>
    <xdr:sp macro="" textlink="">
      <xdr:nvSpPr>
        <xdr:cNvPr id="3" name="Rectangle 2">
          <a:extLst>
            <a:ext uri="{FF2B5EF4-FFF2-40B4-BE49-F238E27FC236}">
              <a16:creationId xmlns:a16="http://schemas.microsoft.com/office/drawing/2014/main" id="{8B3EC2E7-4A36-6900-849E-E57B73A85658}"/>
            </a:ext>
          </a:extLst>
        </xdr:cNvPr>
        <xdr:cNvSpPr/>
      </xdr:nvSpPr>
      <xdr:spPr>
        <a:xfrm>
          <a:off x="266700" y="25400"/>
          <a:ext cx="16265922" cy="736600"/>
        </a:xfrm>
        <a:prstGeom prst="rect">
          <a:avLst/>
        </a:prstGeom>
        <a:solidFill>
          <a:schemeClr val="bg1">
            <a:lumMod val="8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ysClr val="windowText" lastClr="000000"/>
              </a:solidFill>
              <a:effectLst/>
              <a:latin typeface="Times New Roman" panose="02020603050405020304" pitchFamily="18" charset="0"/>
              <a:ea typeface="+mn-ea"/>
              <a:cs typeface="Times New Roman" panose="02020603050405020304" pitchFamily="18" charset="0"/>
            </a:rPr>
            <a:t>Amazon Seller Performance Dashboard</a:t>
          </a:r>
          <a:endParaRPr lang="en-IN" sz="4000" b="1">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457203</xdr:colOff>
      <xdr:row>4</xdr:row>
      <xdr:rowOff>25400</xdr:rowOff>
    </xdr:from>
    <xdr:to>
      <xdr:col>21</xdr:col>
      <xdr:colOff>0</xdr:colOff>
      <xdr:row>9</xdr:row>
      <xdr:rowOff>0</xdr:rowOff>
    </xdr:to>
    <xdr:grpSp>
      <xdr:nvGrpSpPr>
        <xdr:cNvPr id="52" name="Group 51">
          <a:extLst>
            <a:ext uri="{FF2B5EF4-FFF2-40B4-BE49-F238E27FC236}">
              <a16:creationId xmlns:a16="http://schemas.microsoft.com/office/drawing/2014/main" id="{824B9E46-386E-9D14-F034-3EE406FCD034}"/>
            </a:ext>
          </a:extLst>
        </xdr:cNvPr>
        <xdr:cNvGrpSpPr/>
      </xdr:nvGrpSpPr>
      <xdr:grpSpPr>
        <a:xfrm>
          <a:off x="457203" y="838200"/>
          <a:ext cx="16065497" cy="990600"/>
          <a:chOff x="457203" y="838200"/>
          <a:chExt cx="16065497" cy="990600"/>
        </a:xfrm>
      </xdr:grpSpPr>
      <xdr:grpSp>
        <xdr:nvGrpSpPr>
          <xdr:cNvPr id="70" name="Group 69">
            <a:extLst>
              <a:ext uri="{FF2B5EF4-FFF2-40B4-BE49-F238E27FC236}">
                <a16:creationId xmlns:a16="http://schemas.microsoft.com/office/drawing/2014/main" id="{3B6590B3-9A80-8F4B-8578-082F04B0A077}"/>
              </a:ext>
            </a:extLst>
          </xdr:cNvPr>
          <xdr:cNvGrpSpPr/>
        </xdr:nvGrpSpPr>
        <xdr:grpSpPr>
          <a:xfrm>
            <a:off x="13779499" y="860167"/>
            <a:ext cx="2732482" cy="955933"/>
            <a:chOff x="1593" y="-2593"/>
            <a:chExt cx="1203543" cy="722683"/>
          </a:xfrm>
          <a:effectLst>
            <a:outerShdw blurRad="50800" dist="38100" dir="2700000" algn="tl" rotWithShape="0">
              <a:prstClr val="black">
                <a:alpha val="40000"/>
              </a:prstClr>
            </a:outerShdw>
          </a:effectLst>
        </xdr:grpSpPr>
        <xdr:sp macro="" textlink="">
          <xdr:nvSpPr>
            <xdr:cNvPr id="71" name="Rounded Rectangle 70">
              <a:extLst>
                <a:ext uri="{FF2B5EF4-FFF2-40B4-BE49-F238E27FC236}">
                  <a16:creationId xmlns:a16="http://schemas.microsoft.com/office/drawing/2014/main" id="{D79CEB19-04C3-888D-2023-0EFEAD815FD5}"/>
                </a:ext>
              </a:extLst>
            </xdr:cNvPr>
            <xdr:cNvSpPr/>
          </xdr:nvSpPr>
          <xdr:spPr>
            <a:xfrm>
              <a:off x="2309" y="0"/>
              <a:ext cx="1200727" cy="720090"/>
            </a:xfrm>
            <a:prstGeom prst="roundRect">
              <a:avLst>
                <a:gd name="adj"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72" name="Rounded Rectangle 71">
              <a:extLst>
                <a:ext uri="{FF2B5EF4-FFF2-40B4-BE49-F238E27FC236}">
                  <a16:creationId xmlns:a16="http://schemas.microsoft.com/office/drawing/2014/main" id="{7C0BEDD2-D91C-E4F1-6029-55F9EA12A168}"/>
                </a:ext>
              </a:extLst>
            </xdr:cNvPr>
            <xdr:cNvSpPr/>
          </xdr:nvSpPr>
          <xdr:spPr>
            <a:xfrm>
              <a:off x="1593" y="-2593"/>
              <a:ext cx="1203543" cy="295133"/>
            </a:xfrm>
            <a:prstGeom prst="roundRect">
              <a:avLst>
                <a:gd name="adj" fmla="val 0"/>
              </a:avLst>
            </a:prstGeom>
            <a:solidFill>
              <a:srgbClr val="F28877"/>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2000">
                  <a:solidFill>
                    <a:schemeClr val="lt1"/>
                  </a:solidFill>
                  <a:effectLst/>
                  <a:latin typeface="+mn-lt"/>
                  <a:ea typeface="+mn-ea"/>
                  <a:cs typeface="+mn-cs"/>
                </a:rPr>
                <a:t>Total Profit</a:t>
              </a:r>
              <a:endParaRPr lang="en-IN" sz="2000">
                <a:solidFill>
                  <a:schemeClr val="lt1"/>
                </a:solidFill>
                <a:effectLst/>
                <a:latin typeface="+mn-lt"/>
                <a:ea typeface="+mn-ea"/>
                <a:cs typeface="+mn-cs"/>
              </a:endParaRPr>
            </a:p>
          </xdr:txBody>
        </xdr:sp>
      </xdr:grpSp>
      <xdr:grpSp>
        <xdr:nvGrpSpPr>
          <xdr:cNvPr id="82" name="Group 81">
            <a:extLst>
              <a:ext uri="{FF2B5EF4-FFF2-40B4-BE49-F238E27FC236}">
                <a16:creationId xmlns:a16="http://schemas.microsoft.com/office/drawing/2014/main" id="{499A4CC7-C99D-834D-8C78-9E34B128DB77}"/>
              </a:ext>
            </a:extLst>
          </xdr:cNvPr>
          <xdr:cNvGrpSpPr/>
        </xdr:nvGrpSpPr>
        <xdr:grpSpPr>
          <a:xfrm>
            <a:off x="457203" y="838200"/>
            <a:ext cx="2120897" cy="952500"/>
            <a:chOff x="-4971" y="0"/>
            <a:chExt cx="1208007" cy="720090"/>
          </a:xfrm>
          <a:effectLst>
            <a:outerShdw blurRad="63500" sx="102000" sy="102000" algn="ctr" rotWithShape="0">
              <a:prstClr val="black">
                <a:alpha val="9700"/>
              </a:prstClr>
            </a:outerShdw>
          </a:effectLst>
        </xdr:grpSpPr>
        <xdr:sp macro="" textlink="">
          <xdr:nvSpPr>
            <xdr:cNvPr id="83" name="Rounded Rectangle 82">
              <a:extLst>
                <a:ext uri="{FF2B5EF4-FFF2-40B4-BE49-F238E27FC236}">
                  <a16:creationId xmlns:a16="http://schemas.microsoft.com/office/drawing/2014/main" id="{347B4622-E7C7-C1BE-11D2-9B42F047EF7A}"/>
                </a:ext>
              </a:extLst>
            </xdr:cNvPr>
            <xdr:cNvSpPr/>
          </xdr:nvSpPr>
          <xdr:spPr>
            <a:xfrm>
              <a:off x="2309" y="0"/>
              <a:ext cx="1200727" cy="720090"/>
            </a:xfrm>
            <a:prstGeom prst="roundRect">
              <a:avLst>
                <a:gd name="adj"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84" name="Rounded Rectangle 83">
              <a:extLst>
                <a:ext uri="{FF2B5EF4-FFF2-40B4-BE49-F238E27FC236}">
                  <a16:creationId xmlns:a16="http://schemas.microsoft.com/office/drawing/2014/main" id="{5D60896F-5321-AE52-1C7B-22D9C7DC5B06}"/>
                </a:ext>
              </a:extLst>
            </xdr:cNvPr>
            <xdr:cNvSpPr/>
          </xdr:nvSpPr>
          <xdr:spPr>
            <a:xfrm>
              <a:off x="-4971" y="1154"/>
              <a:ext cx="1208007" cy="295133"/>
            </a:xfrm>
            <a:prstGeom prst="roundRect">
              <a:avLst>
                <a:gd name="adj" fmla="val 0"/>
              </a:avLst>
            </a:prstGeom>
            <a:solidFill>
              <a:srgbClr val="F28877"/>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1400" kern="100">
                  <a:solidFill>
                    <a:srgbClr val="FFFFFF"/>
                  </a:solidFill>
                  <a:effectLst/>
                  <a:ea typeface="Calibri" panose="020F0502020204030204" pitchFamily="34" charset="0"/>
                  <a:cs typeface="Times New Roman" panose="02020603050405020304" pitchFamily="18" charset="0"/>
                </a:rPr>
                <a:t>Total</a:t>
              </a:r>
              <a:r>
                <a:rPr lang="en-US" sz="1400" kern="100" baseline="0">
                  <a:solidFill>
                    <a:srgbClr val="FFFFFF"/>
                  </a:solidFill>
                  <a:effectLst/>
                  <a:ea typeface="Calibri" panose="020F0502020204030204" pitchFamily="34" charset="0"/>
                  <a:cs typeface="Times New Roman" panose="02020603050405020304" pitchFamily="18" charset="0"/>
                </a:rPr>
                <a:t> Sales</a:t>
              </a:r>
              <a:endParaRPr lang="en-IN" sz="1600" kern="100">
                <a:effectLst/>
                <a:ea typeface="Calibri" panose="020F0502020204030204" pitchFamily="34" charset="0"/>
                <a:cs typeface="Times New Roman" panose="02020603050405020304" pitchFamily="18" charset="0"/>
              </a:endParaRPr>
            </a:p>
          </xdr:txBody>
        </xdr:sp>
      </xdr:grpSp>
      <xdr:grpSp>
        <xdr:nvGrpSpPr>
          <xdr:cNvPr id="85" name="Group 84">
            <a:extLst>
              <a:ext uri="{FF2B5EF4-FFF2-40B4-BE49-F238E27FC236}">
                <a16:creationId xmlns:a16="http://schemas.microsoft.com/office/drawing/2014/main" id="{E540A7FF-50A0-E84B-BA8E-22FF38078B25}"/>
              </a:ext>
            </a:extLst>
          </xdr:cNvPr>
          <xdr:cNvGrpSpPr/>
        </xdr:nvGrpSpPr>
        <xdr:grpSpPr>
          <a:xfrm>
            <a:off x="2867421" y="863600"/>
            <a:ext cx="1636001" cy="952500"/>
            <a:chOff x="2309" y="0"/>
            <a:chExt cx="1200727" cy="720090"/>
          </a:xfrm>
          <a:effectLst>
            <a:outerShdw blurRad="63500" sx="102000" sy="102000" algn="ctr" rotWithShape="0">
              <a:prstClr val="black">
                <a:alpha val="9700"/>
              </a:prstClr>
            </a:outerShdw>
          </a:effectLst>
        </xdr:grpSpPr>
        <xdr:sp macro="" textlink="">
          <xdr:nvSpPr>
            <xdr:cNvPr id="86" name="Rounded Rectangle 85">
              <a:extLst>
                <a:ext uri="{FF2B5EF4-FFF2-40B4-BE49-F238E27FC236}">
                  <a16:creationId xmlns:a16="http://schemas.microsoft.com/office/drawing/2014/main" id="{63F4CA6C-D325-A7CE-4ABF-7B89A9CC8CB6}"/>
                </a:ext>
              </a:extLst>
            </xdr:cNvPr>
            <xdr:cNvSpPr/>
          </xdr:nvSpPr>
          <xdr:spPr>
            <a:xfrm>
              <a:off x="2309" y="0"/>
              <a:ext cx="1200727" cy="720090"/>
            </a:xfrm>
            <a:prstGeom prst="roundRect">
              <a:avLst>
                <a:gd name="adj" fmla="val 7976"/>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87" name="Rounded Rectangle 86">
              <a:extLst>
                <a:ext uri="{FF2B5EF4-FFF2-40B4-BE49-F238E27FC236}">
                  <a16:creationId xmlns:a16="http://schemas.microsoft.com/office/drawing/2014/main" id="{16E77627-0724-9A65-4B20-6BE94262989F}"/>
                </a:ext>
              </a:extLst>
            </xdr:cNvPr>
            <xdr:cNvSpPr/>
          </xdr:nvSpPr>
          <xdr:spPr>
            <a:xfrm>
              <a:off x="4349" y="1154"/>
              <a:ext cx="1198687" cy="295133"/>
            </a:xfrm>
            <a:prstGeom prst="roundRect">
              <a:avLst>
                <a:gd name="adj" fmla="val 0"/>
              </a:avLst>
            </a:prstGeom>
            <a:solidFill>
              <a:srgbClr val="D2E3F4"/>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1400" kern="100">
                  <a:solidFill>
                    <a:sysClr val="windowText" lastClr="000000"/>
                  </a:solidFill>
                  <a:effectLst/>
                  <a:ea typeface="Calibri" panose="020F0502020204030204" pitchFamily="34" charset="0"/>
                  <a:cs typeface="Times New Roman" panose="02020603050405020304" pitchFamily="18" charset="0"/>
                </a:rPr>
                <a:t>Total</a:t>
              </a:r>
              <a:r>
                <a:rPr lang="en-US" sz="1400" kern="100" baseline="0">
                  <a:solidFill>
                    <a:sysClr val="windowText" lastClr="000000"/>
                  </a:solidFill>
                  <a:effectLst/>
                  <a:ea typeface="Calibri" panose="020F0502020204030204" pitchFamily="34" charset="0"/>
                  <a:cs typeface="Times New Roman" panose="02020603050405020304" pitchFamily="18" charset="0"/>
                </a:rPr>
                <a:t> Orders</a:t>
              </a:r>
              <a:endParaRPr lang="en-IN" sz="1600" kern="100">
                <a:solidFill>
                  <a:sysClr val="windowText" lastClr="000000"/>
                </a:solidFill>
                <a:effectLst/>
                <a:ea typeface="Calibri" panose="020F0502020204030204" pitchFamily="34" charset="0"/>
                <a:cs typeface="Times New Roman" panose="02020603050405020304" pitchFamily="18" charset="0"/>
              </a:endParaRPr>
            </a:p>
          </xdr:txBody>
        </xdr:sp>
      </xdr:grpSp>
      <xdr:grpSp>
        <xdr:nvGrpSpPr>
          <xdr:cNvPr id="88" name="Group 87">
            <a:extLst>
              <a:ext uri="{FF2B5EF4-FFF2-40B4-BE49-F238E27FC236}">
                <a16:creationId xmlns:a16="http://schemas.microsoft.com/office/drawing/2014/main" id="{E3ED74A0-9A00-D740-AF40-8897814F9F95}"/>
              </a:ext>
            </a:extLst>
          </xdr:cNvPr>
          <xdr:cNvGrpSpPr/>
        </xdr:nvGrpSpPr>
        <xdr:grpSpPr>
          <a:xfrm>
            <a:off x="4686302" y="863600"/>
            <a:ext cx="1645920" cy="952500"/>
            <a:chOff x="-4971" y="0"/>
            <a:chExt cx="1208007" cy="720090"/>
          </a:xfrm>
          <a:effectLst>
            <a:outerShdw blurRad="63500" sx="102000" sy="102000" algn="ctr" rotWithShape="0">
              <a:prstClr val="black">
                <a:alpha val="9700"/>
              </a:prstClr>
            </a:outerShdw>
          </a:effectLst>
        </xdr:grpSpPr>
        <xdr:sp macro="" textlink="">
          <xdr:nvSpPr>
            <xdr:cNvPr id="89" name="Rounded Rectangle 88">
              <a:extLst>
                <a:ext uri="{FF2B5EF4-FFF2-40B4-BE49-F238E27FC236}">
                  <a16:creationId xmlns:a16="http://schemas.microsoft.com/office/drawing/2014/main" id="{7A372F6C-349D-E541-8602-6A1C8DE8134E}"/>
                </a:ext>
              </a:extLst>
            </xdr:cNvPr>
            <xdr:cNvSpPr/>
          </xdr:nvSpPr>
          <xdr:spPr>
            <a:xfrm>
              <a:off x="2309" y="0"/>
              <a:ext cx="1200727" cy="720090"/>
            </a:xfrm>
            <a:prstGeom prst="roundRect">
              <a:avLst>
                <a:gd name="adj" fmla="val 9211"/>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90" name="Rounded Rectangle 89">
              <a:extLst>
                <a:ext uri="{FF2B5EF4-FFF2-40B4-BE49-F238E27FC236}">
                  <a16:creationId xmlns:a16="http://schemas.microsoft.com/office/drawing/2014/main" id="{03E59EF8-9027-AA37-4DB0-2AFA9EC369E9}"/>
                </a:ext>
              </a:extLst>
            </xdr:cNvPr>
            <xdr:cNvSpPr/>
          </xdr:nvSpPr>
          <xdr:spPr>
            <a:xfrm>
              <a:off x="-4971" y="1154"/>
              <a:ext cx="1208007" cy="295133"/>
            </a:xfrm>
            <a:prstGeom prst="roundRect">
              <a:avLst>
                <a:gd name="adj" fmla="val 0"/>
              </a:avLst>
            </a:prstGeom>
            <a:solidFill>
              <a:srgbClr val="589F77"/>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1400" kern="100">
                  <a:solidFill>
                    <a:srgbClr val="FFFFFF"/>
                  </a:solidFill>
                  <a:effectLst/>
                  <a:ea typeface="Calibri" panose="020F0502020204030204" pitchFamily="34" charset="0"/>
                  <a:cs typeface="Times New Roman" panose="02020603050405020304" pitchFamily="18" charset="0"/>
                </a:rPr>
                <a:t>Total</a:t>
              </a:r>
              <a:r>
                <a:rPr lang="en-US" sz="1400" kern="100" baseline="0">
                  <a:solidFill>
                    <a:srgbClr val="FFFFFF"/>
                  </a:solidFill>
                  <a:effectLst/>
                  <a:ea typeface="Calibri" panose="020F0502020204030204" pitchFamily="34" charset="0"/>
                  <a:cs typeface="Times New Roman" panose="02020603050405020304" pitchFamily="18" charset="0"/>
                </a:rPr>
                <a:t> Returns</a:t>
              </a:r>
              <a:endParaRPr lang="en-IN" sz="1600" kern="100">
                <a:effectLst/>
                <a:ea typeface="Calibri" panose="020F0502020204030204" pitchFamily="34" charset="0"/>
                <a:cs typeface="Times New Roman" panose="02020603050405020304" pitchFamily="18" charset="0"/>
              </a:endParaRPr>
            </a:p>
          </xdr:txBody>
        </xdr:sp>
      </xdr:grpSp>
      <xdr:grpSp>
        <xdr:nvGrpSpPr>
          <xdr:cNvPr id="91" name="Group 90">
            <a:extLst>
              <a:ext uri="{FF2B5EF4-FFF2-40B4-BE49-F238E27FC236}">
                <a16:creationId xmlns:a16="http://schemas.microsoft.com/office/drawing/2014/main" id="{A80D5134-7168-9B41-84DE-B32BB34D3BEA}"/>
              </a:ext>
            </a:extLst>
          </xdr:cNvPr>
          <xdr:cNvGrpSpPr/>
        </xdr:nvGrpSpPr>
        <xdr:grpSpPr>
          <a:xfrm>
            <a:off x="6502402" y="863600"/>
            <a:ext cx="1645920" cy="952500"/>
            <a:chOff x="-4971" y="0"/>
            <a:chExt cx="1208007" cy="720090"/>
          </a:xfrm>
          <a:effectLst>
            <a:outerShdw blurRad="63500" sx="102000" sy="102000" algn="ctr" rotWithShape="0">
              <a:prstClr val="black">
                <a:alpha val="9700"/>
              </a:prstClr>
            </a:outerShdw>
          </a:effectLst>
        </xdr:grpSpPr>
        <xdr:sp macro="" textlink="">
          <xdr:nvSpPr>
            <xdr:cNvPr id="92" name="Rounded Rectangle 91">
              <a:extLst>
                <a:ext uri="{FF2B5EF4-FFF2-40B4-BE49-F238E27FC236}">
                  <a16:creationId xmlns:a16="http://schemas.microsoft.com/office/drawing/2014/main" id="{549C766F-09BB-C9AD-93EB-F8FF2950A9C5}"/>
                </a:ext>
              </a:extLst>
            </xdr:cNvPr>
            <xdr:cNvSpPr/>
          </xdr:nvSpPr>
          <xdr:spPr>
            <a:xfrm>
              <a:off x="2309" y="0"/>
              <a:ext cx="1200727" cy="720090"/>
            </a:xfrm>
            <a:prstGeom prst="roundRect">
              <a:avLst>
                <a:gd name="adj" fmla="val 6742"/>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93" name="Rounded Rectangle 92">
              <a:extLst>
                <a:ext uri="{FF2B5EF4-FFF2-40B4-BE49-F238E27FC236}">
                  <a16:creationId xmlns:a16="http://schemas.microsoft.com/office/drawing/2014/main" id="{7A827F64-B252-033C-1CB0-D9BF116ED2E0}"/>
                </a:ext>
              </a:extLst>
            </xdr:cNvPr>
            <xdr:cNvSpPr/>
          </xdr:nvSpPr>
          <xdr:spPr>
            <a:xfrm>
              <a:off x="-4971" y="1154"/>
              <a:ext cx="1208007" cy="292216"/>
            </a:xfrm>
            <a:prstGeom prst="roundRect">
              <a:avLst>
                <a:gd name="adj" fmla="val 0"/>
              </a:avLst>
            </a:prstGeom>
            <a:solidFill>
              <a:srgbClr val="469EBC"/>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1400" kern="100">
                  <a:solidFill>
                    <a:srgbClr val="FFFFFF"/>
                  </a:solidFill>
                  <a:effectLst/>
                  <a:ea typeface="Calibri" panose="020F0502020204030204" pitchFamily="34" charset="0"/>
                  <a:cs typeface="Times New Roman" panose="02020603050405020304" pitchFamily="18" charset="0"/>
                </a:rPr>
                <a:t>Total</a:t>
              </a:r>
              <a:r>
                <a:rPr lang="en-US" sz="1400" kern="100" baseline="0">
                  <a:solidFill>
                    <a:srgbClr val="FFFFFF"/>
                  </a:solidFill>
                  <a:effectLst/>
                  <a:ea typeface="Calibri" panose="020F0502020204030204" pitchFamily="34" charset="0"/>
                  <a:cs typeface="Times New Roman" panose="02020603050405020304" pitchFamily="18" charset="0"/>
                </a:rPr>
                <a:t> Return Orders</a:t>
              </a:r>
              <a:endParaRPr lang="en-IN" sz="1600" kern="100">
                <a:effectLst/>
                <a:ea typeface="Calibri" panose="020F0502020204030204" pitchFamily="34" charset="0"/>
                <a:cs typeface="Times New Roman" panose="02020603050405020304" pitchFamily="18" charset="0"/>
              </a:endParaRPr>
            </a:p>
          </xdr:txBody>
        </xdr:sp>
      </xdr:grpSp>
      <xdr:grpSp>
        <xdr:nvGrpSpPr>
          <xdr:cNvPr id="94" name="Group 93">
            <a:extLst>
              <a:ext uri="{FF2B5EF4-FFF2-40B4-BE49-F238E27FC236}">
                <a16:creationId xmlns:a16="http://schemas.microsoft.com/office/drawing/2014/main" id="{75EC8E05-38A9-7B44-A181-53A71EEB35F1}"/>
              </a:ext>
            </a:extLst>
          </xdr:cNvPr>
          <xdr:cNvGrpSpPr/>
        </xdr:nvGrpSpPr>
        <xdr:grpSpPr>
          <a:xfrm>
            <a:off x="8318502" y="863600"/>
            <a:ext cx="1645920" cy="952500"/>
            <a:chOff x="-4971" y="0"/>
            <a:chExt cx="1208007" cy="720090"/>
          </a:xfrm>
          <a:effectLst>
            <a:outerShdw blurRad="63500" sx="102000" sy="102000" algn="ctr" rotWithShape="0">
              <a:prstClr val="black">
                <a:alpha val="9700"/>
              </a:prstClr>
            </a:outerShdw>
          </a:effectLst>
        </xdr:grpSpPr>
        <xdr:sp macro="" textlink="">
          <xdr:nvSpPr>
            <xdr:cNvPr id="95" name="Rounded Rectangle 94">
              <a:extLst>
                <a:ext uri="{FF2B5EF4-FFF2-40B4-BE49-F238E27FC236}">
                  <a16:creationId xmlns:a16="http://schemas.microsoft.com/office/drawing/2014/main" id="{F66672FC-E6BC-CED0-5931-BDCE41E2ED69}"/>
                </a:ext>
              </a:extLst>
            </xdr:cNvPr>
            <xdr:cNvSpPr/>
          </xdr:nvSpPr>
          <xdr:spPr>
            <a:xfrm>
              <a:off x="2309" y="0"/>
              <a:ext cx="1200727" cy="720090"/>
            </a:xfrm>
            <a:prstGeom prst="roundRect">
              <a:avLst>
                <a:gd name="adj" fmla="val 7977"/>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96" name="Rounded Rectangle 95">
              <a:extLst>
                <a:ext uri="{FF2B5EF4-FFF2-40B4-BE49-F238E27FC236}">
                  <a16:creationId xmlns:a16="http://schemas.microsoft.com/office/drawing/2014/main" id="{95BDD919-1505-7C6B-9CD2-536B18BE4861}"/>
                </a:ext>
              </a:extLst>
            </xdr:cNvPr>
            <xdr:cNvSpPr/>
          </xdr:nvSpPr>
          <xdr:spPr>
            <a:xfrm>
              <a:off x="-4971" y="1154"/>
              <a:ext cx="1208007" cy="295133"/>
            </a:xfrm>
            <a:prstGeom prst="roundRect">
              <a:avLst>
                <a:gd name="adj" fmla="val 0"/>
              </a:avLst>
            </a:prstGeom>
            <a:solidFill>
              <a:srgbClr val="548CC8"/>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sz="1400">
                  <a:solidFill>
                    <a:schemeClr val="lt1"/>
                  </a:solidFill>
                  <a:effectLst/>
                  <a:latin typeface="+mn-lt"/>
                  <a:ea typeface="+mn-ea"/>
                  <a:cs typeface="+mn-cs"/>
                </a:rPr>
                <a:t>Total Bank Credit</a:t>
              </a:r>
              <a:endParaRPr lang="en-IN" sz="1400">
                <a:solidFill>
                  <a:schemeClr val="lt1"/>
                </a:solidFill>
                <a:effectLst/>
                <a:latin typeface="+mn-lt"/>
                <a:ea typeface="+mn-ea"/>
                <a:cs typeface="+mn-cs"/>
              </a:endParaRPr>
            </a:p>
          </xdr:txBody>
        </xdr:sp>
      </xdr:grpSp>
      <xdr:grpSp>
        <xdr:nvGrpSpPr>
          <xdr:cNvPr id="97" name="Group 96">
            <a:extLst>
              <a:ext uri="{FF2B5EF4-FFF2-40B4-BE49-F238E27FC236}">
                <a16:creationId xmlns:a16="http://schemas.microsoft.com/office/drawing/2014/main" id="{B9C11264-F04E-5041-8917-65DA23AF572E}"/>
              </a:ext>
            </a:extLst>
          </xdr:cNvPr>
          <xdr:cNvGrpSpPr/>
        </xdr:nvGrpSpPr>
        <xdr:grpSpPr>
          <a:xfrm>
            <a:off x="10134602" y="863600"/>
            <a:ext cx="1645920" cy="952500"/>
            <a:chOff x="-4971" y="0"/>
            <a:chExt cx="1208007" cy="720090"/>
          </a:xfrm>
          <a:effectLst>
            <a:outerShdw blurRad="63500" sx="102000" sy="102000" algn="ctr" rotWithShape="0">
              <a:prstClr val="black">
                <a:alpha val="9700"/>
              </a:prstClr>
            </a:outerShdw>
          </a:effectLst>
        </xdr:grpSpPr>
        <xdr:sp macro="" textlink="">
          <xdr:nvSpPr>
            <xdr:cNvPr id="98" name="Rounded Rectangle 97">
              <a:extLst>
                <a:ext uri="{FF2B5EF4-FFF2-40B4-BE49-F238E27FC236}">
                  <a16:creationId xmlns:a16="http://schemas.microsoft.com/office/drawing/2014/main" id="{0E7A5FA4-2BFD-2692-E9AB-62E8A266C58A}"/>
                </a:ext>
              </a:extLst>
            </xdr:cNvPr>
            <xdr:cNvSpPr/>
          </xdr:nvSpPr>
          <xdr:spPr>
            <a:xfrm>
              <a:off x="2309" y="0"/>
              <a:ext cx="1200727" cy="720090"/>
            </a:xfrm>
            <a:prstGeom prst="roundRect">
              <a:avLst>
                <a:gd name="adj" fmla="val 7977"/>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99" name="Rounded Rectangle 98">
              <a:extLst>
                <a:ext uri="{FF2B5EF4-FFF2-40B4-BE49-F238E27FC236}">
                  <a16:creationId xmlns:a16="http://schemas.microsoft.com/office/drawing/2014/main" id="{F3E2E36F-9028-78E8-FF0A-52F3FC72D699}"/>
                </a:ext>
              </a:extLst>
            </xdr:cNvPr>
            <xdr:cNvSpPr/>
          </xdr:nvSpPr>
          <xdr:spPr>
            <a:xfrm>
              <a:off x="-4971" y="1154"/>
              <a:ext cx="1208007" cy="295133"/>
            </a:xfrm>
            <a:prstGeom prst="roundRect">
              <a:avLst>
                <a:gd name="adj" fmla="val 0"/>
              </a:avLst>
            </a:prstGeom>
            <a:solidFill>
              <a:srgbClr val="469EBC"/>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r>
                <a:rPr lang="en-US" sz="1400">
                  <a:solidFill>
                    <a:schemeClr val="lt1"/>
                  </a:solidFill>
                  <a:effectLst/>
                  <a:latin typeface="+mn-lt"/>
                  <a:ea typeface="+mn-ea"/>
                  <a:cs typeface="+mn-cs"/>
                </a:rPr>
                <a:t>Total Commission</a:t>
              </a:r>
              <a:endParaRPr lang="en-IN" sz="1400">
                <a:solidFill>
                  <a:schemeClr val="lt1"/>
                </a:solidFill>
                <a:effectLst/>
                <a:latin typeface="+mn-lt"/>
                <a:ea typeface="+mn-ea"/>
                <a:cs typeface="+mn-cs"/>
              </a:endParaRPr>
            </a:p>
          </xdr:txBody>
        </xdr:sp>
      </xdr:grpSp>
      <xdr:grpSp>
        <xdr:nvGrpSpPr>
          <xdr:cNvPr id="103" name="Group 102">
            <a:extLst>
              <a:ext uri="{FF2B5EF4-FFF2-40B4-BE49-F238E27FC236}">
                <a16:creationId xmlns:a16="http://schemas.microsoft.com/office/drawing/2014/main" id="{D754B2E3-A0B4-824C-AB6B-BCBA9A24654E}"/>
              </a:ext>
            </a:extLst>
          </xdr:cNvPr>
          <xdr:cNvGrpSpPr/>
        </xdr:nvGrpSpPr>
        <xdr:grpSpPr>
          <a:xfrm>
            <a:off x="11963402" y="876300"/>
            <a:ext cx="1645920" cy="952500"/>
            <a:chOff x="-4971" y="0"/>
            <a:chExt cx="1208007" cy="720090"/>
          </a:xfrm>
          <a:effectLst>
            <a:outerShdw blurRad="63500" sx="102000" sy="102000" algn="ctr" rotWithShape="0">
              <a:prstClr val="black">
                <a:alpha val="9700"/>
              </a:prstClr>
            </a:outerShdw>
          </a:effectLst>
        </xdr:grpSpPr>
        <xdr:sp macro="" textlink="">
          <xdr:nvSpPr>
            <xdr:cNvPr id="104" name="Rounded Rectangle 103">
              <a:extLst>
                <a:ext uri="{FF2B5EF4-FFF2-40B4-BE49-F238E27FC236}">
                  <a16:creationId xmlns:a16="http://schemas.microsoft.com/office/drawing/2014/main" id="{F2E25DE8-4F49-AD0A-3A32-397F825A18C8}"/>
                </a:ext>
              </a:extLst>
            </xdr:cNvPr>
            <xdr:cNvSpPr/>
          </xdr:nvSpPr>
          <xdr:spPr>
            <a:xfrm>
              <a:off x="2309" y="0"/>
              <a:ext cx="1200727" cy="720090"/>
            </a:xfrm>
            <a:prstGeom prst="roundRect">
              <a:avLst>
                <a:gd name="adj" fmla="val 7977"/>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105" name="Rounded Rectangle 104">
              <a:extLst>
                <a:ext uri="{FF2B5EF4-FFF2-40B4-BE49-F238E27FC236}">
                  <a16:creationId xmlns:a16="http://schemas.microsoft.com/office/drawing/2014/main" id="{EDA2C007-AAEF-E0AF-7421-1B4956410649}"/>
                </a:ext>
              </a:extLst>
            </xdr:cNvPr>
            <xdr:cNvSpPr/>
          </xdr:nvSpPr>
          <xdr:spPr>
            <a:xfrm>
              <a:off x="-4971" y="1154"/>
              <a:ext cx="1208007" cy="295133"/>
            </a:xfrm>
            <a:prstGeom prst="roundRect">
              <a:avLst>
                <a:gd name="adj" fmla="val 0"/>
              </a:avLst>
            </a:prstGeom>
            <a:solidFill>
              <a:srgbClr val="D2E3F4"/>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US" sz="1400">
                  <a:solidFill>
                    <a:sysClr val="windowText" lastClr="000000"/>
                  </a:solidFill>
                  <a:effectLst/>
                  <a:latin typeface="+mn-lt"/>
                  <a:ea typeface="+mn-ea"/>
                  <a:cs typeface="+mn-cs"/>
                </a:rPr>
                <a:t>Total Product Cost</a:t>
              </a:r>
              <a:endParaRPr lang="en-IN" sz="1400">
                <a:solidFill>
                  <a:sysClr val="windowText" lastClr="000000"/>
                </a:solidFill>
                <a:effectLst/>
                <a:latin typeface="+mn-lt"/>
                <a:ea typeface="+mn-ea"/>
                <a:cs typeface="+mn-cs"/>
              </a:endParaRPr>
            </a:p>
          </xdr:txBody>
        </xdr:sp>
      </xdr:grpSp>
      <xdr:sp macro="" textlink="Pivot_Analysis!B13">
        <xdr:nvSpPr>
          <xdr:cNvPr id="112" name="TextBox 111">
            <a:extLst>
              <a:ext uri="{FF2B5EF4-FFF2-40B4-BE49-F238E27FC236}">
                <a16:creationId xmlns:a16="http://schemas.microsoft.com/office/drawing/2014/main" id="{1D9E565D-6E00-5E41-9C0D-D2091C588C28}"/>
              </a:ext>
            </a:extLst>
          </xdr:cNvPr>
          <xdr:cNvSpPr txBox="1"/>
        </xdr:nvSpPr>
        <xdr:spPr>
          <a:xfrm>
            <a:off x="10134600" y="1282700"/>
            <a:ext cx="1651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907324-44AC-F94E-9F38-9FEF8F20F0B3}" type="TxLink">
              <a:rPr lang="en-US" sz="1600" b="0" i="0" u="none" strike="noStrike">
                <a:solidFill>
                  <a:srgbClr val="000000"/>
                </a:solidFill>
                <a:latin typeface="Calibri"/>
                <a:cs typeface="Calibri"/>
              </a:rPr>
              <a:pPr algn="ctr"/>
              <a:t>973258</a:t>
            </a:fld>
            <a:endParaRPr lang="en-GB" sz="1800"/>
          </a:p>
        </xdr:txBody>
      </xdr:sp>
      <xdr:sp macro="" textlink="Pivot_Analysis!C13">
        <xdr:nvSpPr>
          <xdr:cNvPr id="114" name="TextBox 113">
            <a:extLst>
              <a:ext uri="{FF2B5EF4-FFF2-40B4-BE49-F238E27FC236}">
                <a16:creationId xmlns:a16="http://schemas.microsoft.com/office/drawing/2014/main" id="{779C63F3-4F26-834B-AA06-0670DB70DAB2}"/>
              </a:ext>
            </a:extLst>
          </xdr:cNvPr>
          <xdr:cNvSpPr txBox="1"/>
        </xdr:nvSpPr>
        <xdr:spPr>
          <a:xfrm>
            <a:off x="11963403" y="1295400"/>
            <a:ext cx="166369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6E891F-B105-8646-A143-5942291BA69B}" type="TxLink">
              <a:rPr lang="en-US" sz="1600" b="0" i="0" u="none" strike="noStrike">
                <a:solidFill>
                  <a:srgbClr val="000000"/>
                </a:solidFill>
                <a:latin typeface="Calibri"/>
                <a:cs typeface="Calibri"/>
              </a:rPr>
              <a:pPr algn="ctr"/>
              <a:t>870720</a:t>
            </a:fld>
            <a:endParaRPr lang="en-GB" sz="1800"/>
          </a:p>
        </xdr:txBody>
      </xdr:sp>
      <xdr:sp macro="" textlink="Pivot_Analysis!D13">
        <xdr:nvSpPr>
          <xdr:cNvPr id="115" name="TextBox 114">
            <a:extLst>
              <a:ext uri="{FF2B5EF4-FFF2-40B4-BE49-F238E27FC236}">
                <a16:creationId xmlns:a16="http://schemas.microsoft.com/office/drawing/2014/main" id="{E697727E-7DE0-EC47-B49E-149E1EC50C4F}"/>
              </a:ext>
            </a:extLst>
          </xdr:cNvPr>
          <xdr:cNvSpPr txBox="1"/>
        </xdr:nvSpPr>
        <xdr:spPr>
          <a:xfrm>
            <a:off x="13781716" y="1282700"/>
            <a:ext cx="274098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E60E4D-320E-2740-89C9-5598D8536F06}" type="TxLink">
              <a:rPr lang="en-US" sz="1600" b="0" i="0" u="none" strike="noStrike">
                <a:solidFill>
                  <a:srgbClr val="000000"/>
                </a:solidFill>
                <a:latin typeface="Calibri"/>
                <a:cs typeface="Calibri"/>
              </a:rPr>
              <a:pPr algn="ctr"/>
              <a:t>842797.03</a:t>
            </a:fld>
            <a:endParaRPr lang="en-GB" sz="1800"/>
          </a:p>
        </xdr:txBody>
      </xdr:sp>
      <xdr:sp macro="" textlink="Pivot_Analysis!A13">
        <xdr:nvSpPr>
          <xdr:cNvPr id="116" name="TextBox 115">
            <a:extLst>
              <a:ext uri="{FF2B5EF4-FFF2-40B4-BE49-F238E27FC236}">
                <a16:creationId xmlns:a16="http://schemas.microsoft.com/office/drawing/2014/main" id="{A264D4E1-325F-5544-A8C2-933705FC7FCD}"/>
              </a:ext>
            </a:extLst>
          </xdr:cNvPr>
          <xdr:cNvSpPr txBox="1"/>
        </xdr:nvSpPr>
        <xdr:spPr>
          <a:xfrm>
            <a:off x="8318503" y="1295400"/>
            <a:ext cx="163829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8BDC3-50FD-E544-85CB-5C926A77B676}" type="TxLink">
              <a:rPr lang="en-US" sz="1600" b="0" i="0" u="none" strike="noStrike">
                <a:solidFill>
                  <a:srgbClr val="000000"/>
                </a:solidFill>
                <a:latin typeface="Calibri"/>
                <a:cs typeface="Calibri"/>
              </a:rPr>
              <a:pPr algn="ctr"/>
              <a:t>1350637.03</a:t>
            </a:fld>
            <a:endParaRPr lang="en-GB" sz="1800"/>
          </a:p>
        </xdr:txBody>
      </xdr:sp>
      <xdr:sp macro="" textlink="Pivot_Analysis!F8">
        <xdr:nvSpPr>
          <xdr:cNvPr id="117" name="TextBox 116">
            <a:extLst>
              <a:ext uri="{FF2B5EF4-FFF2-40B4-BE49-F238E27FC236}">
                <a16:creationId xmlns:a16="http://schemas.microsoft.com/office/drawing/2014/main" id="{D384273E-727C-5145-954C-88FE55180A40}"/>
              </a:ext>
            </a:extLst>
          </xdr:cNvPr>
          <xdr:cNvSpPr txBox="1"/>
        </xdr:nvSpPr>
        <xdr:spPr>
          <a:xfrm>
            <a:off x="6502403" y="1282700"/>
            <a:ext cx="163829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23C39E-FB66-9141-A4DA-ABB48D7BD70C}" type="TxLink">
              <a:rPr lang="en-US" sz="1600" b="0" i="0" u="none" strike="noStrike">
                <a:solidFill>
                  <a:srgbClr val="000000"/>
                </a:solidFill>
                <a:latin typeface="Calibri"/>
                <a:cs typeface="Calibri"/>
              </a:rPr>
              <a:pPr algn="ctr"/>
              <a:t>1167</a:t>
            </a:fld>
            <a:endParaRPr lang="en-GB" sz="1800"/>
          </a:p>
        </xdr:txBody>
      </xdr:sp>
      <xdr:sp macro="" textlink="Pivot_Analysis!E8">
        <xdr:nvSpPr>
          <xdr:cNvPr id="118" name="TextBox 117">
            <a:extLst>
              <a:ext uri="{FF2B5EF4-FFF2-40B4-BE49-F238E27FC236}">
                <a16:creationId xmlns:a16="http://schemas.microsoft.com/office/drawing/2014/main" id="{C52EA09E-1FA7-8E4F-9B82-299F31344EC8}"/>
              </a:ext>
            </a:extLst>
          </xdr:cNvPr>
          <xdr:cNvSpPr txBox="1"/>
        </xdr:nvSpPr>
        <xdr:spPr>
          <a:xfrm>
            <a:off x="4686303" y="1270000"/>
            <a:ext cx="140970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AB55F4-7687-9E4C-A462-186BDF75871E}" type="TxLink">
              <a:rPr lang="en-US" sz="1600" b="0" i="0" u="none" strike="noStrike">
                <a:solidFill>
                  <a:srgbClr val="000000"/>
                </a:solidFill>
                <a:latin typeface="Calibri"/>
                <a:cs typeface="Calibri"/>
              </a:rPr>
              <a:pPr algn="ctr"/>
              <a:t>-649455.17</a:t>
            </a:fld>
            <a:endParaRPr lang="en-GB" sz="1800"/>
          </a:p>
        </xdr:txBody>
      </xdr:sp>
      <xdr:sp macro="" textlink="Pivot_Analysis!B5">
        <xdr:nvSpPr>
          <xdr:cNvPr id="119" name="TextBox 118">
            <a:extLst>
              <a:ext uri="{FF2B5EF4-FFF2-40B4-BE49-F238E27FC236}">
                <a16:creationId xmlns:a16="http://schemas.microsoft.com/office/drawing/2014/main" id="{C9630415-953B-CD43-B163-2D2F565EC1A1}"/>
              </a:ext>
            </a:extLst>
          </xdr:cNvPr>
          <xdr:cNvSpPr txBox="1"/>
        </xdr:nvSpPr>
        <xdr:spPr>
          <a:xfrm>
            <a:off x="2857503" y="1295400"/>
            <a:ext cx="163829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174FE1-C3AD-444F-A96C-0188B2F61907}" type="TxLink">
              <a:rPr lang="en-US" sz="1600" b="0" i="0" u="none" strike="noStrike">
                <a:solidFill>
                  <a:srgbClr val="000000"/>
                </a:solidFill>
                <a:latin typeface="Calibri"/>
                <a:cs typeface="Calibri"/>
              </a:rPr>
              <a:pPr algn="ctr"/>
              <a:t>4039</a:t>
            </a:fld>
            <a:endParaRPr lang="en-GB" sz="1800"/>
          </a:p>
        </xdr:txBody>
      </xdr:sp>
      <xdr:sp macro="" textlink="Pivot_Analysis!A5">
        <xdr:nvSpPr>
          <xdr:cNvPr id="120" name="TextBox 119">
            <a:extLst>
              <a:ext uri="{FF2B5EF4-FFF2-40B4-BE49-F238E27FC236}">
                <a16:creationId xmlns:a16="http://schemas.microsoft.com/office/drawing/2014/main" id="{7F3CFF69-E8FE-5048-A8FC-B049C0F751A8}"/>
              </a:ext>
            </a:extLst>
          </xdr:cNvPr>
          <xdr:cNvSpPr txBox="1"/>
        </xdr:nvSpPr>
        <xdr:spPr>
          <a:xfrm>
            <a:off x="457203" y="1270000"/>
            <a:ext cx="212089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B66085-819A-3640-B7C4-DE993C7DE729}" type="TxLink">
              <a:rPr lang="en-US" sz="1600" b="0" i="0" u="none" strike="noStrike">
                <a:solidFill>
                  <a:srgbClr val="000000"/>
                </a:solidFill>
                <a:latin typeface="Calibri"/>
                <a:cs typeface="Calibri"/>
              </a:rPr>
              <a:pPr algn="ctr"/>
              <a:t>1799361.03</a:t>
            </a:fld>
            <a:endParaRPr lang="en-GB" sz="1400"/>
          </a:p>
        </xdr:txBody>
      </xdr:sp>
    </xdr:grpSp>
    <xdr:clientData/>
  </xdr:twoCellAnchor>
  <xdr:twoCellAnchor>
    <xdr:from>
      <xdr:col>0</xdr:col>
      <xdr:colOff>457200</xdr:colOff>
      <xdr:row>10</xdr:row>
      <xdr:rowOff>25400</xdr:rowOff>
    </xdr:from>
    <xdr:to>
      <xdr:col>17</xdr:col>
      <xdr:colOff>139700</xdr:colOff>
      <xdr:row>15</xdr:row>
      <xdr:rowOff>0</xdr:rowOff>
    </xdr:to>
    <xdr:sp macro="" textlink="">
      <xdr:nvSpPr>
        <xdr:cNvPr id="135" name="Rectangle 134">
          <a:extLst>
            <a:ext uri="{FF2B5EF4-FFF2-40B4-BE49-F238E27FC236}">
              <a16:creationId xmlns:a16="http://schemas.microsoft.com/office/drawing/2014/main" id="{1B338924-BC79-1AD6-97C7-DAB2723D19EA}"/>
            </a:ext>
          </a:extLst>
        </xdr:cNvPr>
        <xdr:cNvSpPr/>
      </xdr:nvSpPr>
      <xdr:spPr>
        <a:xfrm>
          <a:off x="457200" y="2057400"/>
          <a:ext cx="13131800" cy="9906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7</xdr:col>
      <xdr:colOff>444500</xdr:colOff>
      <xdr:row>10</xdr:row>
      <xdr:rowOff>12700</xdr:rowOff>
    </xdr:from>
    <xdr:to>
      <xdr:col>17</xdr:col>
      <xdr:colOff>63500</xdr:colOff>
      <xdr:row>14</xdr:row>
      <xdr:rowOff>88900</xdr:rowOff>
    </xdr:to>
    <mc:AlternateContent xmlns:mc="http://schemas.openxmlformats.org/markup-compatibility/2006">
      <mc:Choice xmlns:a14="http://schemas.microsoft.com/office/drawing/2010/main" Requires="a14">
        <xdr:graphicFrame macro="">
          <xdr:nvGraphicFramePr>
            <xdr:cNvPr id="128" name="Day">
              <a:extLst>
                <a:ext uri="{FF2B5EF4-FFF2-40B4-BE49-F238E27FC236}">
                  <a16:creationId xmlns:a16="http://schemas.microsoft.com/office/drawing/2014/main" id="{78075B10-287E-7942-91F2-9C3D37FEB7F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5638800" y="2044700"/>
              <a:ext cx="7874000"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10</xdr:row>
      <xdr:rowOff>25400</xdr:rowOff>
    </xdr:from>
    <xdr:to>
      <xdr:col>3</xdr:col>
      <xdr:colOff>723900</xdr:colOff>
      <xdr:row>14</xdr:row>
      <xdr:rowOff>76200</xdr:rowOff>
    </xdr:to>
    <mc:AlternateContent xmlns:mc="http://schemas.openxmlformats.org/markup-compatibility/2006">
      <mc:Choice xmlns:a14="http://schemas.microsoft.com/office/drawing/2010/main" Requires="a14">
        <xdr:graphicFrame macro="">
          <xdr:nvGraphicFramePr>
            <xdr:cNvPr id="130" name="Year">
              <a:extLst>
                <a:ext uri="{FF2B5EF4-FFF2-40B4-BE49-F238E27FC236}">
                  <a16:creationId xmlns:a16="http://schemas.microsoft.com/office/drawing/2014/main" id="{EF820D10-47B4-7F47-93D3-F551BA21C5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0700" y="2057400"/>
              <a:ext cx="2095500" cy="863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10</xdr:row>
      <xdr:rowOff>12700</xdr:rowOff>
    </xdr:from>
    <xdr:to>
      <xdr:col>7</xdr:col>
      <xdr:colOff>304799</xdr:colOff>
      <xdr:row>14</xdr:row>
      <xdr:rowOff>76200</xdr:rowOff>
    </xdr:to>
    <mc:AlternateContent xmlns:mc="http://schemas.openxmlformats.org/markup-compatibility/2006">
      <mc:Choice xmlns:a14="http://schemas.microsoft.com/office/drawing/2010/main" Requires="a14">
        <xdr:graphicFrame macro="">
          <xdr:nvGraphicFramePr>
            <xdr:cNvPr id="136" name="Month 1">
              <a:extLst>
                <a:ext uri="{FF2B5EF4-FFF2-40B4-BE49-F238E27FC236}">
                  <a16:creationId xmlns:a16="http://schemas.microsoft.com/office/drawing/2014/main" id="{6710B505-DF7B-CC5A-EF31-C8FC6F4C8C5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717800" y="2044700"/>
              <a:ext cx="2781299"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328876</xdr:colOff>
      <xdr:row>9</xdr:row>
      <xdr:rowOff>155977</xdr:rowOff>
    </xdr:from>
    <xdr:to>
      <xdr:col>20</xdr:col>
      <xdr:colOff>1075266</xdr:colOff>
      <xdr:row>12</xdr:row>
      <xdr:rowOff>76200</xdr:rowOff>
    </xdr:to>
    <xdr:sp macro="" textlink="">
      <xdr:nvSpPr>
        <xdr:cNvPr id="6" name="Rounded Rectangle 5">
          <a:extLst>
            <a:ext uri="{FF2B5EF4-FFF2-40B4-BE49-F238E27FC236}">
              <a16:creationId xmlns:a16="http://schemas.microsoft.com/office/drawing/2014/main" id="{A62977F8-144E-B663-6C29-B6C6FB6E032E}"/>
            </a:ext>
          </a:extLst>
        </xdr:cNvPr>
        <xdr:cNvSpPr/>
      </xdr:nvSpPr>
      <xdr:spPr>
        <a:xfrm>
          <a:off x="13850143" y="1984777"/>
          <a:ext cx="2752990" cy="529823"/>
        </a:xfrm>
        <a:prstGeom prst="roundRect">
          <a:avLst>
            <a:gd name="adj" fmla="val 0"/>
          </a:avLst>
        </a:prstGeom>
        <a:solidFill>
          <a:srgbClr val="D3E4F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1800">
              <a:solidFill>
                <a:sysClr val="windowText" lastClr="000000"/>
              </a:solidFill>
              <a:effectLst/>
              <a:latin typeface="+mn-lt"/>
              <a:ea typeface="+mn-ea"/>
              <a:cs typeface="+mn-cs"/>
            </a:rPr>
            <a:t>Order</a:t>
          </a:r>
          <a:r>
            <a:rPr lang="en-US" sz="1800" baseline="0">
              <a:solidFill>
                <a:sysClr val="windowText" lastClr="000000"/>
              </a:solidFill>
              <a:effectLst/>
              <a:latin typeface="+mn-lt"/>
              <a:ea typeface="+mn-ea"/>
              <a:cs typeface="+mn-cs"/>
            </a:rPr>
            <a:t> ID Search</a:t>
          </a:r>
          <a:endParaRPr lang="en-IN" sz="1800">
            <a:solidFill>
              <a:sysClr val="windowText" lastClr="000000"/>
            </a:solidFill>
            <a:effectLst/>
            <a:latin typeface="+mn-lt"/>
            <a:ea typeface="+mn-ea"/>
            <a:cs typeface="+mn-cs"/>
          </a:endParaRPr>
        </a:p>
      </xdr:txBody>
    </xdr:sp>
    <xdr:clientData/>
  </xdr:twoCellAnchor>
  <xdr:twoCellAnchor>
    <xdr:from>
      <xdr:col>0</xdr:col>
      <xdr:colOff>470366</xdr:colOff>
      <xdr:row>15</xdr:row>
      <xdr:rowOff>101600</xdr:rowOff>
    </xdr:from>
    <xdr:to>
      <xdr:col>3</xdr:col>
      <xdr:colOff>749299</xdr:colOff>
      <xdr:row>40</xdr:row>
      <xdr:rowOff>190500</xdr:rowOff>
    </xdr:to>
    <xdr:sp macro="" textlink="">
      <xdr:nvSpPr>
        <xdr:cNvPr id="10" name="Rounded Rectangle 9">
          <a:extLst>
            <a:ext uri="{FF2B5EF4-FFF2-40B4-BE49-F238E27FC236}">
              <a16:creationId xmlns:a16="http://schemas.microsoft.com/office/drawing/2014/main" id="{A2D710F9-3BC7-732A-8E90-E97877BD16A1}"/>
            </a:ext>
          </a:extLst>
        </xdr:cNvPr>
        <xdr:cNvSpPr/>
      </xdr:nvSpPr>
      <xdr:spPr>
        <a:xfrm>
          <a:off x="470366" y="3149600"/>
          <a:ext cx="2171233" cy="5168900"/>
        </a:xfrm>
        <a:prstGeom prst="roundRect">
          <a:avLst>
            <a:gd name="adj"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clientData/>
  </xdr:twoCellAnchor>
  <xdr:twoCellAnchor editAs="oneCell">
    <xdr:from>
      <xdr:col>1</xdr:col>
      <xdr:colOff>38100</xdr:colOff>
      <xdr:row>27</xdr:row>
      <xdr:rowOff>152400</xdr:rowOff>
    </xdr:from>
    <xdr:to>
      <xdr:col>3</xdr:col>
      <xdr:colOff>698500</xdr:colOff>
      <xdr:row>40</xdr:row>
      <xdr:rowOff>114300</xdr:rowOff>
    </xdr:to>
    <mc:AlternateContent xmlns:mc="http://schemas.openxmlformats.org/markup-compatibility/2006">
      <mc:Choice xmlns:a14="http://schemas.microsoft.com/office/drawing/2010/main" Requires="a14">
        <xdr:graphicFrame macro="">
          <xdr:nvGraphicFramePr>
            <xdr:cNvPr id="8" name="Ship To State">
              <a:extLst>
                <a:ext uri="{FF2B5EF4-FFF2-40B4-BE49-F238E27FC236}">
                  <a16:creationId xmlns:a16="http://schemas.microsoft.com/office/drawing/2014/main" id="{1559C83A-9AA8-F842-9714-37739F570387}"/>
                </a:ext>
              </a:extLst>
            </xdr:cNvPr>
            <xdr:cNvGraphicFramePr/>
          </xdr:nvGraphicFramePr>
          <xdr:xfrm>
            <a:off x="0" y="0"/>
            <a:ext cx="0" cy="0"/>
          </xdr:xfrm>
          <a:graphic>
            <a:graphicData uri="http://schemas.microsoft.com/office/drawing/2010/slicer">
              <sle:slicer xmlns:sle="http://schemas.microsoft.com/office/drawing/2010/slicer" name="Ship To State"/>
            </a:graphicData>
          </a:graphic>
        </xdr:graphicFrame>
      </mc:Choice>
      <mc:Fallback>
        <xdr:sp macro="" textlink="">
          <xdr:nvSpPr>
            <xdr:cNvPr id="0" name=""/>
            <xdr:cNvSpPr>
              <a:spLocks noTextEdit="1"/>
            </xdr:cNvSpPr>
          </xdr:nvSpPr>
          <xdr:spPr>
            <a:xfrm>
              <a:off x="533400" y="5638800"/>
              <a:ext cx="2057400" cy="260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25401</xdr:colOff>
      <xdr:row>15</xdr:row>
      <xdr:rowOff>190500</xdr:rowOff>
    </xdr:from>
    <xdr:to>
      <xdr:col>3</xdr:col>
      <xdr:colOff>698500</xdr:colOff>
      <xdr:row>27</xdr:row>
      <xdr:rowOff>63500</xdr:rowOff>
    </xdr:to>
    <mc:AlternateContent xmlns:mc="http://schemas.openxmlformats.org/markup-compatibility/2006">
      <mc:Choice xmlns:a14="http://schemas.microsoft.com/office/drawing/2010/main" Requires="a14">
        <xdr:graphicFrame macro="">
          <xdr:nvGraphicFramePr>
            <xdr:cNvPr id="7" name="Sku">
              <a:extLst>
                <a:ext uri="{FF2B5EF4-FFF2-40B4-BE49-F238E27FC236}">
                  <a16:creationId xmlns:a16="http://schemas.microsoft.com/office/drawing/2014/main" id="{F0EAC2FB-F9A5-2B42-B68D-4F0400AA764C}"/>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520701" y="3238500"/>
              <a:ext cx="2070099" cy="231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63500</xdr:colOff>
      <xdr:row>15</xdr:row>
      <xdr:rowOff>152400</xdr:rowOff>
    </xdr:from>
    <xdr:to>
      <xdr:col>10</xdr:col>
      <xdr:colOff>495300</xdr:colOff>
      <xdr:row>27</xdr:row>
      <xdr:rowOff>88900</xdr:rowOff>
    </xdr:to>
    <xdr:graphicFrame macro="">
      <xdr:nvGraphicFramePr>
        <xdr:cNvPr id="15" name="Top 5 SKU">
          <a:extLst>
            <a:ext uri="{FF2B5EF4-FFF2-40B4-BE49-F238E27FC236}">
              <a16:creationId xmlns:a16="http://schemas.microsoft.com/office/drawing/2014/main" id="{41C5E30A-C922-574D-A9DD-5A901D9F1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533400</xdr:colOff>
      <xdr:row>15</xdr:row>
      <xdr:rowOff>139700</xdr:rowOff>
    </xdr:from>
    <xdr:to>
      <xdr:col>17</xdr:col>
      <xdr:colOff>50801</xdr:colOff>
      <xdr:row>27</xdr:row>
      <xdr:rowOff>76200</xdr:rowOff>
    </xdr:to>
    <xdr:graphicFrame macro="">
      <xdr:nvGraphicFramePr>
        <xdr:cNvPr id="16" name="Chart 15">
          <a:extLst>
            <a:ext uri="{FF2B5EF4-FFF2-40B4-BE49-F238E27FC236}">
              <a16:creationId xmlns:a16="http://schemas.microsoft.com/office/drawing/2014/main" id="{0068557D-A70B-A942-A118-0824C25D2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63500</xdr:colOff>
      <xdr:row>27</xdr:row>
      <xdr:rowOff>127000</xdr:rowOff>
    </xdr:from>
    <xdr:to>
      <xdr:col>17</xdr:col>
      <xdr:colOff>50800</xdr:colOff>
      <xdr:row>40</xdr:row>
      <xdr:rowOff>101600</xdr:rowOff>
    </xdr:to>
    <xdr:graphicFrame macro="">
      <xdr:nvGraphicFramePr>
        <xdr:cNvPr id="17" name="Chart 16">
          <a:extLst>
            <a:ext uri="{FF2B5EF4-FFF2-40B4-BE49-F238E27FC236}">
              <a16:creationId xmlns:a16="http://schemas.microsoft.com/office/drawing/2014/main" id="{E77D52E4-70AF-D44C-83DB-8C9392D4A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320653</xdr:colOff>
      <xdr:row>15</xdr:row>
      <xdr:rowOff>109459</xdr:rowOff>
    </xdr:from>
    <xdr:to>
      <xdr:col>21</xdr:col>
      <xdr:colOff>34440</xdr:colOff>
      <xdr:row>40</xdr:row>
      <xdr:rowOff>165100</xdr:rowOff>
    </xdr:to>
    <xdr:grpSp>
      <xdr:nvGrpSpPr>
        <xdr:cNvPr id="53" name="Group 52">
          <a:extLst>
            <a:ext uri="{FF2B5EF4-FFF2-40B4-BE49-F238E27FC236}">
              <a16:creationId xmlns:a16="http://schemas.microsoft.com/office/drawing/2014/main" id="{CB624817-D600-0219-AF6D-F14C82316A14}"/>
            </a:ext>
          </a:extLst>
        </xdr:cNvPr>
        <xdr:cNvGrpSpPr/>
      </xdr:nvGrpSpPr>
      <xdr:grpSpPr>
        <a:xfrm>
          <a:off x="13769953" y="3157459"/>
          <a:ext cx="2787187" cy="5135641"/>
          <a:chOff x="13769953" y="3157459"/>
          <a:chExt cx="2787187" cy="5135641"/>
        </a:xfrm>
      </xdr:grpSpPr>
      <xdr:sp macro="" textlink="">
        <xdr:nvSpPr>
          <xdr:cNvPr id="13" name="Rounded Rectangle 12">
            <a:extLst>
              <a:ext uri="{FF2B5EF4-FFF2-40B4-BE49-F238E27FC236}">
                <a16:creationId xmlns:a16="http://schemas.microsoft.com/office/drawing/2014/main" id="{69523F2B-4F20-A2CB-8620-E9907A28A7D9}"/>
              </a:ext>
            </a:extLst>
          </xdr:cNvPr>
          <xdr:cNvSpPr/>
        </xdr:nvSpPr>
        <xdr:spPr>
          <a:xfrm>
            <a:off x="13785401" y="3157459"/>
            <a:ext cx="2762700" cy="5135641"/>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sz="1400"/>
          </a:p>
        </xdr:txBody>
      </xdr:sp>
      <xdr:sp macro="" textlink="">
        <xdr:nvSpPr>
          <xdr:cNvPr id="14" name="Rounded Rectangle 13">
            <a:extLst>
              <a:ext uri="{FF2B5EF4-FFF2-40B4-BE49-F238E27FC236}">
                <a16:creationId xmlns:a16="http://schemas.microsoft.com/office/drawing/2014/main" id="{3D681CA1-74C2-01E7-7551-D23E64FEB1B7}"/>
              </a:ext>
            </a:extLst>
          </xdr:cNvPr>
          <xdr:cNvSpPr/>
        </xdr:nvSpPr>
        <xdr:spPr>
          <a:xfrm>
            <a:off x="13784463" y="3160166"/>
            <a:ext cx="2768597" cy="587726"/>
          </a:xfrm>
          <a:prstGeom prst="roundRect">
            <a:avLst>
              <a:gd name="adj" fmla="val 0"/>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2000">
                <a:solidFill>
                  <a:schemeClr val="lt1"/>
                </a:solidFill>
                <a:effectLst/>
                <a:latin typeface="+mn-lt"/>
                <a:ea typeface="+mn-ea"/>
                <a:cs typeface="+mn-cs"/>
              </a:rPr>
              <a:t>Order</a:t>
            </a:r>
            <a:r>
              <a:rPr lang="en-US" sz="2000" baseline="0">
                <a:solidFill>
                  <a:schemeClr val="lt1"/>
                </a:solidFill>
                <a:effectLst/>
                <a:latin typeface="+mn-lt"/>
                <a:ea typeface="+mn-ea"/>
                <a:cs typeface="+mn-cs"/>
              </a:rPr>
              <a:t> Details</a:t>
            </a:r>
            <a:endParaRPr lang="en-IN" sz="2000">
              <a:solidFill>
                <a:schemeClr val="lt1"/>
              </a:solidFill>
              <a:effectLst/>
              <a:latin typeface="+mn-lt"/>
              <a:ea typeface="+mn-ea"/>
              <a:cs typeface="+mn-cs"/>
            </a:endParaRPr>
          </a:p>
        </xdr:txBody>
      </xdr:sp>
      <xdr:grpSp>
        <xdr:nvGrpSpPr>
          <xdr:cNvPr id="51" name="Group 50">
            <a:extLst>
              <a:ext uri="{FF2B5EF4-FFF2-40B4-BE49-F238E27FC236}">
                <a16:creationId xmlns:a16="http://schemas.microsoft.com/office/drawing/2014/main" id="{7A3DF9F9-5130-4813-DB02-7ED165A9DBB8}"/>
              </a:ext>
            </a:extLst>
          </xdr:cNvPr>
          <xdr:cNvGrpSpPr/>
        </xdr:nvGrpSpPr>
        <xdr:grpSpPr>
          <a:xfrm>
            <a:off x="13769953" y="3753033"/>
            <a:ext cx="2787187" cy="3047043"/>
            <a:chOff x="13769953" y="3753033"/>
            <a:chExt cx="2787187" cy="3047043"/>
          </a:xfrm>
        </xdr:grpSpPr>
        <xdr:sp macro="" textlink="Dataset!Q2">
          <xdr:nvSpPr>
            <xdr:cNvPr id="22" name="TextBox 21">
              <a:extLst>
                <a:ext uri="{FF2B5EF4-FFF2-40B4-BE49-F238E27FC236}">
                  <a16:creationId xmlns:a16="http://schemas.microsoft.com/office/drawing/2014/main" id="{FF05462F-2408-0646-8EFF-79BB8C582891}"/>
                </a:ext>
              </a:extLst>
            </xdr:cNvPr>
            <xdr:cNvSpPr txBox="1"/>
          </xdr:nvSpPr>
          <xdr:spPr>
            <a:xfrm>
              <a:off x="14923243" y="3798641"/>
              <a:ext cx="1523042" cy="256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4DBF6D1-7EA9-1C41-B9BB-62A6E24491F3}" type="TxLink">
                <a:rPr lang="en-US" sz="1200" b="0" i="0" u="none" strike="noStrike">
                  <a:solidFill>
                    <a:schemeClr val="tx1"/>
                  </a:solidFill>
                  <a:latin typeface="Calibri"/>
                  <a:cs typeface="Calibri"/>
                </a:rPr>
                <a:t>16/04/2022</a:t>
              </a:fld>
              <a:endParaRPr lang="en-GB" sz="1100" b="0">
                <a:solidFill>
                  <a:schemeClr val="tx1"/>
                </a:solidFill>
              </a:endParaRPr>
            </a:p>
          </xdr:txBody>
        </xdr:sp>
        <xdr:sp macro="" textlink="">
          <xdr:nvSpPr>
            <xdr:cNvPr id="23" name="TextBox 22">
              <a:extLst>
                <a:ext uri="{FF2B5EF4-FFF2-40B4-BE49-F238E27FC236}">
                  <a16:creationId xmlns:a16="http://schemas.microsoft.com/office/drawing/2014/main" id="{A0D91EBB-39DC-C54D-B9C8-A57291628F3F}"/>
                </a:ext>
              </a:extLst>
            </xdr:cNvPr>
            <xdr:cNvSpPr txBox="1"/>
          </xdr:nvSpPr>
          <xdr:spPr>
            <a:xfrm>
              <a:off x="13781344" y="3753033"/>
              <a:ext cx="1483601" cy="34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dk1"/>
                  </a:solidFill>
                  <a:effectLst/>
                  <a:latin typeface="+mn-lt"/>
                  <a:ea typeface="+mn-ea"/>
                  <a:cs typeface="+mn-cs"/>
                </a:rPr>
                <a:t>Order Date</a:t>
              </a:r>
              <a:r>
                <a:rPr lang="en-IN" sz="1400" b="1" u="sng"/>
                <a:t> - &gt;</a:t>
              </a:r>
              <a:endParaRPr lang="en-US" sz="1400" b="1" i="0" u="sng" strike="noStrike">
                <a:solidFill>
                  <a:srgbClr val="000000"/>
                </a:solidFill>
                <a:latin typeface="Calibri"/>
                <a:cs typeface="Calibri"/>
              </a:endParaRPr>
            </a:p>
          </xdr:txBody>
        </xdr:sp>
        <xdr:sp macro="" textlink="Dataset!R2">
          <xdr:nvSpPr>
            <xdr:cNvPr id="24" name="TextBox 23">
              <a:extLst>
                <a:ext uri="{FF2B5EF4-FFF2-40B4-BE49-F238E27FC236}">
                  <a16:creationId xmlns:a16="http://schemas.microsoft.com/office/drawing/2014/main" id="{3C9A18CB-7A24-D440-8A15-575623B4C5BA}"/>
                </a:ext>
              </a:extLst>
            </xdr:cNvPr>
            <xdr:cNvSpPr txBox="1"/>
          </xdr:nvSpPr>
          <xdr:spPr>
            <a:xfrm>
              <a:off x="15332212" y="4090935"/>
              <a:ext cx="1187260" cy="300169"/>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5679BD3-AB1A-FE49-9600-81C3CA2E6277}" type="TxLink">
                <a:rPr lang="en-US" sz="1200" b="0" i="0" u="none" strike="noStrike">
                  <a:solidFill>
                    <a:srgbClr val="000000"/>
                  </a:solidFill>
                  <a:latin typeface="Calibri"/>
                  <a:cs typeface="Calibri"/>
                </a:rPr>
                <a:pPr algn="l"/>
                <a:t>Shipment</a:t>
              </a:fld>
              <a:endParaRPr lang="en-GB" sz="1100" b="0">
                <a:solidFill>
                  <a:schemeClr val="tx1"/>
                </a:solidFill>
              </a:endParaRPr>
            </a:p>
          </xdr:txBody>
        </xdr:sp>
        <xdr:sp macro="" textlink="">
          <xdr:nvSpPr>
            <xdr:cNvPr id="30" name="TextBox 29">
              <a:extLst>
                <a:ext uri="{FF2B5EF4-FFF2-40B4-BE49-F238E27FC236}">
                  <a16:creationId xmlns:a16="http://schemas.microsoft.com/office/drawing/2014/main" id="{9C7CFC92-0DDF-3348-8328-DE3E6CA840F3}"/>
                </a:ext>
              </a:extLst>
            </xdr:cNvPr>
            <xdr:cNvSpPr txBox="1"/>
          </xdr:nvSpPr>
          <xdr:spPr>
            <a:xfrm>
              <a:off x="13769953" y="4092476"/>
              <a:ext cx="1821319" cy="265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sng" strike="noStrike">
                  <a:solidFill>
                    <a:schemeClr val="dk1"/>
                  </a:solidFill>
                  <a:effectLst/>
                  <a:latin typeface="+mn-lt"/>
                  <a:ea typeface="+mn-ea"/>
                  <a:cs typeface="+mn-cs"/>
                </a:rPr>
                <a:t>Transaction Type - &gt;</a:t>
              </a:r>
              <a:r>
                <a:rPr lang="en-IN" sz="1400" b="1" u="sng"/>
                <a:t> </a:t>
              </a:r>
              <a:endParaRPr lang="en-US" sz="1400" b="1" i="0" u="sng" strike="noStrike">
                <a:solidFill>
                  <a:srgbClr val="000000"/>
                </a:solidFill>
                <a:latin typeface="Calibri"/>
                <a:cs typeface="Calibri"/>
              </a:endParaRPr>
            </a:p>
          </xdr:txBody>
        </xdr:sp>
        <xdr:sp macro="" textlink="">
          <xdr:nvSpPr>
            <xdr:cNvPr id="32" name="TextBox 31">
              <a:extLst>
                <a:ext uri="{FF2B5EF4-FFF2-40B4-BE49-F238E27FC236}">
                  <a16:creationId xmlns:a16="http://schemas.microsoft.com/office/drawing/2014/main" id="{3C94FC35-36DD-D34E-BABD-610F4FE27259}"/>
                </a:ext>
              </a:extLst>
            </xdr:cNvPr>
            <xdr:cNvSpPr txBox="1"/>
          </xdr:nvSpPr>
          <xdr:spPr>
            <a:xfrm>
              <a:off x="13769955" y="4676394"/>
              <a:ext cx="1286865" cy="346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dk1"/>
                  </a:solidFill>
                  <a:effectLst/>
                  <a:latin typeface="+mn-lt"/>
                  <a:ea typeface="+mn-ea"/>
                  <a:cs typeface="+mn-cs"/>
                </a:rPr>
                <a:t>Ship To City</a:t>
              </a:r>
              <a:r>
                <a:rPr lang="en-IN" sz="1400" b="1" u="sng"/>
                <a:t> - &gt;</a:t>
              </a:r>
              <a:endParaRPr lang="en-US" sz="1400" b="1" i="0" u="sng" strike="noStrike">
                <a:solidFill>
                  <a:srgbClr val="000000"/>
                </a:solidFill>
                <a:latin typeface="Calibri"/>
                <a:cs typeface="Calibri"/>
              </a:endParaRPr>
            </a:p>
          </xdr:txBody>
        </xdr:sp>
        <xdr:sp macro="" textlink="">
          <xdr:nvSpPr>
            <xdr:cNvPr id="33" name="TextBox 32">
              <a:extLst>
                <a:ext uri="{FF2B5EF4-FFF2-40B4-BE49-F238E27FC236}">
                  <a16:creationId xmlns:a16="http://schemas.microsoft.com/office/drawing/2014/main" id="{0EE860AB-D913-B543-8F13-5279D3E8E99B}"/>
                </a:ext>
              </a:extLst>
            </xdr:cNvPr>
            <xdr:cNvSpPr txBox="1"/>
          </xdr:nvSpPr>
          <xdr:spPr>
            <a:xfrm>
              <a:off x="13769953" y="4985169"/>
              <a:ext cx="1390189" cy="346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dk1"/>
                  </a:solidFill>
                  <a:effectLst/>
                  <a:latin typeface="+mn-lt"/>
                  <a:ea typeface="+mn-ea"/>
                  <a:cs typeface="+mn-cs"/>
                </a:rPr>
                <a:t>Ship To State</a:t>
              </a:r>
              <a:r>
                <a:rPr lang="en-IN" sz="1400" b="1" u="sng"/>
                <a:t> - &gt;</a:t>
              </a:r>
              <a:endParaRPr lang="en-US" sz="1400" b="1" i="0" u="sng" strike="noStrike">
                <a:solidFill>
                  <a:srgbClr val="000000"/>
                </a:solidFill>
                <a:latin typeface="Calibri"/>
                <a:cs typeface="Calibri"/>
              </a:endParaRPr>
            </a:p>
          </xdr:txBody>
        </xdr:sp>
        <xdr:sp macro="" textlink="">
          <xdr:nvSpPr>
            <xdr:cNvPr id="34" name="TextBox 33">
              <a:extLst>
                <a:ext uri="{FF2B5EF4-FFF2-40B4-BE49-F238E27FC236}">
                  <a16:creationId xmlns:a16="http://schemas.microsoft.com/office/drawing/2014/main" id="{454E7EDF-F211-5342-A104-FA8F6C78013C}"/>
                </a:ext>
              </a:extLst>
            </xdr:cNvPr>
            <xdr:cNvSpPr txBox="1"/>
          </xdr:nvSpPr>
          <xdr:spPr>
            <a:xfrm>
              <a:off x="13770726" y="5271030"/>
              <a:ext cx="1480898" cy="349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dk1"/>
                  </a:solidFill>
                  <a:effectLst/>
                  <a:latin typeface="+mn-lt"/>
                  <a:ea typeface="+mn-ea"/>
                  <a:cs typeface="+mn-cs"/>
                </a:rPr>
                <a:t>Sale Amount</a:t>
              </a:r>
              <a:r>
                <a:rPr lang="en-IN" sz="1400" b="1" u="sng"/>
                <a:t> - &gt;</a:t>
              </a:r>
              <a:endParaRPr lang="en-US" sz="1400" b="1" i="0" u="sng" strike="noStrike">
                <a:solidFill>
                  <a:srgbClr val="000000"/>
                </a:solidFill>
                <a:latin typeface="Calibri"/>
                <a:cs typeface="Calibri"/>
              </a:endParaRPr>
            </a:p>
          </xdr:txBody>
        </xdr:sp>
        <xdr:sp macro="" textlink="">
          <xdr:nvSpPr>
            <xdr:cNvPr id="35" name="TextBox 34">
              <a:extLst>
                <a:ext uri="{FF2B5EF4-FFF2-40B4-BE49-F238E27FC236}">
                  <a16:creationId xmlns:a16="http://schemas.microsoft.com/office/drawing/2014/main" id="{F1BBD126-4A1E-514B-A36D-1CD5015C4ACE}"/>
                </a:ext>
              </a:extLst>
            </xdr:cNvPr>
            <xdr:cNvSpPr txBox="1"/>
          </xdr:nvSpPr>
          <xdr:spPr>
            <a:xfrm>
              <a:off x="13775031" y="5573462"/>
              <a:ext cx="1480898" cy="34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dk1"/>
                  </a:solidFill>
                  <a:effectLst/>
                  <a:latin typeface="+mn-lt"/>
                  <a:ea typeface="+mn-ea"/>
                  <a:cs typeface="+mn-cs"/>
                </a:rPr>
                <a:t>Comission Fee</a:t>
              </a:r>
              <a:r>
                <a:rPr lang="en-IN" sz="1400" b="1" u="sng"/>
                <a:t> - &gt;</a:t>
              </a:r>
              <a:endParaRPr lang="en-US" sz="1400" b="1" i="0" u="sng" strike="noStrike">
                <a:solidFill>
                  <a:srgbClr val="000000"/>
                </a:solidFill>
                <a:latin typeface="Calibri"/>
                <a:cs typeface="Calibri"/>
              </a:endParaRPr>
            </a:p>
          </xdr:txBody>
        </xdr:sp>
        <xdr:sp macro="" textlink="">
          <xdr:nvSpPr>
            <xdr:cNvPr id="39" name="TextBox 38">
              <a:extLst>
                <a:ext uri="{FF2B5EF4-FFF2-40B4-BE49-F238E27FC236}">
                  <a16:creationId xmlns:a16="http://schemas.microsoft.com/office/drawing/2014/main" id="{B8652F32-28D9-DB4D-973A-A7450FEA94D8}"/>
                </a:ext>
              </a:extLst>
            </xdr:cNvPr>
            <xdr:cNvSpPr txBox="1"/>
          </xdr:nvSpPr>
          <xdr:spPr>
            <a:xfrm>
              <a:off x="13774282" y="4354261"/>
              <a:ext cx="843418" cy="370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sng" strike="noStrike">
                  <a:solidFill>
                    <a:schemeClr val="dk1"/>
                  </a:solidFill>
                  <a:effectLst/>
                  <a:latin typeface="+mn-lt"/>
                  <a:ea typeface="+mn-ea"/>
                  <a:cs typeface="+mn-cs"/>
                </a:rPr>
                <a:t>SKU -</a:t>
              </a:r>
              <a:r>
                <a:rPr lang="en-IN" sz="1400" b="1" u="sng"/>
                <a:t> &gt;</a:t>
              </a:r>
              <a:endParaRPr lang="en-US" sz="1400" b="1" i="0" u="sng" strike="noStrike">
                <a:solidFill>
                  <a:srgbClr val="000000"/>
                </a:solidFill>
                <a:latin typeface="Calibri"/>
                <a:cs typeface="Calibri"/>
              </a:endParaRPr>
            </a:p>
          </xdr:txBody>
        </xdr:sp>
        <xdr:sp macro="" textlink="Dataset!S2">
          <xdr:nvSpPr>
            <xdr:cNvPr id="40" name="TextBox 39">
              <a:extLst>
                <a:ext uri="{FF2B5EF4-FFF2-40B4-BE49-F238E27FC236}">
                  <a16:creationId xmlns:a16="http://schemas.microsoft.com/office/drawing/2014/main" id="{4E1873E7-ED54-CB44-9A06-476DE058CE1F}"/>
                </a:ext>
              </a:extLst>
            </xdr:cNvPr>
            <xdr:cNvSpPr txBox="1"/>
          </xdr:nvSpPr>
          <xdr:spPr>
            <a:xfrm>
              <a:off x="14368544" y="4379504"/>
              <a:ext cx="1857388" cy="360992"/>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8C6F27E-75B2-7A42-BFE8-1A166A70F5D4}" type="TxLink">
                <a:rPr lang="en-US" sz="1100" b="0" i="0" u="none" strike="noStrike">
                  <a:solidFill>
                    <a:schemeClr val="tx1"/>
                  </a:solidFill>
                  <a:latin typeface="Calibri"/>
                  <a:cs typeface="Calibri"/>
                </a:rPr>
                <a:t>305_BLACK_11</a:t>
              </a:fld>
              <a:endParaRPr lang="en-GB" sz="1100" b="0">
                <a:solidFill>
                  <a:schemeClr val="tx1"/>
                </a:solidFill>
              </a:endParaRPr>
            </a:p>
          </xdr:txBody>
        </xdr:sp>
        <xdr:sp macro="" textlink="Dataset!T2">
          <xdr:nvSpPr>
            <xdr:cNvPr id="41" name="TextBox 40">
              <a:extLst>
                <a:ext uri="{FF2B5EF4-FFF2-40B4-BE49-F238E27FC236}">
                  <a16:creationId xmlns:a16="http://schemas.microsoft.com/office/drawing/2014/main" id="{CE55BF90-E8A8-E04C-9D5E-B9E4B5100E38}"/>
                </a:ext>
              </a:extLst>
            </xdr:cNvPr>
            <xdr:cNvSpPr txBox="1"/>
          </xdr:nvSpPr>
          <xdr:spPr>
            <a:xfrm>
              <a:off x="14957801" y="4682510"/>
              <a:ext cx="1599339" cy="360992"/>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23AD93-D6B4-B347-B974-951EEA2F4614}" type="TxLink">
                <a:rPr lang="en-US" sz="1100" b="0" i="0" u="none" strike="noStrike">
                  <a:solidFill>
                    <a:srgbClr val="000000"/>
                  </a:solidFill>
                  <a:latin typeface="Calibri"/>
                  <a:cs typeface="Calibri"/>
                </a:rPr>
                <a:t>VISAKHAPATNAM</a:t>
              </a:fld>
              <a:endParaRPr lang="en-GB" sz="1200" b="0">
                <a:solidFill>
                  <a:schemeClr val="tx1"/>
                </a:solidFill>
              </a:endParaRPr>
            </a:p>
          </xdr:txBody>
        </xdr:sp>
        <xdr:sp macro="" textlink="Dataset!U2">
          <xdr:nvSpPr>
            <xdr:cNvPr id="42" name="TextBox 41">
              <a:extLst>
                <a:ext uri="{FF2B5EF4-FFF2-40B4-BE49-F238E27FC236}">
                  <a16:creationId xmlns:a16="http://schemas.microsoft.com/office/drawing/2014/main" id="{BDCA202A-2C5E-DD4B-AF2A-1ABA5A1E461E}"/>
                </a:ext>
              </a:extLst>
            </xdr:cNvPr>
            <xdr:cNvSpPr txBox="1"/>
          </xdr:nvSpPr>
          <xdr:spPr>
            <a:xfrm>
              <a:off x="15048841" y="5042886"/>
              <a:ext cx="1486774" cy="2603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3FD2DA8-6174-0A4C-8066-02513C68AD8E}" type="TxLink">
                <a:rPr lang="en-US" sz="1100" b="0" i="0" u="none" strike="noStrike">
                  <a:solidFill>
                    <a:srgbClr val="000000"/>
                  </a:solidFill>
                  <a:latin typeface="Calibri"/>
                  <a:cs typeface="Calibri"/>
                </a:rPr>
                <a:t>ANDHRA PRADESH</a:t>
              </a:fld>
              <a:endParaRPr lang="en-GB" sz="1200" b="0">
                <a:solidFill>
                  <a:schemeClr val="tx1"/>
                </a:solidFill>
              </a:endParaRPr>
            </a:p>
          </xdr:txBody>
        </xdr:sp>
        <xdr:sp macro="" textlink="Dataset!V2">
          <xdr:nvSpPr>
            <xdr:cNvPr id="43" name="TextBox 42">
              <a:extLst>
                <a:ext uri="{FF2B5EF4-FFF2-40B4-BE49-F238E27FC236}">
                  <a16:creationId xmlns:a16="http://schemas.microsoft.com/office/drawing/2014/main" id="{460959A9-C567-0A4D-ADAA-A7F0DFD83A18}"/>
                </a:ext>
              </a:extLst>
            </xdr:cNvPr>
            <xdr:cNvSpPr txBox="1"/>
          </xdr:nvSpPr>
          <xdr:spPr>
            <a:xfrm>
              <a:off x="15039600" y="5290860"/>
              <a:ext cx="1204347" cy="261192"/>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2AA92E2-EF64-2642-A7B9-3907C6B54281}" type="TxLink">
                <a:rPr lang="en-US" sz="1200" b="0" i="0" u="none" strike="noStrike">
                  <a:solidFill>
                    <a:srgbClr val="000000"/>
                  </a:solidFill>
                  <a:latin typeface="Calibri"/>
                  <a:cs typeface="Calibri"/>
                </a:rPr>
                <a:t>849</a:t>
              </a:fld>
              <a:endParaRPr lang="en-GB" sz="1200" b="0">
                <a:solidFill>
                  <a:schemeClr val="tx1"/>
                </a:solidFill>
              </a:endParaRPr>
            </a:p>
          </xdr:txBody>
        </xdr:sp>
        <xdr:sp macro="" textlink="Dataset!W2">
          <xdr:nvSpPr>
            <xdr:cNvPr id="44" name="TextBox 43">
              <a:extLst>
                <a:ext uri="{FF2B5EF4-FFF2-40B4-BE49-F238E27FC236}">
                  <a16:creationId xmlns:a16="http://schemas.microsoft.com/office/drawing/2014/main" id="{0E0B565B-E034-5945-BF32-7637E697D641}"/>
                </a:ext>
              </a:extLst>
            </xdr:cNvPr>
            <xdr:cNvSpPr txBox="1"/>
          </xdr:nvSpPr>
          <xdr:spPr>
            <a:xfrm>
              <a:off x="15123121" y="5599534"/>
              <a:ext cx="1204347" cy="2603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728C7E6-C492-6142-92F7-1E961D72FC23}" type="TxLink">
                <a:rPr lang="en-US" sz="1200" b="0" i="0" u="none" strike="noStrike">
                  <a:solidFill>
                    <a:srgbClr val="000000"/>
                  </a:solidFill>
                  <a:latin typeface="Calibri"/>
                  <a:cs typeface="Calibri"/>
                </a:rPr>
                <a:t>250</a:t>
              </a:fld>
              <a:endParaRPr lang="en-GB" sz="1200" b="0">
                <a:solidFill>
                  <a:schemeClr val="tx1"/>
                </a:solidFill>
              </a:endParaRPr>
            </a:p>
          </xdr:txBody>
        </xdr:sp>
        <xdr:sp macro="" textlink="">
          <xdr:nvSpPr>
            <xdr:cNvPr id="45" name="TextBox 44">
              <a:extLst>
                <a:ext uri="{FF2B5EF4-FFF2-40B4-BE49-F238E27FC236}">
                  <a16:creationId xmlns:a16="http://schemas.microsoft.com/office/drawing/2014/main" id="{D71F78CB-1BF4-A341-A283-4303CDA5F03C}"/>
                </a:ext>
              </a:extLst>
            </xdr:cNvPr>
            <xdr:cNvSpPr txBox="1"/>
          </xdr:nvSpPr>
          <xdr:spPr>
            <a:xfrm>
              <a:off x="13770080" y="5871580"/>
              <a:ext cx="2092219" cy="346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dk1"/>
                  </a:solidFill>
                  <a:effectLst/>
                  <a:latin typeface="+mn-lt"/>
                  <a:ea typeface="+mn-ea"/>
                  <a:cs typeface="+mn-cs"/>
                </a:rPr>
                <a:t>Bank</a:t>
              </a:r>
              <a:r>
                <a:rPr lang="en-IN" sz="1400" b="1" i="0" u="sng" strike="noStrike" baseline="0">
                  <a:solidFill>
                    <a:schemeClr val="dk1"/>
                  </a:solidFill>
                  <a:effectLst/>
                  <a:latin typeface="+mn-lt"/>
                  <a:ea typeface="+mn-ea"/>
                  <a:cs typeface="+mn-cs"/>
                </a:rPr>
                <a:t> Credit Amount - &gt;</a:t>
              </a:r>
              <a:endParaRPr lang="en-US" sz="1400" b="1" i="0" u="sng" strike="noStrike">
                <a:solidFill>
                  <a:srgbClr val="000000"/>
                </a:solidFill>
                <a:latin typeface="Calibri"/>
                <a:cs typeface="Calibri"/>
              </a:endParaRPr>
            </a:p>
          </xdr:txBody>
        </xdr:sp>
        <xdr:sp macro="" textlink="Dataset!X2">
          <xdr:nvSpPr>
            <xdr:cNvPr id="46" name="TextBox 45">
              <a:extLst>
                <a:ext uri="{FF2B5EF4-FFF2-40B4-BE49-F238E27FC236}">
                  <a16:creationId xmlns:a16="http://schemas.microsoft.com/office/drawing/2014/main" id="{49F33F18-4738-484F-B1A2-3BCB6A5AFA3D}"/>
                </a:ext>
              </a:extLst>
            </xdr:cNvPr>
            <xdr:cNvSpPr txBox="1"/>
          </xdr:nvSpPr>
          <xdr:spPr>
            <a:xfrm>
              <a:off x="15582120" y="5923355"/>
              <a:ext cx="971123" cy="2603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71D2B8E-5A24-C343-BA2C-C5F72E674A98}" type="TxLink">
                <a:rPr lang="en-US" sz="1200" b="0" i="0" u="none" strike="noStrike">
                  <a:solidFill>
                    <a:srgbClr val="000000"/>
                  </a:solidFill>
                  <a:latin typeface="Calibri"/>
                  <a:cs typeface="Calibri"/>
                </a:rPr>
                <a:t>599</a:t>
              </a:fld>
              <a:endParaRPr lang="en-GB" sz="1200" b="0">
                <a:solidFill>
                  <a:schemeClr val="tx1"/>
                </a:solidFill>
              </a:endParaRPr>
            </a:p>
          </xdr:txBody>
        </xdr:sp>
        <xdr:sp macro="" textlink="">
          <xdr:nvSpPr>
            <xdr:cNvPr id="47" name="TextBox 46">
              <a:extLst>
                <a:ext uri="{FF2B5EF4-FFF2-40B4-BE49-F238E27FC236}">
                  <a16:creationId xmlns:a16="http://schemas.microsoft.com/office/drawing/2014/main" id="{A31785DF-12DE-D248-BF72-8C0ECDC5F776}"/>
                </a:ext>
              </a:extLst>
            </xdr:cNvPr>
            <xdr:cNvSpPr txBox="1"/>
          </xdr:nvSpPr>
          <xdr:spPr>
            <a:xfrm>
              <a:off x="13773371" y="6142496"/>
              <a:ext cx="1353358" cy="34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tx1"/>
                  </a:solidFill>
                  <a:effectLst/>
                  <a:latin typeface="+mn-lt"/>
                  <a:ea typeface="+mn-ea"/>
                  <a:cs typeface="+mn-cs"/>
                </a:rPr>
                <a:t>Product Cost</a:t>
              </a:r>
              <a:r>
                <a:rPr lang="en-IN" sz="1400" b="1" u="sng">
                  <a:solidFill>
                    <a:schemeClr val="tx1"/>
                  </a:solidFill>
                </a:rPr>
                <a:t> - &gt;</a:t>
              </a:r>
              <a:endParaRPr lang="en-US" sz="1400" b="1" i="0" u="sng" strike="noStrike">
                <a:solidFill>
                  <a:schemeClr val="tx1"/>
                </a:solidFill>
                <a:latin typeface="Calibri"/>
                <a:cs typeface="Calibri"/>
              </a:endParaRPr>
            </a:p>
          </xdr:txBody>
        </xdr:sp>
        <xdr:sp macro="" textlink="Dataset!Y2">
          <xdr:nvSpPr>
            <xdr:cNvPr id="48" name="TextBox 47">
              <a:extLst>
                <a:ext uri="{FF2B5EF4-FFF2-40B4-BE49-F238E27FC236}">
                  <a16:creationId xmlns:a16="http://schemas.microsoft.com/office/drawing/2014/main" id="{82BD2F00-C134-3448-AB04-D0FCF42AA2A6}"/>
                </a:ext>
              </a:extLst>
            </xdr:cNvPr>
            <xdr:cNvSpPr txBox="1"/>
          </xdr:nvSpPr>
          <xdr:spPr>
            <a:xfrm>
              <a:off x="15027582" y="6186663"/>
              <a:ext cx="969066" cy="26033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0FBBFB6-0C39-474D-BD6A-430C275D3F3E}" type="TxLink">
                <a:rPr lang="en-US" sz="1200" b="0" i="0" u="none" strike="noStrike">
                  <a:solidFill>
                    <a:srgbClr val="000000"/>
                  </a:solidFill>
                  <a:latin typeface="Calibri"/>
                  <a:cs typeface="Calibri"/>
                </a:rPr>
                <a:t>240</a:t>
              </a:fld>
              <a:endParaRPr lang="en-GB" sz="1200" b="0">
                <a:solidFill>
                  <a:schemeClr val="tx1"/>
                </a:solidFill>
              </a:endParaRPr>
            </a:p>
          </xdr:txBody>
        </xdr:sp>
        <xdr:sp macro="" textlink="">
          <xdr:nvSpPr>
            <xdr:cNvPr id="49" name="TextBox 48">
              <a:extLst>
                <a:ext uri="{FF2B5EF4-FFF2-40B4-BE49-F238E27FC236}">
                  <a16:creationId xmlns:a16="http://schemas.microsoft.com/office/drawing/2014/main" id="{3569E103-195B-0F4F-B410-4EA47B2FE91D}"/>
                </a:ext>
              </a:extLst>
            </xdr:cNvPr>
            <xdr:cNvSpPr txBox="1"/>
          </xdr:nvSpPr>
          <xdr:spPr>
            <a:xfrm>
              <a:off x="13771519" y="6451464"/>
              <a:ext cx="1344926" cy="34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sng" strike="noStrike">
                  <a:solidFill>
                    <a:schemeClr val="dk1"/>
                  </a:solidFill>
                  <a:effectLst/>
                  <a:latin typeface="+mn-lt"/>
                  <a:ea typeface="+mn-ea"/>
                  <a:cs typeface="+mn-cs"/>
                </a:rPr>
                <a:t>Profit &amp; Loss</a:t>
              </a:r>
              <a:r>
                <a:rPr lang="en-IN" sz="1400" b="1" u="sng"/>
                <a:t> - &gt;</a:t>
              </a:r>
              <a:endParaRPr lang="en-US" sz="1400" b="1" i="0" u="sng" strike="noStrike">
                <a:solidFill>
                  <a:schemeClr val="tx1"/>
                </a:solidFill>
                <a:latin typeface="Calibri"/>
                <a:cs typeface="Calibri"/>
              </a:endParaRPr>
            </a:p>
          </xdr:txBody>
        </xdr:sp>
        <xdr:sp macro="" textlink="Dataset!Z2">
          <xdr:nvSpPr>
            <xdr:cNvPr id="50" name="TextBox 49">
              <a:extLst>
                <a:ext uri="{FF2B5EF4-FFF2-40B4-BE49-F238E27FC236}">
                  <a16:creationId xmlns:a16="http://schemas.microsoft.com/office/drawing/2014/main" id="{A3E28978-5CE8-424C-A25F-77EEB6EAE6B7}"/>
                </a:ext>
              </a:extLst>
            </xdr:cNvPr>
            <xdr:cNvSpPr txBox="1"/>
          </xdr:nvSpPr>
          <xdr:spPr>
            <a:xfrm>
              <a:off x="15030873" y="6487812"/>
              <a:ext cx="969066" cy="2603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B23B9B-66F9-B74D-BF94-3EDA671C4ED5}" type="TxLink">
                <a:rPr lang="en-US" sz="1200" b="0" i="0" u="none" strike="noStrike">
                  <a:solidFill>
                    <a:srgbClr val="000000"/>
                  </a:solidFill>
                  <a:latin typeface="Calibri"/>
                  <a:cs typeface="Calibri"/>
                </a:rPr>
                <a:t>359</a:t>
              </a:fld>
              <a:endParaRPr lang="en-GB" sz="1200" b="0">
                <a:solidFill>
                  <a:schemeClr val="tx1"/>
                </a:solidFill>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book " refreshedDate="46036.850568402777" createdVersion="8" refreshedVersion="8" minRefreshableVersion="3" recordCount="4039" xr:uid="{E721EA25-EC6E-604D-8CB6-7D6DCA9D2F6A}">
  <cacheSource type="worksheet">
    <worksheetSource name="Dataset"/>
  </cacheSource>
  <cacheFields count="14">
    <cacheField name="Order Id" numFmtId="0">
      <sharedItems/>
    </cacheField>
    <cacheField name="Order Date" numFmtId="49">
      <sharedItems/>
    </cacheField>
    <cacheField name="Transaction Type" numFmtId="0">
      <sharedItems count="4">
        <s v="Shipment"/>
        <s v="FreeReplacement"/>
        <s v="Cancel"/>
        <s v="Refund"/>
      </sharedItems>
    </cacheField>
    <cacheField name="Sku" numFmtId="0">
      <sharedItems count="316">
        <s v="8210 Brown 9"/>
        <s v="8210 Brown 7"/>
        <s v="2001 BLACK 08"/>
        <s v="2001 BLACK 09"/>
        <s v="6301_Brown_6"/>
        <s v="8210 Tan 10"/>
        <s v="8210-Tan-6"/>
        <s v="8210 Tan 9"/>
        <s v="8210 Black 9"/>
        <s v="8501 BLACK 12"/>
        <s v="8210 Black 7"/>
        <s v="2001 BLACK 12"/>
        <s v="501_BLACK_12"/>
        <s v="6301_Black_9"/>
        <s v="2002_BROWN_10"/>
        <s v="2001-BLACK-12"/>
        <s v="8210 Brown 10"/>
        <s v="8210 Tan 7"/>
        <s v="6301_Tan_10"/>
        <s v="6301_Brown_8"/>
        <s v="6301_Brown_9"/>
        <s v="8210-Black-10"/>
        <s v="4222_BROWN_12"/>
        <s v="6301_Black_10"/>
        <s v="8210 Black 10"/>
        <s v="2001-BLACK-08"/>
        <s v="8501 BLACK 11"/>
        <s v="8210 Tan 8"/>
        <s v="8505_BROWN_08"/>
        <s v="2002_BROWN_11"/>
        <s v="2002_BROWN_12"/>
        <s v="2001-BLACK-10"/>
        <s v="6301_Black_8"/>
        <s v="8210 Tan 6"/>
        <s v="1805 BLACK 06"/>
        <s v="8210 Black 8"/>
        <s v="2001_BROWN_10"/>
        <s v="4221_BROWN_10"/>
        <s v="2001 BLACK 11"/>
        <s v="8210 Brown 8"/>
        <s v="2002 BLACK 08"/>
        <s v="6301_Tan_8"/>
        <s v="301_BROWN_07"/>
        <s v="2505 BLACK 08"/>
        <s v="8210-Brown-7"/>
        <s v="8501 BLACK 08"/>
        <s v="305_BLACK_11"/>
        <s v="301_BROWN_09"/>
        <s v="8210 Brown 6"/>
        <s v="2501 Black 12"/>
        <s v="501_BLACK_08"/>
        <s v="A 5 BROWN_06"/>
        <s v="8210-Tan-8"/>
        <s v="4221_BROWN_11"/>
        <s v="SM OFQT 0OMM"/>
        <s v="8210 Black 6"/>
        <s v="2501 BLACK 08"/>
        <s v="8505 BLACK 12"/>
        <s v="F5 BRIA PSXO"/>
        <s v="8210-Black-9"/>
        <s v="4221_BROWN_12"/>
        <s v="6301_Tan_7"/>
        <s v="4222 BLACK 08"/>
        <s v="4222_BROWN_06"/>
        <s v="501_BLACK_10"/>
        <s v="2002 BLACK 12"/>
        <s v="2501 BLACK 07"/>
        <s v="RP RQG0 Q4D7"/>
        <s v="2001-BLACK-09"/>
        <s v="2001-BLACK-11"/>
        <s v="SM-OFQT-0OMM"/>
        <s v="2001_BROWN_09"/>
        <s v="8501_BROWN_12"/>
        <s v="1805 BLACK 07"/>
        <s v="8210-Tan-7"/>
        <s v="2501-Black-12"/>
        <s v="1805-BLACK-06"/>
        <s v="8505_BROWN_09"/>
        <s v="8505-BLACK-12"/>
        <s v="8210-Black-7"/>
        <s v="8210-Brown-8"/>
        <s v="2001-BLACK-07"/>
        <s v="8501-BLACK-11"/>
        <s v="8210-Tan-10"/>
        <s v="2505-BLACK-06"/>
        <s v="501_BLACK_07"/>
        <s v="8210-Brown-6"/>
        <s v="2002-BLACK-07"/>
        <s v="8210-Brown-9"/>
        <s v="2002-BLACK-11"/>
        <s v="2002-BLACK-12"/>
        <s v="2001_BROWN_12"/>
        <s v="8501-BLACK-10"/>
        <s v="4222_BROWN_11"/>
        <s v="1P-NKQ5-1QR8"/>
        <s v="8210-Black-8"/>
        <s v="2002_BROWN_07"/>
        <s v="4222-BLACK-06"/>
        <s v="8210-Brown-10"/>
        <s v="8501-BLACK-12"/>
        <s v="1804-BLACK-07"/>
        <s v="D-25-BLACK_07"/>
        <s v="8505-BLACK-09"/>
        <s v="8505_BROWN_10"/>
        <s v="F5-BRIA-PSXO"/>
        <s v="305_BLACK_12"/>
        <s v="8501-BLACK-06"/>
        <s v="1804-BLACK-08"/>
        <s v="4222-BLACK-08"/>
        <s v="505_TAN_09"/>
        <s v="1802-BLACK-09"/>
        <s v="6301_Tan_6"/>
        <s v="RP-RQG0-Q4D7"/>
        <s v="4222-BLACK-11"/>
        <s v="301_TAN_10"/>
        <s v="2501-Black-11"/>
        <s v="4222_BROWN_08"/>
        <s v="2002-BLACK-08"/>
        <s v="2002-Brown-12"/>
        <s v="ART_505_BROWN_07"/>
        <s v="8501_Brown-12"/>
        <s v="2001-Brown-07"/>
        <s v="501_BLACK_11"/>
        <s v="8210-Black-12"/>
        <s v="8210-Brown-11"/>
        <s v="8210-Black-11"/>
        <s v="2002_Black-11"/>
        <s v="2001-Brown-12"/>
        <s v="8210-Brown-12"/>
        <s v="2001-Brown-08"/>
        <s v="ART_505_BLACK_06"/>
        <s v="301_Tan-09"/>
        <s v="4222_Black-11"/>
        <s v="2001-BLACK-06"/>
        <s v="4222_Black-12"/>
        <s v="8501_Black-12"/>
        <s v="2002_Brown-12"/>
        <s v="2002_Black-12"/>
        <s v="301_Black-10"/>
        <s v="2001-Tan-08"/>
        <s v="4222_Black-09"/>
        <s v="8501_Black-11"/>
        <s v="4222_Black-08"/>
        <s v="2002_Brown-11"/>
        <s v="ART_505_BROWN_06"/>
        <s v="301_Black-12"/>
        <s v="1802-BLACK-12"/>
        <s v="2002_Brown-09"/>
        <s v="2002_Brown-08"/>
        <s v="2002_Brown-07"/>
        <s v="301_Tan-10"/>
        <s v="2002_Black-10"/>
        <s v="501_BLACK_06"/>
        <s v="301_Tan-11"/>
        <s v="2002_Black-08"/>
        <s v="2002_Tan-12"/>
        <s v="2002_Black-06"/>
        <s v="2002_Tan-07"/>
        <s v="4221_Black-12"/>
        <s v="8225-Brown-09"/>
        <s v="8205_Black_8"/>
        <s v="2002_Brown-06"/>
        <s v="8225-Black-08"/>
        <s v="301_Brown-10"/>
        <s v="2001-Tan-12"/>
        <s v="2002_Black-09"/>
        <s v="2001-Brown-11"/>
        <s v="A-5-BLACK_07"/>
        <s v="2002_Brown-10"/>
        <s v="4222_Black-10"/>
        <s v="1802-BLACK-10"/>
        <s v="ART_505_BROWN_08"/>
        <s v="1805-BLACK-12"/>
        <s v="4221_Black-09"/>
        <s v="2501-BLACK-06"/>
        <s v="4221_Black-10"/>
        <s v="8210-Black-6"/>
        <s v="2001-Brown-09"/>
        <s v="301_Brown-09"/>
        <s v="2001-Brown-06"/>
        <s v="2001-Tan-09"/>
        <s v="2002_Tan-09"/>
        <s v="4221_Brown-11"/>
        <s v="8501_Brown-11"/>
        <s v="305_Black-12"/>
        <s v="501_BROWN_11"/>
        <s v="6301_Brown_10"/>
        <s v="301_Tan-12"/>
        <s v="2002_Tan-10"/>
        <s v="301_Tan-08"/>
        <s v="2501-BLACK-10"/>
        <s v="2002_Tan-08"/>
        <s v="4221_Brown-06"/>
        <s v="2002_Black-07"/>
        <s v="8505_Black-11"/>
        <s v="2002_Tan-06"/>
        <s v="4222_Brown-10"/>
        <s v="2001-Tan-11"/>
        <s v="1805-BLACK-08"/>
        <s v="4222_Brown-11"/>
        <s v="8210-Tan-11"/>
        <s v="301_Black-08"/>
        <s v="8210-Tan-12"/>
        <s v="4222_Black-07"/>
        <s v="1804-BLACK-12"/>
        <s v="2501-BLACK-07"/>
        <s v="8210-Tan-9"/>
        <s v="301_Tan-07"/>
        <s v="8505_Black-12"/>
        <s v="J-5-BLACK_09"/>
        <s v="1805-BLACK-07"/>
        <s v="1802-BLACK-11"/>
        <s v="A-5-BLACK_08"/>
        <s v="1805-BLACK-11"/>
        <s v="8205_Tan_10"/>
        <s v="8505_Black-09"/>
        <s v="301_Tan-06"/>
        <s v="505_TAN_08"/>
        <s v="8501_Black-08"/>
        <s v="4222_Brown-09"/>
        <s v="2501-BLACK-08"/>
        <s v="ART_505_BLACK_11"/>
        <s v="4222_Black-06"/>
        <s v="8205_Black_6"/>
        <s v="ART_505_BROWN_12"/>
        <s v="301_Brown-11"/>
        <s v="305_Brown-11"/>
        <s v="2505-BLACK-09"/>
        <s v="8501_Black-09"/>
        <s v="301_Brown-12"/>
        <s v="ART_505_BROWN_11"/>
        <s v="301_Black-06"/>
        <s v="501_Tan_12"/>
        <s v="7201-Tan-8"/>
        <s v="8505_Black-07"/>
        <s v="501_BROWN_06"/>
        <s v="8505_Brown-12"/>
        <s v="2001-Tan-06"/>
        <s v="305_Black-11"/>
        <s v="2001-Brown-10"/>
        <s v="4221_Black-11"/>
        <s v="2001-Tan-10"/>
        <s v="301_Black-09"/>
        <s v="L-1-BLACK_07"/>
        <s v="305_Brown-10"/>
        <s v="8505_Black-06"/>
        <s v="305_Black-07"/>
        <s v="8505_Brown-09"/>
        <s v="2001-Tan-07"/>
        <s v="8501_Black-07"/>
        <s v="8501_Brown-07"/>
        <s v="4221_Brown-08"/>
        <s v="2501-BLACK-09"/>
        <s v="305_Black-10"/>
        <s v="501_BLACK_09"/>
        <s v="ART_505_BROWN_09"/>
        <s v="501_Tan_09"/>
        <s v="305_Brown-08"/>
        <s v="305_Brown-07"/>
        <s v="305_Black-09"/>
        <s v="505_TAN_10"/>
        <s v="L-1-BLACK_10"/>
        <s v="ART_505_BROWN_10"/>
        <s v="L-1-BROWN_08"/>
        <s v="L-10-BLACK_10"/>
        <s v="ART_505_BLACK_08"/>
        <s v="301_Brown-06"/>
        <s v="J-5-BLACK_08"/>
        <s v="1804-BLACK-10"/>
        <s v="4221_Brown-12"/>
        <s v="L-1-BLACK_06"/>
        <s v="8505_Brown-11"/>
        <s v="2002_Tan-11"/>
        <s v="8501_Black-10"/>
        <s v="1802-BLACK-08"/>
        <s v="8501_Brown-09"/>
        <s v="L-1-BLACK_08"/>
        <s v="501_BROWN_07"/>
        <s v="305_Tan-10"/>
        <s v="8505_Black-08"/>
        <s v="2505-BLACK-07"/>
        <s v="305_Tan-09"/>
        <s v="6301_Brown_7"/>
        <s v="7201-Tan-9"/>
        <s v="501_BROWN_09"/>
        <s v="ART_505_BLACK_07"/>
        <s v="ART_505_BLACK_12"/>
        <s v="1804-BLACK-06"/>
        <s v="L-1-BLACK_09"/>
        <s v="1804-BLACK-11"/>
        <s v="301_Brown-07"/>
        <s v="J-5-BROWN_10"/>
        <s v="A-1-BROWN_08"/>
        <s v="8505_Brown-07"/>
        <s v="J-5-BLACK_07"/>
        <s v="J-5-BLACK_06"/>
        <s v="1805-BLACK-10"/>
        <s v="4221_Black-07"/>
        <s v="4222_Brown-12"/>
        <s v="301_Brown-08"/>
        <s v="8501_Black-06"/>
        <s v="501_BROWN_12"/>
        <s v="4221_Black-08"/>
        <s v="8501_Brown-06"/>
        <s v="305_Brown-06"/>
        <s v="8505_Brown-10"/>
        <s v="8505_Black-10"/>
        <s v="8501_Brown-10"/>
        <s v="8205_Tan_7"/>
        <s v="L-5-BLACK_06"/>
        <s v="L-5-BROWN_08"/>
        <s v="8501_Brown-08"/>
        <s v="305_Brown-09"/>
        <s v="305_Tan-11"/>
        <s v="305_Black-06"/>
        <s v="505_TAN_12"/>
      </sharedItems>
    </cacheField>
    <cacheField name="Day" numFmtId="0">
      <sharedItems containsSemiMixedTypes="0" containsString="0" containsNumber="1" containsInteger="1" minValue="1" maxValue="31" count="31">
        <n v="1"/>
        <n v="2"/>
        <n v="3"/>
        <n v="4"/>
        <n v="5"/>
        <n v="6"/>
        <n v="8"/>
        <n v="7"/>
        <n v="9"/>
        <n v="11"/>
        <n v="10"/>
        <n v="12"/>
        <n v="13"/>
        <n v="14"/>
        <n v="15"/>
        <n v="16"/>
        <n v="17"/>
        <n v="19"/>
        <n v="18"/>
        <n v="20"/>
        <n v="21"/>
        <n v="22"/>
        <n v="24"/>
        <n v="23"/>
        <n v="25"/>
        <n v="26"/>
        <n v="27"/>
        <n v="28"/>
        <n v="29"/>
        <n v="30"/>
        <n v="31"/>
      </sharedItems>
    </cacheField>
    <cacheField name="Month" numFmtId="0">
      <sharedItems count="12">
        <s v="April"/>
        <s v="May"/>
        <s v="June"/>
        <s v="July"/>
        <s v="August"/>
        <s v="September"/>
        <s v="October"/>
        <s v="November"/>
        <s v="December"/>
        <s v="January"/>
        <s v="February"/>
        <s v="March"/>
      </sharedItems>
    </cacheField>
    <cacheField name="Year" numFmtId="0">
      <sharedItems containsSemiMixedTypes="0" containsString="0" containsNumber="1" containsInteger="1" minValue="2022" maxValue="2023" count="2">
        <n v="2022"/>
        <n v="2023"/>
      </sharedItems>
    </cacheField>
    <cacheField name="Ship To City" numFmtId="0">
      <sharedItems/>
    </cacheField>
    <cacheField name="Ship To State" numFmtId="0">
      <sharedItems count="37">
        <s v="BIHAR"/>
        <s v="UTTAR PRADESH"/>
        <s v="ANDHRA PRADESH"/>
        <s v="GUJARAT"/>
        <s v="ASSAM"/>
        <s v="KARNATAKA"/>
        <s v="MAHARASHTRA"/>
        <s v="TAMIL NADU"/>
        <s v="TELANGANA"/>
        <s v="KERALA"/>
        <s v="RAJASTHAN"/>
        <s v="JHARKHAND"/>
        <s v="AP"/>
        <s v="Madhya Pradesh"/>
        <s v="ODISHA"/>
        <s v="HARYANA"/>
        <s v="DELHI"/>
        <s v="NAGALAND"/>
        <s v="WEST BENGAL"/>
        <s v="JAMMU   KASHMIR"/>
        <s v="CHHATTISGARH"/>
        <s v="GOA"/>
        <s v="HIMACHAL PRADESH"/>
        <s v="MEGHALAYA"/>
        <s v="UTTARAKHAND"/>
        <s v="ANDAMAN   NICOBAR ISLANDS"/>
        <s v="PUNJAB"/>
        <s v="PUDUCHERRY"/>
        <s v="MIZORAM"/>
        <s v="MANIPUR"/>
        <s v="TRIPURA"/>
        <s v="JAMMU &amp; KASHMIR"/>
        <s v="ANDAMAN &amp; NICOBAR ISLANDS"/>
        <s v="CHANDIGARH"/>
        <s v="ARUNACHAL PRADESH"/>
        <s v="DADRA AND NAGAR HAVELI AND DAMAN AND DIU"/>
        <s v="SIKKIM"/>
      </sharedItems>
    </cacheField>
    <cacheField name="Sale Amount" numFmtId="0">
      <sharedItems containsSemiMixedTypes="0" containsString="0" containsNumber="1" minValue="-1778" maxValue="1778"/>
    </cacheField>
    <cacheField name="Comission Fee" numFmtId="0">
      <sharedItems containsSemiMixedTypes="0" containsString="0" containsNumber="1" containsInteger="1" minValue="0" maxValue="520"/>
    </cacheField>
    <cacheField name="Net Amount Received" numFmtId="0">
      <sharedItems containsSemiMixedTypes="0" containsString="0" containsNumber="1" minValue="-1280.52" maxValue="1291"/>
    </cacheField>
    <cacheField name="Product Cost" numFmtId="0">
      <sharedItems containsSemiMixedTypes="0" containsString="0" containsNumber="1" containsInteger="1" minValue="0" maxValue="240"/>
    </cacheField>
    <cacheField name="Profit &amp; Loss" numFmtId="0">
      <sharedItems containsSemiMixedTypes="0" containsString="0" containsNumber="1" minValue="-1040.52" maxValue="1051"/>
    </cacheField>
  </cacheFields>
  <extLst>
    <ext xmlns:x14="http://schemas.microsoft.com/office/spreadsheetml/2009/9/main" uri="{725AE2AE-9491-48be-B2B4-4EB974FC3084}">
      <x14:pivotCacheDefinition pivotCacheId="643666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9">
  <r>
    <s v="407-0123262-8437149"/>
    <s v="01/04/2022"/>
    <x v="0"/>
    <x v="0"/>
    <x v="0"/>
    <x v="0"/>
    <x v="0"/>
    <s v="PATNA"/>
    <x v="0"/>
    <n v="999"/>
    <n v="325"/>
    <n v="674"/>
    <n v="240"/>
    <n v="434"/>
  </r>
  <r>
    <s v="408-9239129-7321960"/>
    <s v="01/04/2022"/>
    <x v="1"/>
    <x v="0"/>
    <x v="0"/>
    <x v="0"/>
    <x v="0"/>
    <s v="GHAZIABAD"/>
    <x v="1"/>
    <n v="0"/>
    <n v="0"/>
    <n v="0"/>
    <n v="0"/>
    <n v="0"/>
  </r>
  <r>
    <s v="171-9687147-7067517"/>
    <s v="02/04/2022"/>
    <x v="0"/>
    <x v="1"/>
    <x v="1"/>
    <x v="0"/>
    <x v="0"/>
    <s v="KANIGIRI"/>
    <x v="2"/>
    <n v="799"/>
    <n v="205"/>
    <n v="594"/>
    <n v="240"/>
    <n v="354"/>
  </r>
  <r>
    <s v="408-7295235-7009911"/>
    <s v="02/04/2022"/>
    <x v="0"/>
    <x v="2"/>
    <x v="1"/>
    <x v="0"/>
    <x v="0"/>
    <s v="VADODARA"/>
    <x v="3"/>
    <n v="849"/>
    <n v="250"/>
    <n v="599"/>
    <n v="240"/>
    <n v="359"/>
  </r>
  <r>
    <s v="408-7295235-7009911"/>
    <s v="02/04/2022"/>
    <x v="0"/>
    <x v="3"/>
    <x v="1"/>
    <x v="0"/>
    <x v="0"/>
    <s v="VADODARA"/>
    <x v="3"/>
    <n v="849"/>
    <n v="250"/>
    <n v="599"/>
    <n v="240"/>
    <n v="359"/>
  </r>
  <r>
    <s v="407-6312772-3505904"/>
    <s v="02/04/2022"/>
    <x v="0"/>
    <x v="4"/>
    <x v="1"/>
    <x v="0"/>
    <x v="0"/>
    <s v="JORHAT"/>
    <x v="4"/>
    <n v="849"/>
    <n v="250"/>
    <n v="599"/>
    <n v="240"/>
    <n v="359"/>
  </r>
  <r>
    <s v="408-0662615-7900332"/>
    <s v="01/04/2022"/>
    <x v="1"/>
    <x v="5"/>
    <x v="0"/>
    <x v="0"/>
    <x v="0"/>
    <s v="Udhana Surat "/>
    <x v="3"/>
    <n v="0"/>
    <n v="0"/>
    <n v="0"/>
    <n v="0"/>
    <n v="0"/>
  </r>
  <r>
    <s v="404-8047412-4385920"/>
    <s v="03/04/2022"/>
    <x v="2"/>
    <x v="6"/>
    <x v="2"/>
    <x v="0"/>
    <x v="0"/>
    <s v="Lucknow"/>
    <x v="1"/>
    <n v="0"/>
    <n v="0"/>
    <n v="0"/>
    <n v="0"/>
    <n v="0"/>
  </r>
  <r>
    <s v="408-5489107-7373114"/>
    <s v="03/04/2022"/>
    <x v="0"/>
    <x v="7"/>
    <x v="2"/>
    <x v="0"/>
    <x v="0"/>
    <s v="AHMEDABAD"/>
    <x v="3"/>
    <n v="799"/>
    <n v="205"/>
    <n v="594"/>
    <n v="240"/>
    <n v="354"/>
  </r>
  <r>
    <s v="407-2810212-4075530"/>
    <s v="03/04/2022"/>
    <x v="0"/>
    <x v="8"/>
    <x v="2"/>
    <x v="0"/>
    <x v="0"/>
    <s v="RAJKOT"/>
    <x v="3"/>
    <n v="999"/>
    <n v="325"/>
    <n v="674"/>
    <n v="240"/>
    <n v="434"/>
  </r>
  <r>
    <s v="407-3287196-6243568"/>
    <s v="02/04/2022"/>
    <x v="0"/>
    <x v="0"/>
    <x v="1"/>
    <x v="0"/>
    <x v="0"/>
    <s v="NAWABGANJ GONDA DISTRICT"/>
    <x v="1"/>
    <n v="799"/>
    <n v="205"/>
    <n v="594"/>
    <n v="240"/>
    <n v="354"/>
  </r>
  <r>
    <s v="403-1907963-7609952"/>
    <s v="03/04/2022"/>
    <x v="0"/>
    <x v="9"/>
    <x v="2"/>
    <x v="0"/>
    <x v="0"/>
    <s v="DEVANAHALLI"/>
    <x v="5"/>
    <n v="849"/>
    <n v="250"/>
    <n v="599"/>
    <n v="240"/>
    <n v="359"/>
  </r>
  <r>
    <s v="171-5721489-9151540"/>
    <s v="04/04/2022"/>
    <x v="0"/>
    <x v="3"/>
    <x v="3"/>
    <x v="0"/>
    <x v="0"/>
    <s v="AMBARNATH"/>
    <x v="6"/>
    <n v="849"/>
    <n v="250"/>
    <n v="599"/>
    <n v="240"/>
    <n v="359"/>
  </r>
  <r>
    <s v="407-5899208-2968340"/>
    <s v="03/04/2022"/>
    <x v="0"/>
    <x v="10"/>
    <x v="2"/>
    <x v="0"/>
    <x v="0"/>
    <s v="TINSUKIA"/>
    <x v="4"/>
    <n v="999"/>
    <n v="325"/>
    <n v="674"/>
    <n v="240"/>
    <n v="434"/>
  </r>
  <r>
    <s v="405-6507694-4068357"/>
    <s v="02/04/2022"/>
    <x v="0"/>
    <x v="11"/>
    <x v="1"/>
    <x v="0"/>
    <x v="0"/>
    <s v="VASAI VIRAR"/>
    <x v="6"/>
    <n v="899"/>
    <n v="295"/>
    <n v="604"/>
    <n v="240"/>
    <n v="364"/>
  </r>
  <r>
    <s v="407-2707843-1277947"/>
    <s v="02/04/2022"/>
    <x v="0"/>
    <x v="12"/>
    <x v="1"/>
    <x v="0"/>
    <x v="0"/>
    <s v="NASHIK"/>
    <x v="6"/>
    <n v="849"/>
    <n v="250"/>
    <n v="599"/>
    <n v="240"/>
    <n v="359"/>
  </r>
  <r>
    <s v="407-3110345-1879500"/>
    <s v="04/04/2022"/>
    <x v="0"/>
    <x v="13"/>
    <x v="3"/>
    <x v="0"/>
    <x v="0"/>
    <s v="CHIPPADA PHARMA SEZ"/>
    <x v="2"/>
    <n v="849"/>
    <n v="250"/>
    <n v="599"/>
    <n v="240"/>
    <n v="359"/>
  </r>
  <r>
    <s v="402-4907683-1305157"/>
    <s v="03/04/2022"/>
    <x v="0"/>
    <x v="14"/>
    <x v="2"/>
    <x v="0"/>
    <x v="0"/>
    <s v="KALYAN west"/>
    <x v="6"/>
    <n v="799"/>
    <n v="205"/>
    <n v="594"/>
    <n v="240"/>
    <n v="354"/>
  </r>
  <r>
    <s v="407-8079264-0560331"/>
    <s v="03/04/2022"/>
    <x v="0"/>
    <x v="0"/>
    <x v="2"/>
    <x v="0"/>
    <x v="0"/>
    <s v="BALLIA"/>
    <x v="1"/>
    <n v="999"/>
    <n v="325"/>
    <n v="674"/>
    <n v="240"/>
    <n v="434"/>
  </r>
  <r>
    <s v="403-1686165-2718721"/>
    <s v="04/04/2022"/>
    <x v="2"/>
    <x v="15"/>
    <x v="3"/>
    <x v="0"/>
    <x v="0"/>
    <s v="TUMKUR"/>
    <x v="5"/>
    <n v="0"/>
    <n v="0"/>
    <n v="0"/>
    <n v="0"/>
    <n v="0"/>
  </r>
  <r>
    <s v="408-6286616-9451502"/>
    <s v="04/04/2022"/>
    <x v="0"/>
    <x v="11"/>
    <x v="3"/>
    <x v="0"/>
    <x v="0"/>
    <s v="CHENNAI"/>
    <x v="7"/>
    <n v="899"/>
    <n v="295"/>
    <n v="604"/>
    <n v="240"/>
    <n v="364"/>
  </r>
  <r>
    <s v="405-9906721-4979501"/>
    <s v="05/04/2022"/>
    <x v="0"/>
    <x v="16"/>
    <x v="4"/>
    <x v="0"/>
    <x v="0"/>
    <s v="thane"/>
    <x v="6"/>
    <n v="999"/>
    <n v="325"/>
    <n v="674"/>
    <n v="240"/>
    <n v="434"/>
  </r>
  <r>
    <s v="408-4874910-2630761"/>
    <s v="05/04/2022"/>
    <x v="0"/>
    <x v="9"/>
    <x v="4"/>
    <x v="0"/>
    <x v="0"/>
    <s v="Lucknow"/>
    <x v="1"/>
    <n v="849"/>
    <n v="250"/>
    <n v="599"/>
    <n v="240"/>
    <n v="359"/>
  </r>
  <r>
    <s v="405-5523814-0663527"/>
    <s v="05/04/2022"/>
    <x v="0"/>
    <x v="17"/>
    <x v="4"/>
    <x v="0"/>
    <x v="0"/>
    <s v="Kazhipattur"/>
    <x v="7"/>
    <n v="999"/>
    <n v="325"/>
    <n v="674"/>
    <n v="240"/>
    <n v="434"/>
  </r>
  <r>
    <s v="404-4975200-1645168"/>
    <s v="05/04/2022"/>
    <x v="0"/>
    <x v="11"/>
    <x v="4"/>
    <x v="0"/>
    <x v="0"/>
    <s v="Shankarpally"/>
    <x v="8"/>
    <n v="899"/>
    <n v="295"/>
    <n v="604"/>
    <n v="240"/>
    <n v="364"/>
  </r>
  <r>
    <s v="403-1428263-9314717"/>
    <s v="05/04/2022"/>
    <x v="0"/>
    <x v="11"/>
    <x v="4"/>
    <x v="0"/>
    <x v="0"/>
    <s v="TUMKUR"/>
    <x v="5"/>
    <n v="899"/>
    <n v="295"/>
    <n v="604"/>
    <n v="240"/>
    <n v="364"/>
  </r>
  <r>
    <s v="404-1299884-8204336"/>
    <s v="06/04/2022"/>
    <x v="0"/>
    <x v="8"/>
    <x v="5"/>
    <x v="0"/>
    <x v="0"/>
    <s v="NAGPUR"/>
    <x v="6"/>
    <n v="999"/>
    <n v="325"/>
    <n v="674"/>
    <n v="240"/>
    <n v="434"/>
  </r>
  <r>
    <s v="406-2742902-3989941"/>
    <s v="06/04/2022"/>
    <x v="0"/>
    <x v="18"/>
    <x v="5"/>
    <x v="0"/>
    <x v="0"/>
    <s v="MUMBAI"/>
    <x v="6"/>
    <n v="849"/>
    <n v="250"/>
    <n v="599"/>
    <n v="240"/>
    <n v="359"/>
  </r>
  <r>
    <s v="407-2091877-5582757"/>
    <s v="06/04/2022"/>
    <x v="0"/>
    <x v="12"/>
    <x v="5"/>
    <x v="0"/>
    <x v="0"/>
    <s v="CHENNAI"/>
    <x v="7"/>
    <n v="849"/>
    <n v="250"/>
    <n v="599"/>
    <n v="240"/>
    <n v="359"/>
  </r>
  <r>
    <s v="408-7295235-7009911"/>
    <s v="02/04/2022"/>
    <x v="3"/>
    <x v="2"/>
    <x v="1"/>
    <x v="0"/>
    <x v="0"/>
    <s v="VADODARA"/>
    <x v="3"/>
    <n v="-849"/>
    <n v="345"/>
    <n v="-504"/>
    <n v="240"/>
    <n v="-264"/>
  </r>
  <r>
    <s v="407-0123262-8437149"/>
    <s v="01/04/2022"/>
    <x v="3"/>
    <x v="0"/>
    <x v="0"/>
    <x v="0"/>
    <x v="0"/>
    <s v="PATNA"/>
    <x v="0"/>
    <n v="-999"/>
    <n v="395"/>
    <n v="-604"/>
    <n v="240"/>
    <n v="-364"/>
  </r>
  <r>
    <s v="405-2151158-1951552"/>
    <s v="08/04/2022"/>
    <x v="0"/>
    <x v="19"/>
    <x v="6"/>
    <x v="0"/>
    <x v="0"/>
    <s v="BARAUT"/>
    <x v="1"/>
    <n v="849"/>
    <n v="250"/>
    <n v="599"/>
    <n v="240"/>
    <n v="359"/>
  </r>
  <r>
    <s v="405-6585808-0961962"/>
    <s v="08/04/2022"/>
    <x v="0"/>
    <x v="20"/>
    <x v="6"/>
    <x v="0"/>
    <x v="0"/>
    <s v="VADODARA"/>
    <x v="3"/>
    <n v="849"/>
    <n v="250"/>
    <n v="599"/>
    <n v="240"/>
    <n v="359"/>
  </r>
  <r>
    <s v="171-1937995-3921923"/>
    <s v="07/04/2022"/>
    <x v="0"/>
    <x v="8"/>
    <x v="7"/>
    <x v="0"/>
    <x v="0"/>
    <s v="MUMBAI"/>
    <x v="6"/>
    <n v="999"/>
    <n v="325"/>
    <n v="674"/>
    <n v="240"/>
    <n v="434"/>
  </r>
  <r>
    <s v="408-9900572-8958709"/>
    <s v="09/04/2022"/>
    <x v="2"/>
    <x v="21"/>
    <x v="8"/>
    <x v="0"/>
    <x v="0"/>
    <s v="NANDYAL"/>
    <x v="2"/>
    <n v="0"/>
    <n v="0"/>
    <n v="0"/>
    <n v="0"/>
    <n v="0"/>
  </r>
  <r>
    <s v="404-8352395-2905959"/>
    <s v="07/04/2022"/>
    <x v="0"/>
    <x v="22"/>
    <x v="7"/>
    <x v="0"/>
    <x v="0"/>
    <s v="Thalassery"/>
    <x v="9"/>
    <n v="849"/>
    <n v="250"/>
    <n v="599"/>
    <n v="240"/>
    <n v="359"/>
  </r>
  <r>
    <s v="408-9950494-1576337"/>
    <s v="08/04/2022"/>
    <x v="0"/>
    <x v="8"/>
    <x v="6"/>
    <x v="0"/>
    <x v="0"/>
    <s v="HOSUR"/>
    <x v="7"/>
    <n v="999"/>
    <n v="325"/>
    <n v="674"/>
    <n v="240"/>
    <n v="434"/>
  </r>
  <r>
    <s v="171-5536728-5828318"/>
    <s v="06/04/2022"/>
    <x v="0"/>
    <x v="11"/>
    <x v="5"/>
    <x v="0"/>
    <x v="0"/>
    <s v="MUNNAR"/>
    <x v="9"/>
    <n v="899"/>
    <n v="295"/>
    <n v="604"/>
    <n v="240"/>
    <n v="364"/>
  </r>
  <r>
    <s v="408-8275199-9233965"/>
    <s v="08/04/2022"/>
    <x v="1"/>
    <x v="23"/>
    <x v="6"/>
    <x v="0"/>
    <x v="0"/>
    <s v="PAYAKARAO PETA"/>
    <x v="2"/>
    <n v="0"/>
    <n v="0"/>
    <n v="0"/>
    <n v="0"/>
    <n v="0"/>
  </r>
  <r>
    <s v="408-9900572-8958709"/>
    <s v="09/04/2022"/>
    <x v="0"/>
    <x v="24"/>
    <x v="8"/>
    <x v="0"/>
    <x v="0"/>
    <s v="NANDYAL"/>
    <x v="2"/>
    <n v="999"/>
    <n v="325"/>
    <n v="674"/>
    <n v="240"/>
    <n v="434"/>
  </r>
  <r>
    <s v="407-3222155-3272344"/>
    <s v="11/04/2022"/>
    <x v="2"/>
    <x v="25"/>
    <x v="9"/>
    <x v="0"/>
    <x v="0"/>
    <s v="BHILWARA"/>
    <x v="10"/>
    <n v="0"/>
    <n v="0"/>
    <n v="0"/>
    <n v="0"/>
    <n v="0"/>
  </r>
  <r>
    <s v="408-1579542-7011503"/>
    <s v="11/04/2022"/>
    <x v="1"/>
    <x v="17"/>
    <x v="9"/>
    <x v="0"/>
    <x v="0"/>
    <s v="Kazhipattur"/>
    <x v="7"/>
    <n v="0"/>
    <n v="0"/>
    <n v="0"/>
    <n v="0"/>
    <n v="0"/>
  </r>
  <r>
    <s v="407-7736682-2265150"/>
    <s v="10/04/2022"/>
    <x v="0"/>
    <x v="26"/>
    <x v="10"/>
    <x v="0"/>
    <x v="0"/>
    <s v="KAGAZNAGAR"/>
    <x v="8"/>
    <n v="849"/>
    <n v="250"/>
    <n v="599"/>
    <n v="240"/>
    <n v="359"/>
  </r>
  <r>
    <s v="404-4783270-8214760"/>
    <s v="10/04/2022"/>
    <x v="0"/>
    <x v="27"/>
    <x v="10"/>
    <x v="0"/>
    <x v="0"/>
    <s v="SEWAI"/>
    <x v="11"/>
    <n v="999"/>
    <n v="325"/>
    <n v="674"/>
    <n v="240"/>
    <n v="434"/>
  </r>
  <r>
    <s v="407-0354022-1930703"/>
    <s v="09/04/2022"/>
    <x v="0"/>
    <x v="28"/>
    <x v="8"/>
    <x v="0"/>
    <x v="0"/>
    <s v="TIRUPATI"/>
    <x v="12"/>
    <n v="799"/>
    <n v="205"/>
    <n v="594"/>
    <n v="240"/>
    <n v="354"/>
  </r>
  <r>
    <s v="406-0648479-2298756"/>
    <s v="11/04/2022"/>
    <x v="0"/>
    <x v="0"/>
    <x v="9"/>
    <x v="0"/>
    <x v="0"/>
    <s v="THANE"/>
    <x v="6"/>
    <n v="999"/>
    <n v="325"/>
    <n v="674"/>
    <n v="240"/>
    <n v="434"/>
  </r>
  <r>
    <s v="407-3222155-3272344"/>
    <s v="11/04/2022"/>
    <x v="0"/>
    <x v="2"/>
    <x v="9"/>
    <x v="0"/>
    <x v="0"/>
    <s v="BHILWARA"/>
    <x v="10"/>
    <n v="849"/>
    <n v="250"/>
    <n v="599"/>
    <n v="240"/>
    <n v="359"/>
  </r>
  <r>
    <s v="408-8029839-8853136"/>
    <s v="09/04/2022"/>
    <x v="0"/>
    <x v="11"/>
    <x v="8"/>
    <x v="0"/>
    <x v="0"/>
    <s v="Indore"/>
    <x v="13"/>
    <n v="899"/>
    <n v="295"/>
    <n v="604"/>
    <n v="240"/>
    <n v="364"/>
  </r>
  <r>
    <s v="403-5068799-8529937"/>
    <s v="09/04/2022"/>
    <x v="0"/>
    <x v="29"/>
    <x v="8"/>
    <x v="0"/>
    <x v="0"/>
    <s v="CHENNAI"/>
    <x v="7"/>
    <n v="849"/>
    <n v="250"/>
    <n v="599"/>
    <n v="240"/>
    <n v="359"/>
  </r>
  <r>
    <s v="405-4080280-6496322"/>
    <s v="10/04/2022"/>
    <x v="0"/>
    <x v="0"/>
    <x v="10"/>
    <x v="0"/>
    <x v="0"/>
    <s v="HYDERABAD"/>
    <x v="8"/>
    <n v="999"/>
    <n v="325"/>
    <n v="674"/>
    <n v="240"/>
    <n v="434"/>
  </r>
  <r>
    <s v="404-8669553-6781963"/>
    <s v="11/04/2022"/>
    <x v="0"/>
    <x v="8"/>
    <x v="9"/>
    <x v="0"/>
    <x v="0"/>
    <s v="BOUDH"/>
    <x v="14"/>
    <n v="999"/>
    <n v="325"/>
    <n v="674"/>
    <n v="240"/>
    <n v="434"/>
  </r>
  <r>
    <s v="407-4190464-1308349"/>
    <s v="09/04/2022"/>
    <x v="0"/>
    <x v="10"/>
    <x v="8"/>
    <x v="0"/>
    <x v="0"/>
    <s v="GURUGRAM"/>
    <x v="15"/>
    <n v="999"/>
    <n v="325"/>
    <n v="674"/>
    <n v="240"/>
    <n v="434"/>
  </r>
  <r>
    <s v="405-5643828-2271546"/>
    <s v="10/04/2022"/>
    <x v="0"/>
    <x v="0"/>
    <x v="10"/>
    <x v="0"/>
    <x v="0"/>
    <s v="NAGPUR"/>
    <x v="6"/>
    <n v="999"/>
    <n v="325"/>
    <n v="674"/>
    <n v="240"/>
    <n v="434"/>
  </r>
  <r>
    <s v="408-4560408-2559540"/>
    <s v="10/04/2022"/>
    <x v="0"/>
    <x v="30"/>
    <x v="10"/>
    <x v="0"/>
    <x v="0"/>
    <s v="CHENNAI"/>
    <x v="7"/>
    <n v="849"/>
    <n v="250"/>
    <n v="599"/>
    <n v="240"/>
    <n v="359"/>
  </r>
  <r>
    <s v="403-1428263-9314717"/>
    <s v="05/04/2022"/>
    <x v="3"/>
    <x v="11"/>
    <x v="4"/>
    <x v="0"/>
    <x v="0"/>
    <s v="TUMKUR"/>
    <x v="5"/>
    <n v="-899"/>
    <n v="375"/>
    <n v="-524"/>
    <n v="240"/>
    <n v="-284"/>
  </r>
  <r>
    <s v="403-7942259-7150768"/>
    <s v="12/04/2022"/>
    <x v="2"/>
    <x v="31"/>
    <x v="11"/>
    <x v="0"/>
    <x v="0"/>
    <s v="NEW DELHI"/>
    <x v="16"/>
    <n v="0"/>
    <n v="0"/>
    <n v="0"/>
    <n v="0"/>
    <n v="0"/>
  </r>
  <r>
    <s v="408-5061406-4050701"/>
    <s v="12/04/2022"/>
    <x v="2"/>
    <x v="21"/>
    <x v="11"/>
    <x v="0"/>
    <x v="0"/>
    <s v="NAVI MUMBAI"/>
    <x v="6"/>
    <n v="0"/>
    <n v="0"/>
    <n v="0"/>
    <n v="0"/>
    <n v="0"/>
  </r>
  <r>
    <s v="171-3050566-5357109"/>
    <s v="11/04/2022"/>
    <x v="0"/>
    <x v="32"/>
    <x v="9"/>
    <x v="0"/>
    <x v="0"/>
    <s v="MAUNATH BHANJAN"/>
    <x v="1"/>
    <n v="849"/>
    <n v="250"/>
    <n v="599"/>
    <n v="240"/>
    <n v="359"/>
  </r>
  <r>
    <s v="406-2332971-8532332"/>
    <s v="12/04/2022"/>
    <x v="0"/>
    <x v="33"/>
    <x v="11"/>
    <x v="0"/>
    <x v="0"/>
    <s v="Dimapur"/>
    <x v="17"/>
    <n v="999"/>
    <n v="325"/>
    <n v="674"/>
    <n v="240"/>
    <n v="434"/>
  </r>
  <r>
    <s v="404-1901662-1157148"/>
    <s v="11/04/2022"/>
    <x v="0"/>
    <x v="34"/>
    <x v="9"/>
    <x v="0"/>
    <x v="0"/>
    <s v="NANDED WAGHALA"/>
    <x v="6"/>
    <n v="799"/>
    <n v="205"/>
    <n v="594"/>
    <n v="240"/>
    <n v="354"/>
  </r>
  <r>
    <s v="171-0821698-5111518"/>
    <s v="11/04/2022"/>
    <x v="0"/>
    <x v="33"/>
    <x v="9"/>
    <x v="0"/>
    <x v="0"/>
    <s v="Mumbai"/>
    <x v="6"/>
    <n v="999"/>
    <n v="325"/>
    <n v="674"/>
    <n v="240"/>
    <n v="434"/>
  </r>
  <r>
    <s v="408-5061406-4050701"/>
    <s v="12/04/2022"/>
    <x v="0"/>
    <x v="24"/>
    <x v="11"/>
    <x v="0"/>
    <x v="0"/>
    <s v="NAVI MUMBAI"/>
    <x v="6"/>
    <n v="999"/>
    <n v="325"/>
    <n v="674"/>
    <n v="240"/>
    <n v="434"/>
  </r>
  <r>
    <s v="407-2091877-5582757"/>
    <s v="06/04/2022"/>
    <x v="3"/>
    <x v="12"/>
    <x v="5"/>
    <x v="0"/>
    <x v="0"/>
    <s v="CHENNAI"/>
    <x v="7"/>
    <n v="-849"/>
    <n v="345"/>
    <n v="-504"/>
    <n v="240"/>
    <n v="-264"/>
  </r>
  <r>
    <s v="406-2742902-3989941"/>
    <s v="06/04/2022"/>
    <x v="3"/>
    <x v="18"/>
    <x v="5"/>
    <x v="0"/>
    <x v="0"/>
    <s v="MUMBAI"/>
    <x v="6"/>
    <n v="-849"/>
    <n v="345"/>
    <n v="-504"/>
    <n v="240"/>
    <n v="-264"/>
  </r>
  <r>
    <s v="403-1907963-7609952"/>
    <s v="03/04/2022"/>
    <x v="3"/>
    <x v="9"/>
    <x v="2"/>
    <x v="0"/>
    <x v="0"/>
    <s v="DEVANAHALLI"/>
    <x v="5"/>
    <n v="-849"/>
    <n v="345"/>
    <n v="-504"/>
    <n v="240"/>
    <n v="-264"/>
  </r>
  <r>
    <s v="404-4653227-6865945"/>
    <s v="13/04/2022"/>
    <x v="0"/>
    <x v="35"/>
    <x v="12"/>
    <x v="0"/>
    <x v="0"/>
    <s v="AGRA"/>
    <x v="1"/>
    <n v="999"/>
    <n v="325"/>
    <n v="674"/>
    <n v="240"/>
    <n v="434"/>
  </r>
  <r>
    <s v="171-8793841-2823553"/>
    <s v="13/04/2022"/>
    <x v="0"/>
    <x v="36"/>
    <x v="12"/>
    <x v="0"/>
    <x v="0"/>
    <s v="PIMPRI CHINCHWAD"/>
    <x v="6"/>
    <n v="799"/>
    <n v="205"/>
    <n v="594"/>
    <n v="240"/>
    <n v="354"/>
  </r>
  <r>
    <s v="402-7585501-4977106"/>
    <s v="13/04/2022"/>
    <x v="0"/>
    <x v="37"/>
    <x v="12"/>
    <x v="0"/>
    <x v="0"/>
    <s v="BHIWANDI"/>
    <x v="6"/>
    <n v="799"/>
    <n v="205"/>
    <n v="594"/>
    <n v="240"/>
    <n v="354"/>
  </r>
  <r>
    <s v="403-6601577-8726711"/>
    <s v="13/04/2022"/>
    <x v="0"/>
    <x v="0"/>
    <x v="12"/>
    <x v="0"/>
    <x v="0"/>
    <s v="SURAT"/>
    <x v="3"/>
    <n v="999"/>
    <n v="325"/>
    <n v="674"/>
    <n v="240"/>
    <n v="434"/>
  </r>
  <r>
    <s v="406-2544318-3077908"/>
    <s v="14/04/2022"/>
    <x v="0"/>
    <x v="38"/>
    <x v="13"/>
    <x v="0"/>
    <x v="0"/>
    <s v="Jhajjar"/>
    <x v="15"/>
    <n v="899"/>
    <n v="295"/>
    <n v="604"/>
    <n v="240"/>
    <n v="364"/>
  </r>
  <r>
    <s v="402-3965480-1858702"/>
    <s v="13/04/2022"/>
    <x v="0"/>
    <x v="16"/>
    <x v="12"/>
    <x v="0"/>
    <x v="0"/>
    <s v="ALLAHABAD"/>
    <x v="1"/>
    <n v="999"/>
    <n v="325"/>
    <n v="674"/>
    <n v="240"/>
    <n v="434"/>
  </r>
  <r>
    <s v="403-6953502-8880349"/>
    <s v="13/04/2022"/>
    <x v="0"/>
    <x v="39"/>
    <x v="12"/>
    <x v="0"/>
    <x v="0"/>
    <s v="Hyderabad"/>
    <x v="8"/>
    <n v="999"/>
    <n v="325"/>
    <n v="674"/>
    <n v="240"/>
    <n v="434"/>
  </r>
  <r>
    <s v="403-8058062-1609165"/>
    <s v="13/04/2022"/>
    <x v="0"/>
    <x v="11"/>
    <x v="12"/>
    <x v="0"/>
    <x v="0"/>
    <s v="BURDWAN"/>
    <x v="18"/>
    <n v="899"/>
    <n v="295"/>
    <n v="604"/>
    <n v="240"/>
    <n v="364"/>
  </r>
  <r>
    <s v="402-9886469-6329132"/>
    <s v="13/04/2022"/>
    <x v="0"/>
    <x v="40"/>
    <x v="12"/>
    <x v="0"/>
    <x v="0"/>
    <s v="JAIPUR"/>
    <x v="10"/>
    <n v="799"/>
    <n v="205"/>
    <n v="594"/>
    <n v="240"/>
    <n v="354"/>
  </r>
  <r>
    <s v="405-0202378-1275503"/>
    <s v="13/04/2022"/>
    <x v="0"/>
    <x v="11"/>
    <x v="12"/>
    <x v="0"/>
    <x v="0"/>
    <s v="SARDARSHAHAR"/>
    <x v="10"/>
    <n v="899"/>
    <n v="295"/>
    <n v="604"/>
    <n v="240"/>
    <n v="364"/>
  </r>
  <r>
    <s v="406-7505643-8069159"/>
    <s v="14/04/2022"/>
    <x v="0"/>
    <x v="11"/>
    <x v="13"/>
    <x v="0"/>
    <x v="0"/>
    <s v="NAGPUR"/>
    <x v="6"/>
    <n v="899"/>
    <n v="295"/>
    <n v="604"/>
    <n v="240"/>
    <n v="364"/>
  </r>
  <r>
    <s v="402-8807151-0389947"/>
    <s v="15/04/2022"/>
    <x v="0"/>
    <x v="41"/>
    <x v="14"/>
    <x v="0"/>
    <x v="0"/>
    <s v="HYDERABAD"/>
    <x v="8"/>
    <n v="849"/>
    <n v="250"/>
    <n v="599"/>
    <n v="240"/>
    <n v="359"/>
  </r>
  <r>
    <s v="407-6803355-4877952"/>
    <s v="14/04/2022"/>
    <x v="0"/>
    <x v="3"/>
    <x v="13"/>
    <x v="0"/>
    <x v="0"/>
    <s v="Ahmedabad"/>
    <x v="3"/>
    <n v="849"/>
    <n v="250"/>
    <n v="599"/>
    <n v="240"/>
    <n v="359"/>
  </r>
  <r>
    <s v="407-7736682-2265150"/>
    <s v="10/04/2022"/>
    <x v="3"/>
    <x v="26"/>
    <x v="10"/>
    <x v="0"/>
    <x v="0"/>
    <s v="KAGAZNAGAR"/>
    <x v="8"/>
    <n v="-849"/>
    <n v="345"/>
    <n v="-504"/>
    <n v="240"/>
    <n v="-264"/>
  </r>
  <r>
    <s v="403-1114483-1712342"/>
    <s v="16/04/2022"/>
    <x v="0"/>
    <x v="1"/>
    <x v="15"/>
    <x v="0"/>
    <x v="0"/>
    <s v="NAVI MUMBAI"/>
    <x v="6"/>
    <n v="999"/>
    <n v="325"/>
    <n v="674"/>
    <n v="240"/>
    <n v="434"/>
  </r>
  <r>
    <s v="408-9943084-3425916"/>
    <s v="15/04/2022"/>
    <x v="0"/>
    <x v="16"/>
    <x v="14"/>
    <x v="0"/>
    <x v="0"/>
    <s v="Kakkanad"/>
    <x v="9"/>
    <n v="999"/>
    <n v="325"/>
    <n v="674"/>
    <n v="240"/>
    <n v="434"/>
  </r>
  <r>
    <s v="407-5471926-1791523"/>
    <s v="15/04/2022"/>
    <x v="0"/>
    <x v="11"/>
    <x v="14"/>
    <x v="0"/>
    <x v="0"/>
    <s v="MUMBAI"/>
    <x v="6"/>
    <n v="899"/>
    <n v="295"/>
    <n v="604"/>
    <n v="240"/>
    <n v="364"/>
  </r>
  <r>
    <s v="406-3533595-0185164"/>
    <s v="15/04/2022"/>
    <x v="0"/>
    <x v="18"/>
    <x v="14"/>
    <x v="0"/>
    <x v="0"/>
    <s v="MUMBAI"/>
    <x v="6"/>
    <n v="849"/>
    <n v="250"/>
    <n v="599"/>
    <n v="240"/>
    <n v="359"/>
  </r>
  <r>
    <s v="406-7465818-6227564"/>
    <s v="15/04/2022"/>
    <x v="0"/>
    <x v="39"/>
    <x v="14"/>
    <x v="0"/>
    <x v="0"/>
    <s v="SRINAGAR"/>
    <x v="19"/>
    <n v="999"/>
    <n v="325"/>
    <n v="674"/>
    <n v="240"/>
    <n v="434"/>
  </r>
  <r>
    <s v="408-3158940-8309965"/>
    <s v="15/04/2022"/>
    <x v="0"/>
    <x v="42"/>
    <x v="14"/>
    <x v="0"/>
    <x v="0"/>
    <s v="PUNE"/>
    <x v="6"/>
    <n v="799"/>
    <n v="205"/>
    <n v="594"/>
    <n v="240"/>
    <n v="354"/>
  </r>
  <r>
    <s v="403-0113609-5499575"/>
    <s v="15/04/2022"/>
    <x v="0"/>
    <x v="11"/>
    <x v="14"/>
    <x v="0"/>
    <x v="0"/>
    <s v="AHMEDABAD"/>
    <x v="3"/>
    <n v="899"/>
    <n v="295"/>
    <n v="604"/>
    <n v="240"/>
    <n v="364"/>
  </r>
  <r>
    <s v="403-4977976-7129902"/>
    <s v="16/04/2022"/>
    <x v="0"/>
    <x v="43"/>
    <x v="15"/>
    <x v="0"/>
    <x v="0"/>
    <s v="MUMBAI"/>
    <x v="6"/>
    <n v="799"/>
    <n v="205"/>
    <n v="594"/>
    <n v="240"/>
    <n v="354"/>
  </r>
  <r>
    <s v="408-1799431-6875551"/>
    <s v="16/04/2022"/>
    <x v="2"/>
    <x v="15"/>
    <x v="15"/>
    <x v="0"/>
    <x v="0"/>
    <s v="BUTIBORI MIDC"/>
    <x v="6"/>
    <n v="0"/>
    <n v="0"/>
    <n v="0"/>
    <n v="0"/>
    <n v="0"/>
  </r>
  <r>
    <s v="404-7755610-4977904"/>
    <s v="16/04/2022"/>
    <x v="2"/>
    <x v="44"/>
    <x v="15"/>
    <x v="0"/>
    <x v="0"/>
    <s v="Perinthalmanna"/>
    <x v="9"/>
    <n v="0"/>
    <n v="0"/>
    <n v="0"/>
    <n v="0"/>
    <n v="0"/>
  </r>
  <r>
    <s v="402-9886469-6329132"/>
    <s v="13/04/2022"/>
    <x v="3"/>
    <x v="40"/>
    <x v="12"/>
    <x v="0"/>
    <x v="0"/>
    <s v="JAIPUR"/>
    <x v="10"/>
    <n v="-799"/>
    <n v="320"/>
    <n v="-479"/>
    <n v="240"/>
    <n v="-239"/>
  </r>
  <r>
    <s v="406-2544318-3077908"/>
    <s v="14/04/2022"/>
    <x v="3"/>
    <x v="38"/>
    <x v="13"/>
    <x v="0"/>
    <x v="0"/>
    <s v="Jhajjar"/>
    <x v="15"/>
    <n v="-899"/>
    <n v="375"/>
    <n v="-524"/>
    <n v="240"/>
    <n v="-284"/>
  </r>
  <r>
    <s v="402-3965480-1858702"/>
    <s v="13/04/2022"/>
    <x v="3"/>
    <x v="16"/>
    <x v="12"/>
    <x v="0"/>
    <x v="0"/>
    <s v="ALLAHABAD"/>
    <x v="1"/>
    <n v="-999"/>
    <n v="395"/>
    <n v="-604"/>
    <n v="240"/>
    <n v="-364"/>
  </r>
  <r>
    <s v="408-4560408-2559540"/>
    <s v="10/04/2022"/>
    <x v="3"/>
    <x v="30"/>
    <x v="10"/>
    <x v="0"/>
    <x v="0"/>
    <s v="CHENNAI"/>
    <x v="7"/>
    <n v="-849"/>
    <n v="345"/>
    <n v="-504"/>
    <n v="240"/>
    <n v="-264"/>
  </r>
  <r>
    <s v="404-8352395-2905959"/>
    <s v="07/04/2022"/>
    <x v="3"/>
    <x v="22"/>
    <x v="7"/>
    <x v="0"/>
    <x v="0"/>
    <s v="Thalassery"/>
    <x v="9"/>
    <n v="-849"/>
    <n v="345"/>
    <n v="-504"/>
    <n v="240"/>
    <n v="-264"/>
  </r>
  <r>
    <s v="408-8177274-4816316"/>
    <s v="17/04/2022"/>
    <x v="0"/>
    <x v="39"/>
    <x v="16"/>
    <x v="0"/>
    <x v="0"/>
    <s v="BENGALURU"/>
    <x v="5"/>
    <n v="999"/>
    <n v="325"/>
    <n v="674"/>
    <n v="240"/>
    <n v="434"/>
  </r>
  <r>
    <s v="403-9452134-6682764"/>
    <s v="17/04/2022"/>
    <x v="0"/>
    <x v="45"/>
    <x v="16"/>
    <x v="0"/>
    <x v="0"/>
    <s v="RAIPUR"/>
    <x v="20"/>
    <n v="799"/>
    <n v="205"/>
    <n v="594"/>
    <n v="240"/>
    <n v="354"/>
  </r>
  <r>
    <s v="404-1191631-1707559"/>
    <s v="16/04/2022"/>
    <x v="0"/>
    <x v="27"/>
    <x v="15"/>
    <x v="0"/>
    <x v="0"/>
    <s v="MIHONA"/>
    <x v="13"/>
    <n v="999"/>
    <n v="325"/>
    <n v="674"/>
    <n v="240"/>
    <n v="434"/>
  </r>
  <r>
    <s v="402-5320836-4114704"/>
    <s v="16/04/2022"/>
    <x v="0"/>
    <x v="11"/>
    <x v="15"/>
    <x v="0"/>
    <x v="0"/>
    <s v="PUNE"/>
    <x v="6"/>
    <n v="899"/>
    <n v="295"/>
    <n v="604"/>
    <n v="240"/>
    <n v="364"/>
  </r>
  <r>
    <s v="408-1104788-2713164"/>
    <s v="16/04/2022"/>
    <x v="0"/>
    <x v="11"/>
    <x v="15"/>
    <x v="0"/>
    <x v="0"/>
    <s v="panaji"/>
    <x v="21"/>
    <n v="899"/>
    <n v="295"/>
    <n v="604"/>
    <n v="240"/>
    <n v="364"/>
  </r>
  <r>
    <s v="405-1783725-5410751"/>
    <s v="16/04/2022"/>
    <x v="0"/>
    <x v="46"/>
    <x v="15"/>
    <x v="0"/>
    <x v="0"/>
    <s v="VISAKHAPATNAM"/>
    <x v="2"/>
    <n v="849"/>
    <n v="250"/>
    <n v="599"/>
    <n v="240"/>
    <n v="359"/>
  </r>
  <r>
    <s v="408-1799431-6875551"/>
    <s v="16/04/2022"/>
    <x v="0"/>
    <x v="11"/>
    <x v="15"/>
    <x v="0"/>
    <x v="0"/>
    <s v="BUTIBORI MIDC"/>
    <x v="6"/>
    <n v="899"/>
    <n v="295"/>
    <n v="604"/>
    <n v="240"/>
    <n v="364"/>
  </r>
  <r>
    <s v="405-8871080-9062744"/>
    <s v="16/04/2022"/>
    <x v="0"/>
    <x v="11"/>
    <x v="15"/>
    <x v="0"/>
    <x v="0"/>
    <s v="HYDERABAD"/>
    <x v="8"/>
    <n v="899"/>
    <n v="295"/>
    <n v="604"/>
    <n v="240"/>
    <n v="364"/>
  </r>
  <r>
    <s v="405-9590102-4064306"/>
    <s v="17/04/2022"/>
    <x v="0"/>
    <x v="11"/>
    <x v="16"/>
    <x v="0"/>
    <x v="0"/>
    <s v="RANCHI"/>
    <x v="11"/>
    <n v="899"/>
    <n v="295"/>
    <n v="604"/>
    <n v="240"/>
    <n v="364"/>
  </r>
  <r>
    <s v="404-2381474-5945107"/>
    <s v="19/04/2022"/>
    <x v="2"/>
    <x v="47"/>
    <x v="17"/>
    <x v="0"/>
    <x v="0"/>
    <s v="SURAT"/>
    <x v="3"/>
    <n v="0"/>
    <n v="0"/>
    <n v="0"/>
    <n v="0"/>
    <n v="0"/>
  </r>
  <r>
    <s v="406-3660420-9153115"/>
    <s v="18/04/2022"/>
    <x v="0"/>
    <x v="48"/>
    <x v="18"/>
    <x v="0"/>
    <x v="0"/>
    <s v="THANE"/>
    <x v="6"/>
    <n v="999"/>
    <n v="325"/>
    <n v="674"/>
    <n v="240"/>
    <n v="434"/>
  </r>
  <r>
    <s v="404-7427711-2444343"/>
    <s v="18/04/2022"/>
    <x v="0"/>
    <x v="49"/>
    <x v="18"/>
    <x v="0"/>
    <x v="0"/>
    <s v="NOIDA"/>
    <x v="1"/>
    <n v="799"/>
    <n v="205"/>
    <n v="594"/>
    <n v="240"/>
    <n v="354"/>
  </r>
  <r>
    <s v="406-9096713-8186711"/>
    <s v="18/04/2022"/>
    <x v="0"/>
    <x v="50"/>
    <x v="18"/>
    <x v="0"/>
    <x v="0"/>
    <s v="ARVI"/>
    <x v="6"/>
    <n v="799"/>
    <n v="205"/>
    <n v="594"/>
    <n v="240"/>
    <n v="354"/>
  </r>
  <r>
    <s v="404-2381474-5945107"/>
    <s v="19/04/2022"/>
    <x v="0"/>
    <x v="47"/>
    <x v="17"/>
    <x v="0"/>
    <x v="0"/>
    <s v="SURAT"/>
    <x v="3"/>
    <n v="799"/>
    <n v="205"/>
    <n v="594"/>
    <n v="240"/>
    <n v="354"/>
  </r>
  <r>
    <s v="404-4490797-1974730"/>
    <s v="18/04/2022"/>
    <x v="0"/>
    <x v="1"/>
    <x v="18"/>
    <x v="0"/>
    <x v="0"/>
    <s v="Perinthalmanna"/>
    <x v="9"/>
    <n v="999"/>
    <n v="325"/>
    <n v="674"/>
    <n v="240"/>
    <n v="434"/>
  </r>
  <r>
    <s v="403-2814713-1201950"/>
    <s v="18/04/2022"/>
    <x v="0"/>
    <x v="48"/>
    <x v="18"/>
    <x v="0"/>
    <x v="0"/>
    <s v="VAISHALI"/>
    <x v="0"/>
    <n v="999"/>
    <n v="325"/>
    <n v="674"/>
    <n v="240"/>
    <n v="434"/>
  </r>
  <r>
    <s v="402-8820390-0895530"/>
    <s v="18/04/2022"/>
    <x v="0"/>
    <x v="30"/>
    <x v="18"/>
    <x v="0"/>
    <x v="0"/>
    <s v="NEW DELHI"/>
    <x v="16"/>
    <n v="849"/>
    <n v="250"/>
    <n v="599"/>
    <n v="240"/>
    <n v="359"/>
  </r>
  <r>
    <s v="408-7840600-9505102"/>
    <s v="19/04/2022"/>
    <x v="1"/>
    <x v="36"/>
    <x v="17"/>
    <x v="0"/>
    <x v="0"/>
    <s v="PIMPRI CHINCHWAD"/>
    <x v="6"/>
    <n v="0"/>
    <n v="0"/>
    <n v="0"/>
    <n v="0"/>
    <n v="0"/>
  </r>
  <r>
    <s v="406-9208105-6009150"/>
    <s v="17/04/2022"/>
    <x v="0"/>
    <x v="51"/>
    <x v="16"/>
    <x v="0"/>
    <x v="0"/>
    <s v="VADODARA"/>
    <x v="3"/>
    <n v="999"/>
    <n v="325"/>
    <n v="674"/>
    <n v="240"/>
    <n v="434"/>
  </r>
  <r>
    <s v="402-6506260-3382751"/>
    <s v="19/04/2022"/>
    <x v="2"/>
    <x v="52"/>
    <x v="17"/>
    <x v="0"/>
    <x v="0"/>
    <s v="BHIWANDI"/>
    <x v="6"/>
    <n v="0"/>
    <n v="0"/>
    <n v="0"/>
    <n v="0"/>
    <n v="0"/>
  </r>
  <r>
    <s v="406-8466662-5761912"/>
    <s v="20/04/2022"/>
    <x v="2"/>
    <x v="15"/>
    <x v="19"/>
    <x v="0"/>
    <x v="0"/>
    <s v="HYDERABAD"/>
    <x v="8"/>
    <n v="0"/>
    <n v="0"/>
    <n v="0"/>
    <n v="0"/>
    <n v="0"/>
  </r>
  <r>
    <s v="407-5471926-1791523"/>
    <s v="15/04/2022"/>
    <x v="3"/>
    <x v="11"/>
    <x v="14"/>
    <x v="0"/>
    <x v="0"/>
    <s v="MUMBAI"/>
    <x v="6"/>
    <n v="-899"/>
    <n v="375"/>
    <n v="-524"/>
    <n v="240"/>
    <n v="-284"/>
  </r>
  <r>
    <s v="405-2225428-0510724"/>
    <s v="19/04/2022"/>
    <x v="0"/>
    <x v="53"/>
    <x v="17"/>
    <x v="0"/>
    <x v="0"/>
    <s v="Hyderabad"/>
    <x v="8"/>
    <n v="849"/>
    <n v="250"/>
    <n v="599"/>
    <n v="240"/>
    <n v="359"/>
  </r>
  <r>
    <s v="404-4051137-2177100"/>
    <s v="19/04/2022"/>
    <x v="0"/>
    <x v="9"/>
    <x v="17"/>
    <x v="0"/>
    <x v="0"/>
    <s v="NEW DELHI"/>
    <x v="16"/>
    <n v="849"/>
    <n v="250"/>
    <n v="599"/>
    <n v="240"/>
    <n v="359"/>
  </r>
  <r>
    <s v="402-3965100-6915517"/>
    <s v="19/04/2022"/>
    <x v="0"/>
    <x v="27"/>
    <x v="17"/>
    <x v="0"/>
    <x v="0"/>
    <s v="BHIWANDI"/>
    <x v="6"/>
    <n v="999"/>
    <n v="325"/>
    <n v="674"/>
    <n v="240"/>
    <n v="434"/>
  </r>
  <r>
    <s v="406-1150050-7242731"/>
    <s v="19/04/2022"/>
    <x v="0"/>
    <x v="54"/>
    <x v="17"/>
    <x v="0"/>
    <x v="0"/>
    <s v="BENGALURU"/>
    <x v="5"/>
    <n v="799"/>
    <n v="205"/>
    <n v="594"/>
    <n v="240"/>
    <n v="354"/>
  </r>
  <r>
    <s v="408-2091958-1908321"/>
    <s v="20/04/2022"/>
    <x v="0"/>
    <x v="55"/>
    <x v="19"/>
    <x v="0"/>
    <x v="0"/>
    <s v="BENGALURU"/>
    <x v="5"/>
    <n v="999"/>
    <n v="325"/>
    <n v="674"/>
    <n v="240"/>
    <n v="434"/>
  </r>
  <r>
    <s v="405-1516207-6784360"/>
    <s v="20/04/2022"/>
    <x v="0"/>
    <x v="0"/>
    <x v="19"/>
    <x v="0"/>
    <x v="0"/>
    <s v="Coimbatore"/>
    <x v="7"/>
    <n v="999"/>
    <n v="325"/>
    <n v="674"/>
    <n v="240"/>
    <n v="434"/>
  </r>
  <r>
    <s v="407-3110345-1879500"/>
    <s v="04/04/2022"/>
    <x v="3"/>
    <x v="13"/>
    <x v="3"/>
    <x v="0"/>
    <x v="0"/>
    <s v="CHIPPADA PHARMA SEZ"/>
    <x v="2"/>
    <n v="-849"/>
    <n v="345"/>
    <n v="-504"/>
    <n v="240"/>
    <n v="-264"/>
  </r>
  <r>
    <s v="407-2707843-1277947"/>
    <s v="02/04/2022"/>
    <x v="3"/>
    <x v="12"/>
    <x v="1"/>
    <x v="0"/>
    <x v="0"/>
    <s v="NASHIK"/>
    <x v="6"/>
    <n v="-849"/>
    <n v="345"/>
    <n v="-504"/>
    <n v="240"/>
    <n v="-264"/>
  </r>
  <r>
    <s v="405-2386901-7377909"/>
    <s v="21/04/2022"/>
    <x v="0"/>
    <x v="56"/>
    <x v="20"/>
    <x v="0"/>
    <x v="0"/>
    <s v="NAGPUR"/>
    <x v="6"/>
    <n v="799"/>
    <n v="205"/>
    <n v="594"/>
    <n v="240"/>
    <n v="354"/>
  </r>
  <r>
    <s v="404-8737768-7278722"/>
    <s v="21/04/2022"/>
    <x v="0"/>
    <x v="1"/>
    <x v="20"/>
    <x v="0"/>
    <x v="0"/>
    <s v="DARJEELING"/>
    <x v="18"/>
    <n v="999"/>
    <n v="325"/>
    <n v="674"/>
    <n v="240"/>
    <n v="434"/>
  </r>
  <r>
    <s v="406-8466662-5761912"/>
    <s v="20/04/2022"/>
    <x v="0"/>
    <x v="11"/>
    <x v="19"/>
    <x v="0"/>
    <x v="0"/>
    <s v="HYDERABAD"/>
    <x v="8"/>
    <n v="899"/>
    <n v="295"/>
    <n v="604"/>
    <n v="240"/>
    <n v="364"/>
  </r>
  <r>
    <s v="402-4210749-3369137"/>
    <s v="21/04/2022"/>
    <x v="0"/>
    <x v="57"/>
    <x v="20"/>
    <x v="0"/>
    <x v="0"/>
    <s v="MUMBAI"/>
    <x v="6"/>
    <n v="849"/>
    <n v="250"/>
    <n v="599"/>
    <n v="240"/>
    <n v="359"/>
  </r>
  <r>
    <s v="405-0202378-1275503"/>
    <s v="13/04/2022"/>
    <x v="3"/>
    <x v="11"/>
    <x v="12"/>
    <x v="0"/>
    <x v="0"/>
    <s v="SARDARSHAHAR"/>
    <x v="10"/>
    <n v="-899"/>
    <n v="375"/>
    <n v="-524"/>
    <n v="240"/>
    <n v="-284"/>
  </r>
  <r>
    <s v="403-8058062-1609165"/>
    <s v="13/04/2022"/>
    <x v="3"/>
    <x v="11"/>
    <x v="12"/>
    <x v="0"/>
    <x v="0"/>
    <s v="BURDWAN"/>
    <x v="18"/>
    <n v="-899"/>
    <n v="375"/>
    <n v="-524"/>
    <n v="240"/>
    <n v="-284"/>
  </r>
  <r>
    <s v="404-4653227-6865945"/>
    <s v="13/04/2022"/>
    <x v="3"/>
    <x v="35"/>
    <x v="12"/>
    <x v="0"/>
    <x v="0"/>
    <s v="AGRA"/>
    <x v="1"/>
    <n v="-999"/>
    <n v="395"/>
    <n v="-604"/>
    <n v="240"/>
    <n v="-364"/>
  </r>
  <r>
    <s v="402-8820390-0895530"/>
    <s v="18/04/2022"/>
    <x v="3"/>
    <x v="30"/>
    <x v="18"/>
    <x v="0"/>
    <x v="0"/>
    <s v="NEW DELHI"/>
    <x v="16"/>
    <n v="-849"/>
    <n v="345"/>
    <n v="-504"/>
    <n v="240"/>
    <n v="-264"/>
  </r>
  <r>
    <s v="403-4977976-7129902"/>
    <s v="16/04/2022"/>
    <x v="3"/>
    <x v="43"/>
    <x v="15"/>
    <x v="0"/>
    <x v="0"/>
    <s v="MUMBAI"/>
    <x v="6"/>
    <n v="-799"/>
    <n v="320"/>
    <n v="-479"/>
    <n v="240"/>
    <n v="-239"/>
  </r>
  <r>
    <s v="404-1630099-3789103"/>
    <s v="21/04/2022"/>
    <x v="0"/>
    <x v="58"/>
    <x v="20"/>
    <x v="0"/>
    <x v="0"/>
    <s v="GURUGRAM"/>
    <x v="15"/>
    <n v="799"/>
    <n v="205"/>
    <n v="594"/>
    <n v="240"/>
    <n v="354"/>
  </r>
  <r>
    <s v="405-6400529-4933909"/>
    <s v="22/04/2022"/>
    <x v="2"/>
    <x v="59"/>
    <x v="21"/>
    <x v="0"/>
    <x v="0"/>
    <s v="KOLKATA"/>
    <x v="18"/>
    <n v="0"/>
    <n v="0"/>
    <n v="0"/>
    <n v="0"/>
    <n v="0"/>
  </r>
  <r>
    <s v="171-3198168-9321914"/>
    <s v="22/04/2022"/>
    <x v="2"/>
    <x v="15"/>
    <x v="21"/>
    <x v="0"/>
    <x v="0"/>
    <s v="AGIRIPALLE"/>
    <x v="2"/>
    <n v="0"/>
    <n v="0"/>
    <n v="0"/>
    <n v="0"/>
    <n v="0"/>
  </r>
  <r>
    <s v="407-6803355-4877952"/>
    <s v="14/04/2022"/>
    <x v="3"/>
    <x v="3"/>
    <x v="13"/>
    <x v="0"/>
    <x v="0"/>
    <s v="Ahmedabad"/>
    <x v="3"/>
    <n v="-849"/>
    <n v="345"/>
    <n v="-504"/>
    <n v="240"/>
    <n v="-264"/>
  </r>
  <r>
    <s v="405-6400529-4933909"/>
    <s v="22/04/2022"/>
    <x v="0"/>
    <x v="8"/>
    <x v="21"/>
    <x v="0"/>
    <x v="0"/>
    <s v="KOLKATA"/>
    <x v="18"/>
    <n v="999"/>
    <n v="325"/>
    <n v="674"/>
    <n v="240"/>
    <n v="434"/>
  </r>
  <r>
    <s v="403-9922528-7095509"/>
    <s v="22/04/2022"/>
    <x v="0"/>
    <x v="43"/>
    <x v="21"/>
    <x v="0"/>
    <x v="0"/>
    <s v="MUMBAI"/>
    <x v="6"/>
    <n v="799"/>
    <n v="205"/>
    <n v="594"/>
    <n v="240"/>
    <n v="354"/>
  </r>
  <r>
    <s v="171-3198168-9321914"/>
    <s v="22/04/2022"/>
    <x v="0"/>
    <x v="11"/>
    <x v="21"/>
    <x v="0"/>
    <x v="0"/>
    <s v="AGIRIPALLE"/>
    <x v="2"/>
    <n v="899"/>
    <n v="295"/>
    <n v="604"/>
    <n v="240"/>
    <n v="364"/>
  </r>
  <r>
    <s v="404-8412396-5450721"/>
    <s v="22/04/2022"/>
    <x v="0"/>
    <x v="11"/>
    <x v="21"/>
    <x v="0"/>
    <x v="0"/>
    <s v="Bengaluru"/>
    <x v="5"/>
    <n v="899"/>
    <n v="295"/>
    <n v="604"/>
    <n v="240"/>
    <n v="364"/>
  </r>
  <r>
    <s v="405-9590102-4064306"/>
    <s v="17/04/2022"/>
    <x v="3"/>
    <x v="11"/>
    <x v="16"/>
    <x v="0"/>
    <x v="0"/>
    <s v="RANCHI"/>
    <x v="11"/>
    <n v="-899"/>
    <n v="375"/>
    <n v="-524"/>
    <n v="240"/>
    <n v="-284"/>
  </r>
  <r>
    <s v="402-5320836-4114704"/>
    <s v="16/04/2022"/>
    <x v="3"/>
    <x v="11"/>
    <x v="15"/>
    <x v="0"/>
    <x v="0"/>
    <s v="PUNE"/>
    <x v="6"/>
    <n v="-899"/>
    <n v="375"/>
    <n v="-524"/>
    <n v="240"/>
    <n v="-284"/>
  </r>
  <r>
    <s v="407-0925535-5302740"/>
    <s v="24/04/2022"/>
    <x v="2"/>
    <x v="12"/>
    <x v="22"/>
    <x v="0"/>
    <x v="0"/>
    <s v="Vijayawada"/>
    <x v="2"/>
    <n v="0"/>
    <n v="0"/>
    <n v="0"/>
    <n v="0"/>
    <n v="0"/>
  </r>
  <r>
    <s v="404-4490797-1974730"/>
    <s v="18/04/2022"/>
    <x v="3"/>
    <x v="1"/>
    <x v="18"/>
    <x v="0"/>
    <x v="0"/>
    <s v="Perinthalmanna"/>
    <x v="9"/>
    <n v="-999"/>
    <n v="395"/>
    <n v="-604"/>
    <n v="240"/>
    <n v="-364"/>
  </r>
  <r>
    <s v="407-6775880-0678705"/>
    <s v="23/04/2022"/>
    <x v="0"/>
    <x v="7"/>
    <x v="23"/>
    <x v="0"/>
    <x v="0"/>
    <s v="KARWAR"/>
    <x v="5"/>
    <n v="999"/>
    <n v="325"/>
    <n v="674"/>
    <n v="240"/>
    <n v="434"/>
  </r>
  <r>
    <s v="402-5305893-9855544"/>
    <s v="23/04/2022"/>
    <x v="0"/>
    <x v="11"/>
    <x v="23"/>
    <x v="0"/>
    <x v="0"/>
    <s v="AHMEDABAD"/>
    <x v="3"/>
    <n v="899"/>
    <n v="295"/>
    <n v="604"/>
    <n v="240"/>
    <n v="364"/>
  </r>
  <r>
    <s v="402-5305893-9855544"/>
    <s v="23/04/2022"/>
    <x v="0"/>
    <x v="60"/>
    <x v="23"/>
    <x v="0"/>
    <x v="0"/>
    <s v="AHMEDABAD"/>
    <x v="3"/>
    <n v="849"/>
    <n v="250"/>
    <n v="599"/>
    <n v="240"/>
    <n v="359"/>
  </r>
  <r>
    <s v="403-4512511-2849126"/>
    <s v="23/04/2022"/>
    <x v="0"/>
    <x v="61"/>
    <x v="23"/>
    <x v="0"/>
    <x v="0"/>
    <s v="HYDERABAD"/>
    <x v="8"/>
    <n v="1698"/>
    <n v="407"/>
    <n v="1291"/>
    <n v="240"/>
    <n v="1051"/>
  </r>
  <r>
    <s v="405-2225428-0510724"/>
    <s v="19/04/2022"/>
    <x v="3"/>
    <x v="53"/>
    <x v="17"/>
    <x v="0"/>
    <x v="0"/>
    <s v="Hyderabad"/>
    <x v="8"/>
    <n v="-849"/>
    <n v="345"/>
    <n v="-504"/>
    <n v="240"/>
    <n v="-264"/>
  </r>
  <r>
    <s v="403-4512511-2849126"/>
    <s v="23/04/2022"/>
    <x v="3"/>
    <x v="61"/>
    <x v="23"/>
    <x v="0"/>
    <x v="0"/>
    <s v="HYDERABAD"/>
    <x v="8"/>
    <n v="-1698"/>
    <n v="425"/>
    <n v="-1273"/>
    <n v="240"/>
    <n v="-1033"/>
  </r>
  <r>
    <s v="406-8022632-5988342"/>
    <s v="24/04/2022"/>
    <x v="0"/>
    <x v="14"/>
    <x v="22"/>
    <x v="0"/>
    <x v="0"/>
    <s v="KOLKATA"/>
    <x v="18"/>
    <n v="799"/>
    <n v="205"/>
    <n v="594"/>
    <n v="240"/>
    <n v="354"/>
  </r>
  <r>
    <s v="402-2872878-0837936"/>
    <s v="24/04/2022"/>
    <x v="0"/>
    <x v="39"/>
    <x v="22"/>
    <x v="0"/>
    <x v="0"/>
    <s v="URAVAKONDA Mandal  Ananatapur District"/>
    <x v="2"/>
    <n v="999"/>
    <n v="325"/>
    <n v="674"/>
    <n v="240"/>
    <n v="434"/>
  </r>
  <r>
    <s v="408-0305472-1102709"/>
    <s v="25/04/2022"/>
    <x v="1"/>
    <x v="54"/>
    <x v="24"/>
    <x v="0"/>
    <x v="0"/>
    <s v="BENGALURU"/>
    <x v="5"/>
    <n v="0"/>
    <n v="0"/>
    <n v="0"/>
    <n v="0"/>
    <n v="0"/>
  </r>
  <r>
    <s v="402-6312077-3730716"/>
    <s v="25/04/2022"/>
    <x v="0"/>
    <x v="62"/>
    <x v="24"/>
    <x v="0"/>
    <x v="0"/>
    <s v="LUCKNOW"/>
    <x v="1"/>
    <n v="799"/>
    <n v="205"/>
    <n v="594"/>
    <n v="240"/>
    <n v="354"/>
  </r>
  <r>
    <s v="405-2151158-1951552"/>
    <s v="08/04/2022"/>
    <x v="3"/>
    <x v="19"/>
    <x v="6"/>
    <x v="0"/>
    <x v="0"/>
    <s v="BARAUT"/>
    <x v="1"/>
    <n v="-849"/>
    <n v="345"/>
    <n v="-504"/>
    <n v="240"/>
    <n v="-264"/>
  </r>
  <r>
    <s v="402-8807151-0389947"/>
    <s v="15/04/2022"/>
    <x v="3"/>
    <x v="41"/>
    <x v="14"/>
    <x v="0"/>
    <x v="0"/>
    <s v="HYDERABAD"/>
    <x v="8"/>
    <n v="-849"/>
    <n v="345"/>
    <n v="-504"/>
    <n v="240"/>
    <n v="-264"/>
  </r>
  <r>
    <s v="406-8345114-4281103"/>
    <s v="26/04/2022"/>
    <x v="0"/>
    <x v="38"/>
    <x v="25"/>
    <x v="0"/>
    <x v="0"/>
    <s v="Mel Padappai"/>
    <x v="7"/>
    <n v="899"/>
    <n v="295"/>
    <n v="604"/>
    <n v="240"/>
    <n v="364"/>
  </r>
  <r>
    <s v="402-4932748-2637914"/>
    <s v="26/04/2022"/>
    <x v="0"/>
    <x v="11"/>
    <x v="25"/>
    <x v="0"/>
    <x v="0"/>
    <s v="HOSKOTE"/>
    <x v="5"/>
    <n v="899"/>
    <n v="295"/>
    <n v="604"/>
    <n v="240"/>
    <n v="364"/>
  </r>
  <r>
    <s v="404-4051137-2177100"/>
    <s v="19/04/2022"/>
    <x v="3"/>
    <x v="9"/>
    <x v="17"/>
    <x v="0"/>
    <x v="0"/>
    <s v="NEW DELHI"/>
    <x v="16"/>
    <n v="-849"/>
    <n v="345"/>
    <n v="-504"/>
    <n v="240"/>
    <n v="-264"/>
  </r>
  <r>
    <s v="402-4210749-3369137"/>
    <s v="21/04/2022"/>
    <x v="3"/>
    <x v="57"/>
    <x v="20"/>
    <x v="0"/>
    <x v="0"/>
    <s v="MUMBAI"/>
    <x v="6"/>
    <n v="-849"/>
    <n v="345"/>
    <n v="-504"/>
    <n v="240"/>
    <n v="-264"/>
  </r>
  <r>
    <s v="407-6411093-9031529"/>
    <s v="26/04/2022"/>
    <x v="0"/>
    <x v="33"/>
    <x v="25"/>
    <x v="0"/>
    <x v="0"/>
    <s v="NAVI MUMBAI"/>
    <x v="6"/>
    <n v="999"/>
    <n v="325"/>
    <n v="674"/>
    <n v="240"/>
    <n v="434"/>
  </r>
  <r>
    <s v="408-5848115-2847559"/>
    <s v="25/04/2022"/>
    <x v="0"/>
    <x v="63"/>
    <x v="24"/>
    <x v="0"/>
    <x v="0"/>
    <s v="YAVATMAL"/>
    <x v="6"/>
    <n v="799"/>
    <n v="205"/>
    <n v="594"/>
    <n v="240"/>
    <n v="354"/>
  </r>
  <r>
    <s v="405-8072679-1934737"/>
    <s v="27/04/2022"/>
    <x v="0"/>
    <x v="9"/>
    <x v="26"/>
    <x v="0"/>
    <x v="0"/>
    <s v="NOIDA"/>
    <x v="1"/>
    <n v="849"/>
    <n v="250"/>
    <n v="599"/>
    <n v="240"/>
    <n v="359"/>
  </r>
  <r>
    <s v="407-4940333-6789961"/>
    <s v="24/04/2022"/>
    <x v="0"/>
    <x v="64"/>
    <x v="22"/>
    <x v="0"/>
    <x v="0"/>
    <s v="BADLAPUR"/>
    <x v="6"/>
    <n v="799"/>
    <n v="205"/>
    <n v="594"/>
    <n v="240"/>
    <n v="354"/>
  </r>
  <r>
    <s v="405-6549775-3952368"/>
    <s v="26/04/2022"/>
    <x v="0"/>
    <x v="0"/>
    <x v="25"/>
    <x v="0"/>
    <x v="0"/>
    <s v="VASAI VIRAR"/>
    <x v="6"/>
    <n v="999"/>
    <n v="325"/>
    <n v="674"/>
    <n v="240"/>
    <n v="434"/>
  </r>
  <r>
    <s v="404-6053987-2934734"/>
    <s v="24/04/2022"/>
    <x v="0"/>
    <x v="65"/>
    <x v="22"/>
    <x v="0"/>
    <x v="0"/>
    <s v="MUMBAI"/>
    <x v="6"/>
    <n v="849"/>
    <n v="250"/>
    <n v="599"/>
    <n v="240"/>
    <n v="359"/>
  </r>
  <r>
    <s v="404-8412396-5450721"/>
    <s v="22/04/2022"/>
    <x v="3"/>
    <x v="11"/>
    <x v="21"/>
    <x v="0"/>
    <x v="0"/>
    <s v="Bengaluru"/>
    <x v="5"/>
    <n v="-899"/>
    <n v="375"/>
    <n v="-524"/>
    <n v="240"/>
    <n v="-284"/>
  </r>
  <r>
    <s v="408-6265490-2984341"/>
    <s v="28/04/2022"/>
    <x v="0"/>
    <x v="3"/>
    <x v="27"/>
    <x v="0"/>
    <x v="0"/>
    <s v="TIRUNELVELI"/>
    <x v="7"/>
    <n v="849"/>
    <n v="250"/>
    <n v="599"/>
    <n v="240"/>
    <n v="359"/>
  </r>
  <r>
    <s v="408-0204044-2481151"/>
    <s v="27/04/2022"/>
    <x v="0"/>
    <x v="2"/>
    <x v="26"/>
    <x v="0"/>
    <x v="0"/>
    <s v="TALALA"/>
    <x v="3"/>
    <n v="849"/>
    <n v="250"/>
    <n v="599"/>
    <n v="240"/>
    <n v="359"/>
  </r>
  <r>
    <s v="406-6511153-6309168"/>
    <s v="28/04/2022"/>
    <x v="0"/>
    <x v="66"/>
    <x v="27"/>
    <x v="0"/>
    <x v="0"/>
    <s v="CHICHLI"/>
    <x v="13"/>
    <n v="799"/>
    <n v="205"/>
    <n v="594"/>
    <n v="240"/>
    <n v="354"/>
  </r>
  <r>
    <s v="402-0046740-1875530"/>
    <s v="29/04/2022"/>
    <x v="2"/>
    <x v="15"/>
    <x v="28"/>
    <x v="0"/>
    <x v="0"/>
    <s v="COIMBATORE"/>
    <x v="7"/>
    <n v="0"/>
    <n v="0"/>
    <n v="0"/>
    <n v="0"/>
    <n v="0"/>
  </r>
  <r>
    <s v="403-3661802-2506705"/>
    <s v="28/04/2022"/>
    <x v="2"/>
    <x v="15"/>
    <x v="27"/>
    <x v="0"/>
    <x v="0"/>
    <s v="ROURKELA"/>
    <x v="14"/>
    <n v="0"/>
    <n v="0"/>
    <n v="0"/>
    <n v="0"/>
    <n v="0"/>
  </r>
  <r>
    <s v="408-8496105-4492303"/>
    <s v="29/04/2022"/>
    <x v="1"/>
    <x v="51"/>
    <x v="28"/>
    <x v="0"/>
    <x v="0"/>
    <s v="VADODARA"/>
    <x v="3"/>
    <n v="0"/>
    <n v="0"/>
    <n v="0"/>
    <n v="0"/>
    <n v="0"/>
  </r>
  <r>
    <s v="405-2036538-3264361"/>
    <s v="29/04/2022"/>
    <x v="0"/>
    <x v="11"/>
    <x v="28"/>
    <x v="0"/>
    <x v="0"/>
    <s v="Kundli"/>
    <x v="15"/>
    <n v="849"/>
    <n v="250"/>
    <n v="599"/>
    <n v="240"/>
    <n v="359"/>
  </r>
  <r>
    <s v="407-2765951-2792356"/>
    <s v="29/04/2022"/>
    <x v="0"/>
    <x v="58"/>
    <x v="28"/>
    <x v="0"/>
    <x v="0"/>
    <s v="CHENNAI"/>
    <x v="7"/>
    <n v="799"/>
    <n v="205"/>
    <n v="594"/>
    <n v="240"/>
    <n v="354"/>
  </r>
  <r>
    <s v="408-3035571-3641113"/>
    <s v="29/04/2022"/>
    <x v="0"/>
    <x v="38"/>
    <x v="28"/>
    <x v="0"/>
    <x v="0"/>
    <s v="Jogulamba gadwal"/>
    <x v="8"/>
    <n v="899"/>
    <n v="295"/>
    <n v="604"/>
    <n v="240"/>
    <n v="364"/>
  </r>
  <r>
    <s v="407-6775880-0678705"/>
    <s v="23/04/2022"/>
    <x v="3"/>
    <x v="7"/>
    <x v="23"/>
    <x v="0"/>
    <x v="0"/>
    <s v="KARWAR"/>
    <x v="5"/>
    <n v="-999"/>
    <n v="395"/>
    <n v="-604"/>
    <n v="240"/>
    <n v="-364"/>
  </r>
  <r>
    <s v="403-6635504-6434757"/>
    <s v="30/04/2022"/>
    <x v="0"/>
    <x v="11"/>
    <x v="29"/>
    <x v="0"/>
    <x v="0"/>
    <s v="ROURKELA"/>
    <x v="14"/>
    <n v="849"/>
    <n v="250"/>
    <n v="599"/>
    <n v="240"/>
    <n v="359"/>
  </r>
  <r>
    <s v="405-5221881-9021955"/>
    <s v="30/04/2022"/>
    <x v="0"/>
    <x v="49"/>
    <x v="29"/>
    <x v="0"/>
    <x v="0"/>
    <s v="AHMEDABAD"/>
    <x v="3"/>
    <n v="799"/>
    <n v="205"/>
    <n v="594"/>
    <n v="240"/>
    <n v="354"/>
  </r>
  <r>
    <s v="407-1316353-2526762"/>
    <s v="29/04/2022"/>
    <x v="0"/>
    <x v="26"/>
    <x v="28"/>
    <x v="0"/>
    <x v="0"/>
    <s v="RANCHI"/>
    <x v="11"/>
    <n v="849"/>
    <n v="250"/>
    <n v="599"/>
    <n v="240"/>
    <n v="359"/>
  </r>
  <r>
    <s v="404-1602565-7870765"/>
    <s v="30/04/2022"/>
    <x v="0"/>
    <x v="11"/>
    <x v="29"/>
    <x v="0"/>
    <x v="0"/>
    <s v="NAVI MUMBAI"/>
    <x v="6"/>
    <n v="849"/>
    <n v="250"/>
    <n v="599"/>
    <n v="240"/>
    <n v="359"/>
  </r>
  <r>
    <s v="407-8520002-6007530"/>
    <s v="30/04/2022"/>
    <x v="0"/>
    <x v="33"/>
    <x v="29"/>
    <x v="0"/>
    <x v="0"/>
    <s v="AHMEDABAD"/>
    <x v="3"/>
    <n v="999"/>
    <n v="325"/>
    <n v="674"/>
    <n v="240"/>
    <n v="434"/>
  </r>
  <r>
    <s v="404-4222651-4704319"/>
    <s v="30/04/2022"/>
    <x v="0"/>
    <x v="1"/>
    <x v="29"/>
    <x v="0"/>
    <x v="0"/>
    <s v="KANGRA"/>
    <x v="22"/>
    <n v="999"/>
    <n v="325"/>
    <n v="674"/>
    <n v="240"/>
    <n v="434"/>
  </r>
  <r>
    <s v="408-6974938-1808333"/>
    <s v="30/04/2022"/>
    <x v="0"/>
    <x v="67"/>
    <x v="29"/>
    <x v="0"/>
    <x v="0"/>
    <s v="PUNE"/>
    <x v="6"/>
    <n v="799"/>
    <n v="205"/>
    <n v="594"/>
    <n v="240"/>
    <n v="354"/>
  </r>
  <r>
    <s v="405-8072679-1934737"/>
    <s v="27/04/2022"/>
    <x v="3"/>
    <x v="9"/>
    <x v="26"/>
    <x v="0"/>
    <x v="0"/>
    <s v="NOIDA"/>
    <x v="1"/>
    <n v="-849"/>
    <n v="345"/>
    <n v="-504"/>
    <n v="240"/>
    <n v="-264"/>
  </r>
  <r>
    <s v="406-6511153-6309168"/>
    <s v="28/04/2022"/>
    <x v="3"/>
    <x v="66"/>
    <x v="27"/>
    <x v="0"/>
    <x v="0"/>
    <s v="CHICHLI"/>
    <x v="13"/>
    <n v="-799"/>
    <n v="320"/>
    <n v="-479"/>
    <n v="240"/>
    <n v="-239"/>
  </r>
  <r>
    <s v="408-6265490-2984341"/>
    <s v="28/04/2022"/>
    <x v="3"/>
    <x v="68"/>
    <x v="27"/>
    <x v="0"/>
    <x v="0"/>
    <s v="TIRUNELVELI"/>
    <x v="7"/>
    <n v="-849"/>
    <n v="345"/>
    <n v="-504"/>
    <n v="240"/>
    <n v="-264"/>
  </r>
  <r>
    <s v="407-8520002-6007530"/>
    <s v="30/04/2022"/>
    <x v="3"/>
    <x v="6"/>
    <x v="29"/>
    <x v="0"/>
    <x v="0"/>
    <s v="AHMEDABAD"/>
    <x v="3"/>
    <n v="-999"/>
    <n v="395"/>
    <n v="-604"/>
    <n v="240"/>
    <n v="-364"/>
  </r>
  <r>
    <s v="405-2036538-3264361"/>
    <s v="29/04/2022"/>
    <x v="3"/>
    <x v="15"/>
    <x v="28"/>
    <x v="0"/>
    <x v="0"/>
    <s v="Kundli"/>
    <x v="15"/>
    <n v="-849"/>
    <n v="345"/>
    <n v="-504"/>
    <n v="240"/>
    <n v="-264"/>
  </r>
  <r>
    <s v="408-3035571-3641113"/>
    <s v="29/04/2022"/>
    <x v="3"/>
    <x v="69"/>
    <x v="28"/>
    <x v="0"/>
    <x v="0"/>
    <s v="Jogulamba gadwal"/>
    <x v="8"/>
    <n v="-899"/>
    <n v="375"/>
    <n v="-524"/>
    <n v="240"/>
    <n v="-284"/>
  </r>
  <r>
    <s v="406-1150050-7242731"/>
    <s v="19/04/2022"/>
    <x v="3"/>
    <x v="70"/>
    <x v="17"/>
    <x v="0"/>
    <x v="0"/>
    <s v="BENGALURU"/>
    <x v="5"/>
    <n v="-799"/>
    <n v="320"/>
    <n v="-479"/>
    <n v="240"/>
    <n v="-239"/>
  </r>
  <r>
    <s v="404-1602565-7870765"/>
    <s v="30/04/2022"/>
    <x v="3"/>
    <x v="15"/>
    <x v="29"/>
    <x v="0"/>
    <x v="0"/>
    <s v="NAVI MUMBAI"/>
    <x v="6"/>
    <n v="-849"/>
    <n v="345"/>
    <n v="-504"/>
    <n v="240"/>
    <n v="-264"/>
  </r>
  <r>
    <s v="402-6180085-1228315"/>
    <s v="01/05/2022"/>
    <x v="0"/>
    <x v="71"/>
    <x v="0"/>
    <x v="1"/>
    <x v="0"/>
    <s v="MUMBAI"/>
    <x v="6"/>
    <n v="799"/>
    <n v="205"/>
    <n v="594"/>
    <n v="240"/>
    <n v="354"/>
  </r>
  <r>
    <s v="406-8624511-7869928"/>
    <s v="01/05/2022"/>
    <x v="0"/>
    <x v="72"/>
    <x v="0"/>
    <x v="1"/>
    <x v="0"/>
    <s v="GURUGRAM"/>
    <x v="15"/>
    <n v="849"/>
    <n v="250"/>
    <n v="599"/>
    <n v="240"/>
    <n v="359"/>
  </r>
  <r>
    <s v="408-2882576-0053111"/>
    <s v="01/05/2022"/>
    <x v="0"/>
    <x v="73"/>
    <x v="0"/>
    <x v="1"/>
    <x v="0"/>
    <s v="HYDERABAD"/>
    <x v="8"/>
    <n v="799"/>
    <n v="205"/>
    <n v="594"/>
    <n v="240"/>
    <n v="354"/>
  </r>
  <r>
    <s v="406-9214024-7348309"/>
    <s v="01/05/2022"/>
    <x v="2"/>
    <x v="69"/>
    <x v="0"/>
    <x v="1"/>
    <x v="0"/>
    <s v="Chengalpattu"/>
    <x v="7"/>
    <n v="0"/>
    <n v="0"/>
    <n v="0"/>
    <n v="0"/>
    <n v="0"/>
  </r>
  <r>
    <s v="404-4003460-0575509"/>
    <s v="02/05/2022"/>
    <x v="0"/>
    <x v="11"/>
    <x v="1"/>
    <x v="1"/>
    <x v="0"/>
    <s v="BENGALURU"/>
    <x v="5"/>
    <n v="849"/>
    <n v="250"/>
    <n v="599"/>
    <n v="240"/>
    <n v="359"/>
  </r>
  <r>
    <s v="171-5890449-4718757"/>
    <s v="02/05/2022"/>
    <x v="0"/>
    <x v="11"/>
    <x v="1"/>
    <x v="1"/>
    <x v="0"/>
    <s v="JAGGAMPETA"/>
    <x v="2"/>
    <n v="849"/>
    <n v="250"/>
    <n v="599"/>
    <n v="240"/>
    <n v="359"/>
  </r>
  <r>
    <s v="171-9112140-0982767"/>
    <s v="02/05/2022"/>
    <x v="0"/>
    <x v="11"/>
    <x v="1"/>
    <x v="1"/>
    <x v="0"/>
    <s v="JAIPUR"/>
    <x v="10"/>
    <n v="849"/>
    <n v="250"/>
    <n v="599"/>
    <n v="240"/>
    <n v="359"/>
  </r>
  <r>
    <s v="408-3253980-2952339"/>
    <s v="02/05/2022"/>
    <x v="0"/>
    <x v="11"/>
    <x v="1"/>
    <x v="1"/>
    <x v="0"/>
    <s v="SHILLONG"/>
    <x v="23"/>
    <n v="849"/>
    <n v="250"/>
    <n v="599"/>
    <n v="240"/>
    <n v="359"/>
  </r>
  <r>
    <s v="408-3075015-0987509"/>
    <s v="02/05/2022"/>
    <x v="0"/>
    <x v="39"/>
    <x v="1"/>
    <x v="1"/>
    <x v="0"/>
    <s v="CUTTACKcuttack"/>
    <x v="14"/>
    <n v="999"/>
    <n v="325"/>
    <n v="674"/>
    <n v="240"/>
    <n v="434"/>
  </r>
  <r>
    <s v="408-3777042-0012344"/>
    <s v="03/05/2022"/>
    <x v="0"/>
    <x v="11"/>
    <x v="2"/>
    <x v="1"/>
    <x v="0"/>
    <s v="VIRAJPETE"/>
    <x v="5"/>
    <n v="849"/>
    <n v="250"/>
    <n v="599"/>
    <n v="240"/>
    <n v="359"/>
  </r>
  <r>
    <s v="405-2079489-8213111"/>
    <s v="03/05/2022"/>
    <x v="0"/>
    <x v="39"/>
    <x v="2"/>
    <x v="1"/>
    <x v="0"/>
    <s v="Delhi"/>
    <x v="16"/>
    <n v="999"/>
    <n v="325"/>
    <n v="674"/>
    <n v="240"/>
    <n v="434"/>
  </r>
  <r>
    <s v="405-5832395-9253122"/>
    <s v="03/05/2022"/>
    <x v="0"/>
    <x v="35"/>
    <x v="2"/>
    <x v="1"/>
    <x v="0"/>
    <s v="CHENNAI"/>
    <x v="7"/>
    <n v="999"/>
    <n v="325"/>
    <n v="674"/>
    <n v="240"/>
    <n v="434"/>
  </r>
  <r>
    <s v="407-8470199-9964307"/>
    <s v="03/05/2022"/>
    <x v="0"/>
    <x v="11"/>
    <x v="2"/>
    <x v="1"/>
    <x v="0"/>
    <s v="NEW DELHI"/>
    <x v="16"/>
    <n v="849"/>
    <n v="250"/>
    <n v="599"/>
    <n v="240"/>
    <n v="359"/>
  </r>
  <r>
    <s v="405-2141566-8549167"/>
    <s v="03/05/2022"/>
    <x v="0"/>
    <x v="1"/>
    <x v="2"/>
    <x v="1"/>
    <x v="0"/>
    <s v="JAMJODHPUR"/>
    <x v="3"/>
    <n v="999"/>
    <n v="325"/>
    <n v="674"/>
    <n v="240"/>
    <n v="434"/>
  </r>
  <r>
    <s v="404-7400284-5827505"/>
    <s v="04/05/2022"/>
    <x v="2"/>
    <x v="72"/>
    <x v="3"/>
    <x v="1"/>
    <x v="0"/>
    <s v="KOTHAMANGALAM"/>
    <x v="9"/>
    <n v="0"/>
    <n v="0"/>
    <n v="0"/>
    <n v="0"/>
    <n v="0"/>
  </r>
  <r>
    <s v="403-7448422-7475537"/>
    <s v="04/05/2022"/>
    <x v="2"/>
    <x v="15"/>
    <x v="3"/>
    <x v="1"/>
    <x v="0"/>
    <s v="JODHPUR"/>
    <x v="10"/>
    <n v="0"/>
    <n v="0"/>
    <n v="0"/>
    <n v="0"/>
    <n v="0"/>
  </r>
  <r>
    <s v="403-7448422-7475537"/>
    <s v="04/05/2022"/>
    <x v="0"/>
    <x v="11"/>
    <x v="3"/>
    <x v="1"/>
    <x v="0"/>
    <s v="JODHPUR"/>
    <x v="10"/>
    <n v="849"/>
    <n v="250"/>
    <n v="599"/>
    <n v="240"/>
    <n v="359"/>
  </r>
  <r>
    <s v="404-7400284-5827505"/>
    <s v="04/05/2022"/>
    <x v="0"/>
    <x v="72"/>
    <x v="3"/>
    <x v="1"/>
    <x v="0"/>
    <s v="KOTHAMANGALAM"/>
    <x v="9"/>
    <n v="849"/>
    <n v="250"/>
    <n v="599"/>
    <n v="240"/>
    <n v="359"/>
  </r>
  <r>
    <s v="403-5128674-7109923"/>
    <s v="04/05/2022"/>
    <x v="0"/>
    <x v="8"/>
    <x v="3"/>
    <x v="1"/>
    <x v="0"/>
    <s v="INDORE"/>
    <x v="13"/>
    <n v="999"/>
    <n v="325"/>
    <n v="674"/>
    <n v="240"/>
    <n v="434"/>
  </r>
  <r>
    <s v="406-0178470-3753119"/>
    <s v="05/05/2022"/>
    <x v="2"/>
    <x v="74"/>
    <x v="4"/>
    <x v="1"/>
    <x v="0"/>
    <s v="BERHAMPORE"/>
    <x v="18"/>
    <n v="0"/>
    <n v="0"/>
    <n v="0"/>
    <n v="0"/>
    <n v="0"/>
  </r>
  <r>
    <s v="406-0178470-3753119"/>
    <s v="05/05/2022"/>
    <x v="0"/>
    <x v="74"/>
    <x v="4"/>
    <x v="1"/>
    <x v="0"/>
    <s v="BERHAMPORE"/>
    <x v="18"/>
    <n v="999"/>
    <n v="325"/>
    <n v="674"/>
    <n v="240"/>
    <n v="434"/>
  </r>
  <r>
    <s v="408-4924319-4573942"/>
    <s v="05/05/2022"/>
    <x v="0"/>
    <x v="44"/>
    <x v="4"/>
    <x v="1"/>
    <x v="0"/>
    <s v="NEW DELHI"/>
    <x v="16"/>
    <n v="999"/>
    <n v="325"/>
    <n v="674"/>
    <n v="240"/>
    <n v="434"/>
  </r>
  <r>
    <s v="402-8892815-4753125"/>
    <s v="05/05/2022"/>
    <x v="0"/>
    <x v="22"/>
    <x v="4"/>
    <x v="1"/>
    <x v="0"/>
    <s v="GURUGRAM"/>
    <x v="15"/>
    <n v="849"/>
    <n v="250"/>
    <n v="599"/>
    <n v="240"/>
    <n v="359"/>
  </r>
  <r>
    <s v="408-0468317-1199535"/>
    <s v="05/05/2022"/>
    <x v="0"/>
    <x v="75"/>
    <x v="4"/>
    <x v="1"/>
    <x v="0"/>
    <s v="RANCHI"/>
    <x v="11"/>
    <n v="799"/>
    <n v="205"/>
    <n v="594"/>
    <n v="240"/>
    <n v="354"/>
  </r>
  <r>
    <s v="406-1443487-8992329"/>
    <s v="05/05/2022"/>
    <x v="0"/>
    <x v="69"/>
    <x v="4"/>
    <x v="1"/>
    <x v="0"/>
    <s v="MUMBAI"/>
    <x v="6"/>
    <n v="849"/>
    <n v="250"/>
    <n v="599"/>
    <n v="240"/>
    <n v="359"/>
  </r>
  <r>
    <s v="404-3383305-8620358"/>
    <s v="05/05/2022"/>
    <x v="0"/>
    <x v="15"/>
    <x v="4"/>
    <x v="1"/>
    <x v="0"/>
    <s v="MUMBAI"/>
    <x v="6"/>
    <n v="849"/>
    <n v="250"/>
    <n v="599"/>
    <n v="240"/>
    <n v="359"/>
  </r>
  <r>
    <s v="403-8637424-8896345"/>
    <s v="05/05/2022"/>
    <x v="0"/>
    <x v="15"/>
    <x v="4"/>
    <x v="1"/>
    <x v="0"/>
    <s v="TUMKUR"/>
    <x v="5"/>
    <n v="849"/>
    <n v="250"/>
    <n v="599"/>
    <n v="240"/>
    <n v="359"/>
  </r>
  <r>
    <s v="405-9231600-8313922"/>
    <s v="06/05/2022"/>
    <x v="0"/>
    <x v="76"/>
    <x v="5"/>
    <x v="1"/>
    <x v="0"/>
    <s v="KOLKATA"/>
    <x v="18"/>
    <n v="799"/>
    <n v="205"/>
    <n v="594"/>
    <n v="240"/>
    <n v="354"/>
  </r>
  <r>
    <s v="171-3668421-3703506"/>
    <s v="06/05/2022"/>
    <x v="0"/>
    <x v="15"/>
    <x v="5"/>
    <x v="1"/>
    <x v="0"/>
    <s v="Hyderabad"/>
    <x v="8"/>
    <n v="849"/>
    <n v="250"/>
    <n v="599"/>
    <n v="240"/>
    <n v="359"/>
  </r>
  <r>
    <s v="407-6195986-9157942"/>
    <s v="06/05/2022"/>
    <x v="0"/>
    <x v="77"/>
    <x v="5"/>
    <x v="1"/>
    <x v="0"/>
    <s v="BANGALORE"/>
    <x v="5"/>
    <n v="799"/>
    <n v="205"/>
    <n v="594"/>
    <n v="240"/>
    <n v="354"/>
  </r>
  <r>
    <s v="404-4003460-0575509"/>
    <s v="02/05/2022"/>
    <x v="3"/>
    <x v="15"/>
    <x v="1"/>
    <x v="1"/>
    <x v="0"/>
    <s v="BENGALURU"/>
    <x v="5"/>
    <n v="-849"/>
    <n v="345"/>
    <n v="-504"/>
    <n v="240"/>
    <n v="-264"/>
  </r>
  <r>
    <s v="408-7706116-2968310"/>
    <s v="08/05/2022"/>
    <x v="0"/>
    <x v="15"/>
    <x v="6"/>
    <x v="1"/>
    <x v="0"/>
    <s v="JAIPUR"/>
    <x v="10"/>
    <n v="849"/>
    <n v="250"/>
    <n v="599"/>
    <n v="240"/>
    <n v="359"/>
  </r>
  <r>
    <s v="403-0317675-1655517"/>
    <s v="08/05/2022"/>
    <x v="0"/>
    <x v="70"/>
    <x v="6"/>
    <x v="1"/>
    <x v="0"/>
    <s v="BENGALURU"/>
    <x v="5"/>
    <n v="799"/>
    <n v="205"/>
    <n v="594"/>
    <n v="240"/>
    <n v="354"/>
  </r>
  <r>
    <s v="408-3507912-2490703"/>
    <s v="08/05/2022"/>
    <x v="0"/>
    <x v="78"/>
    <x v="6"/>
    <x v="1"/>
    <x v="0"/>
    <s v="KADAPA"/>
    <x v="2"/>
    <n v="849"/>
    <n v="250"/>
    <n v="599"/>
    <n v="240"/>
    <n v="359"/>
  </r>
  <r>
    <s v="403-3974911-3248348"/>
    <s v="07/05/2022"/>
    <x v="0"/>
    <x v="69"/>
    <x v="7"/>
    <x v="1"/>
    <x v="0"/>
    <s v="KOLKATA"/>
    <x v="18"/>
    <n v="849"/>
    <n v="250"/>
    <n v="599"/>
    <n v="240"/>
    <n v="359"/>
  </r>
  <r>
    <s v="403-3273156-1709123"/>
    <s v="08/05/2022"/>
    <x v="0"/>
    <x v="79"/>
    <x v="6"/>
    <x v="1"/>
    <x v="0"/>
    <s v="PUNE"/>
    <x v="6"/>
    <n v="999"/>
    <n v="325"/>
    <n v="674"/>
    <n v="240"/>
    <n v="434"/>
  </r>
  <r>
    <s v="171-4079166-7181949"/>
    <s v="10/05/2022"/>
    <x v="2"/>
    <x v="80"/>
    <x v="10"/>
    <x v="1"/>
    <x v="0"/>
    <s v="SECUNDERABAD"/>
    <x v="8"/>
    <n v="0"/>
    <n v="0"/>
    <n v="0"/>
    <n v="0"/>
    <n v="0"/>
  </r>
  <r>
    <s v="403-7448422-7475537"/>
    <s v="04/05/2022"/>
    <x v="3"/>
    <x v="15"/>
    <x v="3"/>
    <x v="1"/>
    <x v="0"/>
    <s v="JODHPUR"/>
    <x v="10"/>
    <n v="-849"/>
    <n v="345"/>
    <n v="-504"/>
    <n v="240"/>
    <n v="-264"/>
  </r>
  <r>
    <s v="402-8892815-4753125"/>
    <s v="05/05/2022"/>
    <x v="3"/>
    <x v="22"/>
    <x v="4"/>
    <x v="1"/>
    <x v="0"/>
    <s v="GURUGRAM"/>
    <x v="15"/>
    <n v="-849"/>
    <n v="345"/>
    <n v="-504"/>
    <n v="240"/>
    <n v="-264"/>
  </r>
  <r>
    <s v="171-4079166-7181949"/>
    <s v="10/05/2022"/>
    <x v="0"/>
    <x v="80"/>
    <x v="10"/>
    <x v="1"/>
    <x v="0"/>
    <s v="SECUNDERABAD"/>
    <x v="8"/>
    <n v="999"/>
    <n v="325"/>
    <n v="674"/>
    <n v="240"/>
    <n v="434"/>
  </r>
  <r>
    <s v="407-3482925-0542730"/>
    <s v="09/05/2022"/>
    <x v="0"/>
    <x v="81"/>
    <x v="8"/>
    <x v="1"/>
    <x v="0"/>
    <s v="BENGALURU"/>
    <x v="5"/>
    <n v="849"/>
    <n v="250"/>
    <n v="599"/>
    <n v="240"/>
    <n v="359"/>
  </r>
  <r>
    <s v="408-3253980-2952339"/>
    <s v="02/05/2022"/>
    <x v="3"/>
    <x v="15"/>
    <x v="1"/>
    <x v="1"/>
    <x v="0"/>
    <s v="SHILLONG"/>
    <x v="23"/>
    <n v="-849"/>
    <n v="345"/>
    <n v="-504"/>
    <n v="240"/>
    <n v="-264"/>
  </r>
  <r>
    <s v="408-1716728-6955560"/>
    <s v="10/05/2022"/>
    <x v="0"/>
    <x v="75"/>
    <x v="10"/>
    <x v="1"/>
    <x v="0"/>
    <s v="HARDWAR"/>
    <x v="24"/>
    <n v="799"/>
    <n v="205"/>
    <n v="594"/>
    <n v="240"/>
    <n v="354"/>
  </r>
  <r>
    <s v="407-5642434-0892333"/>
    <s v="10/05/2022"/>
    <x v="0"/>
    <x v="69"/>
    <x v="10"/>
    <x v="1"/>
    <x v="0"/>
    <s v="PORVORIM"/>
    <x v="21"/>
    <n v="849"/>
    <n v="250"/>
    <n v="599"/>
    <n v="240"/>
    <n v="359"/>
  </r>
  <r>
    <s v="405-8140048-3243506"/>
    <s v="11/05/2022"/>
    <x v="0"/>
    <x v="82"/>
    <x v="9"/>
    <x v="1"/>
    <x v="0"/>
    <s v="VADODARA"/>
    <x v="3"/>
    <n v="849"/>
    <n v="250"/>
    <n v="599"/>
    <n v="240"/>
    <n v="359"/>
  </r>
  <r>
    <s v="408-3177752-4599502"/>
    <s v="10/05/2022"/>
    <x v="1"/>
    <x v="15"/>
    <x v="10"/>
    <x v="1"/>
    <x v="0"/>
    <s v="MUMBAI"/>
    <x v="6"/>
    <n v="0"/>
    <n v="0"/>
    <n v="0"/>
    <n v="0"/>
    <n v="0"/>
  </r>
  <r>
    <s v="405-9231600-8313922"/>
    <s v="06/05/2022"/>
    <x v="3"/>
    <x v="76"/>
    <x v="5"/>
    <x v="1"/>
    <x v="0"/>
    <s v="KOLKATA"/>
    <x v="18"/>
    <n v="-799"/>
    <n v="320"/>
    <n v="-479"/>
    <n v="240"/>
    <n v="-239"/>
  </r>
  <r>
    <s v="402-0905467-6561932"/>
    <s v="11/05/2022"/>
    <x v="0"/>
    <x v="15"/>
    <x v="9"/>
    <x v="1"/>
    <x v="0"/>
    <s v="ORCHHA"/>
    <x v="13"/>
    <n v="849"/>
    <n v="250"/>
    <n v="599"/>
    <n v="240"/>
    <n v="359"/>
  </r>
  <r>
    <s v="402-3449366-5297958"/>
    <s v="11/05/2022"/>
    <x v="0"/>
    <x v="15"/>
    <x v="9"/>
    <x v="1"/>
    <x v="0"/>
    <s v="RAMGARH CANTONMENT CIVIL TOWNSHIP"/>
    <x v="11"/>
    <n v="849"/>
    <n v="250"/>
    <n v="599"/>
    <n v="240"/>
    <n v="359"/>
  </r>
  <r>
    <s v="408-0178833-9416360"/>
    <s v="12/05/2022"/>
    <x v="0"/>
    <x v="79"/>
    <x v="11"/>
    <x v="1"/>
    <x v="0"/>
    <s v="MUNDERA BAZAR"/>
    <x v="1"/>
    <n v="999"/>
    <n v="325"/>
    <n v="674"/>
    <n v="240"/>
    <n v="434"/>
  </r>
  <r>
    <s v="407-7606867-8663531"/>
    <s v="11/05/2022"/>
    <x v="0"/>
    <x v="75"/>
    <x v="9"/>
    <x v="1"/>
    <x v="0"/>
    <s v="AHMEDABAD"/>
    <x v="3"/>
    <n v="799"/>
    <n v="205"/>
    <n v="594"/>
    <n v="240"/>
    <n v="354"/>
  </r>
  <r>
    <s v="402-1470732-6105169"/>
    <s v="12/05/2022"/>
    <x v="0"/>
    <x v="72"/>
    <x v="11"/>
    <x v="1"/>
    <x v="0"/>
    <s v="KHAMGAONkhamgaon"/>
    <x v="6"/>
    <n v="849"/>
    <n v="250"/>
    <n v="599"/>
    <n v="240"/>
    <n v="359"/>
  </r>
  <r>
    <s v="405-8140048-3243506"/>
    <s v="11/05/2022"/>
    <x v="3"/>
    <x v="82"/>
    <x v="9"/>
    <x v="1"/>
    <x v="0"/>
    <s v="VADODARA"/>
    <x v="3"/>
    <n v="-849"/>
    <n v="345"/>
    <n v="-504"/>
    <n v="240"/>
    <n v="-264"/>
  </r>
  <r>
    <s v="403-8269026-7851524"/>
    <s v="13/05/2022"/>
    <x v="0"/>
    <x v="82"/>
    <x v="12"/>
    <x v="1"/>
    <x v="0"/>
    <s v="SANGLI"/>
    <x v="6"/>
    <n v="849"/>
    <n v="250"/>
    <n v="599"/>
    <n v="240"/>
    <n v="359"/>
  </r>
  <r>
    <s v="405-8018333-8206724"/>
    <s v="14/05/2022"/>
    <x v="0"/>
    <x v="83"/>
    <x v="13"/>
    <x v="1"/>
    <x v="0"/>
    <s v="MUMBAI"/>
    <x v="6"/>
    <n v="999"/>
    <n v="325"/>
    <n v="674"/>
    <n v="240"/>
    <n v="434"/>
  </r>
  <r>
    <s v="406-5509366-2617144"/>
    <s v="13/05/2022"/>
    <x v="0"/>
    <x v="77"/>
    <x v="12"/>
    <x v="1"/>
    <x v="0"/>
    <s v="District Supaul"/>
    <x v="0"/>
    <n v="799"/>
    <n v="205"/>
    <n v="594"/>
    <n v="240"/>
    <n v="354"/>
  </r>
  <r>
    <s v="405-8621382-5180339"/>
    <s v="14/05/2022"/>
    <x v="0"/>
    <x v="44"/>
    <x v="13"/>
    <x v="1"/>
    <x v="0"/>
    <s v="HOWRAH"/>
    <x v="18"/>
    <n v="999"/>
    <n v="325"/>
    <n v="674"/>
    <n v="240"/>
    <n v="434"/>
  </r>
  <r>
    <s v="405-4584554-5809949"/>
    <s v="13/05/2022"/>
    <x v="0"/>
    <x v="82"/>
    <x v="12"/>
    <x v="1"/>
    <x v="0"/>
    <s v="DARJEELING"/>
    <x v="18"/>
    <n v="849"/>
    <n v="250"/>
    <n v="599"/>
    <n v="240"/>
    <n v="359"/>
  </r>
  <r>
    <s v="404-1743846-5325900"/>
    <s v="14/05/2022"/>
    <x v="0"/>
    <x v="84"/>
    <x v="13"/>
    <x v="1"/>
    <x v="0"/>
    <s v="BHANADARA"/>
    <x v="6"/>
    <n v="799"/>
    <n v="205"/>
    <n v="594"/>
    <n v="240"/>
    <n v="354"/>
  </r>
  <r>
    <s v="405-9909407-2105918"/>
    <s v="13/05/2022"/>
    <x v="0"/>
    <x v="85"/>
    <x v="12"/>
    <x v="1"/>
    <x v="0"/>
    <s v="DEHRADUN"/>
    <x v="24"/>
    <n v="799"/>
    <n v="205"/>
    <n v="594"/>
    <n v="240"/>
    <n v="354"/>
  </r>
  <r>
    <s v="407-9206532-9135568"/>
    <s v="14/05/2022"/>
    <x v="2"/>
    <x v="86"/>
    <x v="13"/>
    <x v="1"/>
    <x v="0"/>
    <s v="PUNE"/>
    <x v="6"/>
    <n v="0"/>
    <n v="0"/>
    <n v="0"/>
    <n v="0"/>
    <n v="0"/>
  </r>
  <r>
    <s v="403-5128674-7109923"/>
    <s v="04/05/2022"/>
    <x v="3"/>
    <x v="59"/>
    <x v="3"/>
    <x v="1"/>
    <x v="0"/>
    <s v="INDORE"/>
    <x v="13"/>
    <n v="-999"/>
    <n v="395"/>
    <n v="-604"/>
    <n v="240"/>
    <n v="-364"/>
  </r>
  <r>
    <s v="405-3853261-5421122"/>
    <s v="15/05/2022"/>
    <x v="2"/>
    <x v="74"/>
    <x v="14"/>
    <x v="1"/>
    <x v="0"/>
    <s v="LUCKNOW"/>
    <x v="1"/>
    <n v="0"/>
    <n v="0"/>
    <n v="0"/>
    <n v="0"/>
    <n v="0"/>
  </r>
  <r>
    <s v="403-7570829-8582727"/>
    <s v="15/05/2022"/>
    <x v="2"/>
    <x v="87"/>
    <x v="14"/>
    <x v="1"/>
    <x v="0"/>
    <s v="BENGALURU"/>
    <x v="5"/>
    <n v="0"/>
    <n v="0"/>
    <n v="0"/>
    <n v="0"/>
    <n v="0"/>
  </r>
  <r>
    <s v="405-5609996-2979553"/>
    <s v="15/05/2022"/>
    <x v="2"/>
    <x v="74"/>
    <x v="14"/>
    <x v="1"/>
    <x v="0"/>
    <s v="LUCKNOW"/>
    <x v="1"/>
    <n v="0"/>
    <n v="0"/>
    <n v="0"/>
    <n v="0"/>
    <n v="0"/>
  </r>
  <r>
    <s v="408-3777042-0012344"/>
    <s v="03/05/2022"/>
    <x v="3"/>
    <x v="15"/>
    <x v="2"/>
    <x v="1"/>
    <x v="0"/>
    <s v="VIRAJPETE"/>
    <x v="5"/>
    <n v="-849"/>
    <n v="345"/>
    <n v="-504"/>
    <n v="240"/>
    <n v="-264"/>
  </r>
  <r>
    <s v="404-7208283-1945932"/>
    <s v="14/05/2022"/>
    <x v="0"/>
    <x v="44"/>
    <x v="13"/>
    <x v="1"/>
    <x v="0"/>
    <s v="PORT BLAIR"/>
    <x v="25"/>
    <n v="999"/>
    <n v="325"/>
    <n v="674"/>
    <n v="240"/>
    <n v="434"/>
  </r>
  <r>
    <s v="403-6839086-8979504"/>
    <s v="15/05/2022"/>
    <x v="0"/>
    <x v="68"/>
    <x v="14"/>
    <x v="1"/>
    <x v="0"/>
    <s v="NEW DELHI"/>
    <x v="16"/>
    <n v="849"/>
    <n v="250"/>
    <n v="599"/>
    <n v="240"/>
    <n v="359"/>
  </r>
  <r>
    <s v="403-5613145-3560355"/>
    <s v="15/05/2022"/>
    <x v="0"/>
    <x v="79"/>
    <x v="14"/>
    <x v="1"/>
    <x v="0"/>
    <s v="MUKTSAR"/>
    <x v="26"/>
    <n v="999"/>
    <n v="325"/>
    <n v="674"/>
    <n v="240"/>
    <n v="434"/>
  </r>
  <r>
    <s v="406-9874886-2769946"/>
    <s v="15/05/2022"/>
    <x v="0"/>
    <x v="88"/>
    <x v="14"/>
    <x v="1"/>
    <x v="0"/>
    <s v="THANE"/>
    <x v="6"/>
    <n v="999"/>
    <n v="325"/>
    <n v="674"/>
    <n v="240"/>
    <n v="434"/>
  </r>
  <r>
    <s v="403-5052561-7963557"/>
    <s v="15/05/2022"/>
    <x v="0"/>
    <x v="87"/>
    <x v="14"/>
    <x v="1"/>
    <x v="0"/>
    <s v="BENGALURU"/>
    <x v="5"/>
    <n v="799"/>
    <n v="205"/>
    <n v="594"/>
    <n v="240"/>
    <n v="354"/>
  </r>
  <r>
    <s v="402-4994250-5926729"/>
    <s v="15/05/2022"/>
    <x v="0"/>
    <x v="31"/>
    <x v="14"/>
    <x v="1"/>
    <x v="0"/>
    <s v="NEW DELHI"/>
    <x v="16"/>
    <n v="849"/>
    <n v="250"/>
    <n v="599"/>
    <n v="240"/>
    <n v="359"/>
  </r>
  <r>
    <s v="403-0974317-7752358"/>
    <s v="15/05/2022"/>
    <x v="0"/>
    <x v="89"/>
    <x v="14"/>
    <x v="1"/>
    <x v="0"/>
    <s v="SOLAPUR"/>
    <x v="6"/>
    <n v="849"/>
    <n v="250"/>
    <n v="599"/>
    <n v="240"/>
    <n v="359"/>
  </r>
  <r>
    <s v="407-9206532-9135568"/>
    <s v="14/05/2022"/>
    <x v="0"/>
    <x v="86"/>
    <x v="13"/>
    <x v="1"/>
    <x v="0"/>
    <s v="PUNE"/>
    <x v="6"/>
    <n v="999"/>
    <n v="325"/>
    <n v="674"/>
    <n v="240"/>
    <n v="434"/>
  </r>
  <r>
    <s v="405-0053006-4985147"/>
    <s v="16/05/2022"/>
    <x v="0"/>
    <x v="74"/>
    <x v="15"/>
    <x v="1"/>
    <x v="0"/>
    <s v="LUCKNOW"/>
    <x v="1"/>
    <n v="999"/>
    <n v="325"/>
    <n v="674"/>
    <n v="240"/>
    <n v="434"/>
  </r>
  <r>
    <s v="402-3449366-5297958"/>
    <s v="11/05/2022"/>
    <x v="3"/>
    <x v="15"/>
    <x v="9"/>
    <x v="1"/>
    <x v="0"/>
    <s v="RAMGARH CANTONMENT CIVIL TOWNSHIP"/>
    <x v="11"/>
    <n v="-849"/>
    <n v="345"/>
    <n v="-504"/>
    <n v="240"/>
    <n v="-264"/>
  </r>
  <r>
    <s v="404-5585151-1577946"/>
    <s v="17/05/2022"/>
    <x v="0"/>
    <x v="78"/>
    <x v="16"/>
    <x v="1"/>
    <x v="0"/>
    <s v="MYSURU"/>
    <x v="5"/>
    <n v="849"/>
    <n v="250"/>
    <n v="599"/>
    <n v="240"/>
    <n v="359"/>
  </r>
  <r>
    <s v="408-0178833-9416360"/>
    <s v="12/05/2022"/>
    <x v="3"/>
    <x v="79"/>
    <x v="11"/>
    <x v="1"/>
    <x v="0"/>
    <s v="MUNDERA BAZAR"/>
    <x v="1"/>
    <n v="-999"/>
    <n v="395"/>
    <n v="-604"/>
    <n v="240"/>
    <n v="-364"/>
  </r>
  <r>
    <s v="405-2079489-8213111"/>
    <s v="03/05/2022"/>
    <x v="3"/>
    <x v="80"/>
    <x v="2"/>
    <x v="1"/>
    <x v="0"/>
    <s v="Delhi"/>
    <x v="16"/>
    <n v="-999"/>
    <n v="395"/>
    <n v="-604"/>
    <n v="240"/>
    <n v="-364"/>
  </r>
  <r>
    <s v="171-3938809-5738769"/>
    <s v="18/05/2022"/>
    <x v="0"/>
    <x v="30"/>
    <x v="18"/>
    <x v="1"/>
    <x v="0"/>
    <s v="ALAPPUZHA"/>
    <x v="9"/>
    <n v="849"/>
    <n v="250"/>
    <n v="599"/>
    <n v="240"/>
    <n v="359"/>
  </r>
  <r>
    <s v="402-4210669-0857948"/>
    <s v="17/05/2022"/>
    <x v="0"/>
    <x v="88"/>
    <x v="16"/>
    <x v="1"/>
    <x v="0"/>
    <s v="BALLARI"/>
    <x v="5"/>
    <n v="999"/>
    <n v="325"/>
    <n v="674"/>
    <n v="240"/>
    <n v="434"/>
  </r>
  <r>
    <s v="407-9901774-2990705"/>
    <s v="17/05/2022"/>
    <x v="0"/>
    <x v="68"/>
    <x v="16"/>
    <x v="1"/>
    <x v="0"/>
    <s v="UJJAIN"/>
    <x v="13"/>
    <n v="849"/>
    <n v="250"/>
    <n v="599"/>
    <n v="240"/>
    <n v="359"/>
  </r>
  <r>
    <s v="406-6002021-0449168"/>
    <s v="17/05/2022"/>
    <x v="0"/>
    <x v="68"/>
    <x v="16"/>
    <x v="1"/>
    <x v="0"/>
    <s v="ANAKAPALLE"/>
    <x v="2"/>
    <n v="849"/>
    <n v="250"/>
    <n v="599"/>
    <n v="240"/>
    <n v="359"/>
  </r>
  <r>
    <s v="408-8450712-6803552"/>
    <s v="17/05/2022"/>
    <x v="0"/>
    <x v="15"/>
    <x v="16"/>
    <x v="1"/>
    <x v="0"/>
    <s v="Coimbatore"/>
    <x v="7"/>
    <n v="849"/>
    <n v="250"/>
    <n v="599"/>
    <n v="240"/>
    <n v="359"/>
  </r>
  <r>
    <s v="408-2124437-6487557"/>
    <s v="17/05/2022"/>
    <x v="0"/>
    <x v="30"/>
    <x v="16"/>
    <x v="1"/>
    <x v="0"/>
    <s v="VADODARA"/>
    <x v="3"/>
    <n v="849"/>
    <n v="250"/>
    <n v="599"/>
    <n v="240"/>
    <n v="359"/>
  </r>
  <r>
    <s v="408-2738325-8880332"/>
    <s v="18/05/2022"/>
    <x v="0"/>
    <x v="82"/>
    <x v="18"/>
    <x v="1"/>
    <x v="0"/>
    <s v="BENGALURU"/>
    <x v="5"/>
    <n v="849"/>
    <n v="250"/>
    <n v="599"/>
    <n v="240"/>
    <n v="359"/>
  </r>
  <r>
    <s v="402-0677291-8417905"/>
    <s v="18/05/2022"/>
    <x v="0"/>
    <x v="90"/>
    <x v="18"/>
    <x v="1"/>
    <x v="0"/>
    <s v="CHENNAI"/>
    <x v="7"/>
    <n v="849"/>
    <n v="250"/>
    <n v="599"/>
    <n v="240"/>
    <n v="359"/>
  </r>
  <r>
    <s v="402-2098241-5670706"/>
    <s v="18/05/2022"/>
    <x v="0"/>
    <x v="78"/>
    <x v="18"/>
    <x v="1"/>
    <x v="0"/>
    <s v="KANPUR"/>
    <x v="1"/>
    <n v="849"/>
    <n v="250"/>
    <n v="599"/>
    <n v="240"/>
    <n v="359"/>
  </r>
  <r>
    <s v="406-7842240-6090748"/>
    <s v="18/05/2022"/>
    <x v="0"/>
    <x v="91"/>
    <x v="18"/>
    <x v="1"/>
    <x v="0"/>
    <s v="NAGPUR"/>
    <x v="6"/>
    <n v="849"/>
    <n v="250"/>
    <n v="599"/>
    <n v="240"/>
    <n v="359"/>
  </r>
  <r>
    <s v="402-4435253-7284329"/>
    <s v="18/05/2022"/>
    <x v="0"/>
    <x v="72"/>
    <x v="18"/>
    <x v="1"/>
    <x v="0"/>
    <s v="DOHRIGHAT"/>
    <x v="1"/>
    <n v="849"/>
    <n v="250"/>
    <n v="599"/>
    <n v="240"/>
    <n v="359"/>
  </r>
  <r>
    <s v="408-3507912-2490703"/>
    <s v="08/05/2022"/>
    <x v="3"/>
    <x v="78"/>
    <x v="6"/>
    <x v="1"/>
    <x v="0"/>
    <s v="KADAPA"/>
    <x v="2"/>
    <n v="-849"/>
    <n v="345"/>
    <n v="-504"/>
    <n v="240"/>
    <n v="-264"/>
  </r>
  <r>
    <s v="404-7400284-5827505"/>
    <s v="04/05/2022"/>
    <x v="3"/>
    <x v="72"/>
    <x v="3"/>
    <x v="1"/>
    <x v="0"/>
    <s v="KOTHAMANGALAM"/>
    <x v="9"/>
    <n v="-849"/>
    <n v="345"/>
    <n v="-504"/>
    <n v="240"/>
    <n v="-264"/>
  </r>
  <r>
    <s v="403-8269026-7851524"/>
    <s v="13/05/2022"/>
    <x v="3"/>
    <x v="82"/>
    <x v="12"/>
    <x v="1"/>
    <x v="0"/>
    <s v="SANGLI"/>
    <x v="6"/>
    <n v="-849"/>
    <n v="345"/>
    <n v="-504"/>
    <n v="240"/>
    <n v="-264"/>
  </r>
  <r>
    <s v="408-6344102-7809912"/>
    <s v="20/05/2022"/>
    <x v="0"/>
    <x v="92"/>
    <x v="19"/>
    <x v="1"/>
    <x v="0"/>
    <s v="HOSHANGABAD"/>
    <x v="13"/>
    <n v="799"/>
    <n v="205"/>
    <n v="594"/>
    <n v="240"/>
    <n v="354"/>
  </r>
  <r>
    <s v="403-5613145-3560355"/>
    <s v="15/05/2022"/>
    <x v="3"/>
    <x v="79"/>
    <x v="14"/>
    <x v="1"/>
    <x v="0"/>
    <s v="MUKTSAR"/>
    <x v="26"/>
    <n v="-999"/>
    <n v="395"/>
    <n v="-604"/>
    <n v="240"/>
    <n v="-364"/>
  </r>
  <r>
    <s v="405-8923672-2547543"/>
    <s v="22/05/2022"/>
    <x v="0"/>
    <x v="15"/>
    <x v="21"/>
    <x v="1"/>
    <x v="0"/>
    <s v="Hyderabad"/>
    <x v="8"/>
    <n v="849"/>
    <n v="250"/>
    <n v="599"/>
    <n v="240"/>
    <n v="359"/>
  </r>
  <r>
    <s v="403-4442648-8373905"/>
    <s v="22/05/2022"/>
    <x v="0"/>
    <x v="93"/>
    <x v="21"/>
    <x v="1"/>
    <x v="0"/>
    <s v="ICHALKARANJI"/>
    <x v="6"/>
    <n v="849"/>
    <n v="250"/>
    <n v="599"/>
    <n v="240"/>
    <n v="359"/>
  </r>
  <r>
    <s v="403-0976579-3499506"/>
    <s v="22/05/2022"/>
    <x v="0"/>
    <x v="94"/>
    <x v="21"/>
    <x v="1"/>
    <x v="0"/>
    <s v="ICHALKARANJI"/>
    <x v="6"/>
    <n v="799"/>
    <n v="205"/>
    <n v="594"/>
    <n v="240"/>
    <n v="354"/>
  </r>
  <r>
    <s v="406-5809326-6335548"/>
    <s v="23/05/2022"/>
    <x v="0"/>
    <x v="95"/>
    <x v="23"/>
    <x v="1"/>
    <x v="0"/>
    <s v="FARIDABAD"/>
    <x v="15"/>
    <n v="999"/>
    <n v="325"/>
    <n v="674"/>
    <n v="240"/>
    <n v="434"/>
  </r>
  <r>
    <s v="405-5537388-2350751"/>
    <s v="22/05/2022"/>
    <x v="0"/>
    <x v="36"/>
    <x v="21"/>
    <x v="1"/>
    <x v="0"/>
    <s v="SANGAREDDY"/>
    <x v="8"/>
    <n v="799"/>
    <n v="205"/>
    <n v="594"/>
    <n v="240"/>
    <n v="354"/>
  </r>
  <r>
    <s v="402-1723399-9478710"/>
    <s v="21/05/2022"/>
    <x v="0"/>
    <x v="78"/>
    <x v="20"/>
    <x v="1"/>
    <x v="0"/>
    <s v="BENGALURU"/>
    <x v="5"/>
    <n v="849"/>
    <n v="250"/>
    <n v="599"/>
    <n v="240"/>
    <n v="359"/>
  </r>
  <r>
    <s v="403-9432474-1198702"/>
    <s v="22/05/2022"/>
    <x v="0"/>
    <x v="96"/>
    <x v="21"/>
    <x v="1"/>
    <x v="0"/>
    <s v="BENGALURU"/>
    <x v="5"/>
    <n v="799"/>
    <n v="205"/>
    <n v="594"/>
    <n v="240"/>
    <n v="354"/>
  </r>
  <r>
    <s v="404-7908090-8292326"/>
    <s v="22/05/2022"/>
    <x v="0"/>
    <x v="15"/>
    <x v="21"/>
    <x v="1"/>
    <x v="0"/>
    <s v="NOIDA"/>
    <x v="1"/>
    <n v="849"/>
    <n v="250"/>
    <n v="599"/>
    <n v="240"/>
    <n v="359"/>
  </r>
  <r>
    <s v="402-7967743-5310750"/>
    <s v="22/05/2022"/>
    <x v="0"/>
    <x v="15"/>
    <x v="21"/>
    <x v="1"/>
    <x v="0"/>
    <s v="MUMBAI"/>
    <x v="6"/>
    <n v="849"/>
    <n v="250"/>
    <n v="599"/>
    <n v="240"/>
    <n v="359"/>
  </r>
  <r>
    <s v="402-7957599-9116366"/>
    <s v="23/05/2022"/>
    <x v="0"/>
    <x v="97"/>
    <x v="23"/>
    <x v="1"/>
    <x v="0"/>
    <s v="CHENGANNUR"/>
    <x v="9"/>
    <n v="799"/>
    <n v="205"/>
    <n v="594"/>
    <n v="240"/>
    <n v="354"/>
  </r>
  <r>
    <s v="406-8210824-8347534"/>
    <s v="23/05/2022"/>
    <x v="0"/>
    <x v="15"/>
    <x v="23"/>
    <x v="1"/>
    <x v="0"/>
    <s v="AYYAMPETTAI THANJAVUR DISTRICT"/>
    <x v="7"/>
    <n v="849"/>
    <n v="250"/>
    <n v="599"/>
    <n v="240"/>
    <n v="359"/>
  </r>
  <r>
    <s v="402-1830913-8512302"/>
    <s v="24/05/2022"/>
    <x v="0"/>
    <x v="81"/>
    <x v="22"/>
    <x v="1"/>
    <x v="0"/>
    <s v="Beed"/>
    <x v="6"/>
    <n v="849"/>
    <n v="250"/>
    <n v="599"/>
    <n v="240"/>
    <n v="359"/>
  </r>
  <r>
    <s v="406-5195427-5946700"/>
    <s v="24/05/2022"/>
    <x v="0"/>
    <x v="52"/>
    <x v="22"/>
    <x v="1"/>
    <x v="0"/>
    <s v="GREATER NOIDA"/>
    <x v="1"/>
    <n v="999"/>
    <n v="325"/>
    <n v="674"/>
    <n v="240"/>
    <n v="434"/>
  </r>
  <r>
    <s v="407-0819398-2445125"/>
    <s v="23/05/2022"/>
    <x v="0"/>
    <x v="15"/>
    <x v="23"/>
    <x v="1"/>
    <x v="0"/>
    <s v="MUMBAI"/>
    <x v="6"/>
    <n v="849"/>
    <n v="250"/>
    <n v="599"/>
    <n v="240"/>
    <n v="359"/>
  </r>
  <r>
    <s v="403-2299933-1994745"/>
    <s v="23/05/2022"/>
    <x v="0"/>
    <x v="15"/>
    <x v="23"/>
    <x v="1"/>
    <x v="0"/>
    <s v="Navelim"/>
    <x v="21"/>
    <n v="849"/>
    <n v="250"/>
    <n v="599"/>
    <n v="240"/>
    <n v="359"/>
  </r>
  <r>
    <s v="405-6572852-4468333"/>
    <s v="23/05/2022"/>
    <x v="0"/>
    <x v="90"/>
    <x v="23"/>
    <x v="1"/>
    <x v="0"/>
    <s v="BENGALURU"/>
    <x v="5"/>
    <n v="849"/>
    <n v="250"/>
    <n v="599"/>
    <n v="240"/>
    <n v="359"/>
  </r>
  <r>
    <s v="404-6999139-0596304"/>
    <s v="24/05/2022"/>
    <x v="2"/>
    <x v="98"/>
    <x v="22"/>
    <x v="1"/>
    <x v="0"/>
    <s v="BATALA"/>
    <x v="26"/>
    <n v="0"/>
    <n v="0"/>
    <n v="0"/>
    <n v="0"/>
    <n v="0"/>
  </r>
  <r>
    <s v="404-2468113-4955545"/>
    <s v="24/05/2022"/>
    <x v="2"/>
    <x v="98"/>
    <x v="22"/>
    <x v="1"/>
    <x v="0"/>
    <s v="PURULIYA"/>
    <x v="18"/>
    <n v="0"/>
    <n v="0"/>
    <n v="0"/>
    <n v="0"/>
    <n v="0"/>
  </r>
  <r>
    <s v="403-6971852-7986717"/>
    <s v="24/05/2022"/>
    <x v="0"/>
    <x v="15"/>
    <x v="22"/>
    <x v="1"/>
    <x v="0"/>
    <s v="THANE"/>
    <x v="6"/>
    <n v="849"/>
    <n v="250"/>
    <n v="599"/>
    <n v="240"/>
    <n v="359"/>
  </r>
  <r>
    <s v="407-4961412-1081100"/>
    <s v="24/05/2022"/>
    <x v="0"/>
    <x v="69"/>
    <x v="22"/>
    <x v="1"/>
    <x v="0"/>
    <s v="Pune"/>
    <x v="6"/>
    <n v="849"/>
    <n v="250"/>
    <n v="599"/>
    <n v="240"/>
    <n v="359"/>
  </r>
  <r>
    <s v="406-1139289-8146748"/>
    <s v="24/05/2022"/>
    <x v="0"/>
    <x v="15"/>
    <x v="22"/>
    <x v="1"/>
    <x v="0"/>
    <s v="Vizianagaram"/>
    <x v="2"/>
    <n v="849"/>
    <n v="250"/>
    <n v="599"/>
    <n v="240"/>
    <n v="359"/>
  </r>
  <r>
    <s v="404-6999139-0596304"/>
    <s v="24/05/2022"/>
    <x v="0"/>
    <x v="98"/>
    <x v="22"/>
    <x v="1"/>
    <x v="0"/>
    <s v="BATALA"/>
    <x v="26"/>
    <n v="999"/>
    <n v="325"/>
    <n v="674"/>
    <n v="240"/>
    <n v="434"/>
  </r>
  <r>
    <s v="171-4399426-1547519"/>
    <s v="25/05/2022"/>
    <x v="0"/>
    <x v="88"/>
    <x v="24"/>
    <x v="1"/>
    <x v="0"/>
    <s v="TAMLUK"/>
    <x v="18"/>
    <n v="999"/>
    <n v="325"/>
    <n v="674"/>
    <n v="240"/>
    <n v="434"/>
  </r>
  <r>
    <s v="406-7713988-9925968"/>
    <s v="24/05/2022"/>
    <x v="0"/>
    <x v="99"/>
    <x v="22"/>
    <x v="1"/>
    <x v="0"/>
    <s v="BENGALURU"/>
    <x v="5"/>
    <n v="849"/>
    <n v="250"/>
    <n v="599"/>
    <n v="240"/>
    <n v="359"/>
  </r>
  <r>
    <s v="404-2468113-4955545"/>
    <s v="24/05/2022"/>
    <x v="0"/>
    <x v="98"/>
    <x v="22"/>
    <x v="1"/>
    <x v="0"/>
    <s v="PURULIYA"/>
    <x v="18"/>
    <n v="999"/>
    <n v="325"/>
    <n v="674"/>
    <n v="240"/>
    <n v="434"/>
  </r>
  <r>
    <s v="405-4584554-5809949"/>
    <s v="13/05/2022"/>
    <x v="3"/>
    <x v="82"/>
    <x v="12"/>
    <x v="1"/>
    <x v="0"/>
    <s v="DARJEELING"/>
    <x v="18"/>
    <n v="-849"/>
    <n v="345"/>
    <n v="-504"/>
    <n v="240"/>
    <n v="-264"/>
  </r>
  <r>
    <s v="403-4442648-8373905"/>
    <s v="22/05/2022"/>
    <x v="3"/>
    <x v="93"/>
    <x v="21"/>
    <x v="1"/>
    <x v="0"/>
    <s v="ICHALKARANJI"/>
    <x v="6"/>
    <n v="-849"/>
    <n v="345"/>
    <n v="-504"/>
    <n v="240"/>
    <n v="-264"/>
  </r>
  <r>
    <s v="403-0976579-3499506"/>
    <s v="22/05/2022"/>
    <x v="3"/>
    <x v="94"/>
    <x v="21"/>
    <x v="1"/>
    <x v="0"/>
    <s v="ICHALKARANJI"/>
    <x v="6"/>
    <n v="-799"/>
    <n v="320"/>
    <n v="-479"/>
    <n v="240"/>
    <n v="-239"/>
  </r>
  <r>
    <s v="403-1943190-0705154"/>
    <s v="26/05/2022"/>
    <x v="0"/>
    <x v="99"/>
    <x v="25"/>
    <x v="1"/>
    <x v="0"/>
    <s v="PIMPRI CHINCHWAD"/>
    <x v="6"/>
    <n v="849"/>
    <n v="250"/>
    <n v="599"/>
    <n v="240"/>
    <n v="359"/>
  </r>
  <r>
    <s v="405-0221873-5390732"/>
    <s v="26/05/2022"/>
    <x v="0"/>
    <x v="68"/>
    <x v="25"/>
    <x v="1"/>
    <x v="0"/>
    <s v="Mala Kheda"/>
    <x v="10"/>
    <n v="849"/>
    <n v="250"/>
    <n v="599"/>
    <n v="240"/>
    <n v="359"/>
  </r>
  <r>
    <s v="403-3388572-5209158"/>
    <s v="25/05/2022"/>
    <x v="0"/>
    <x v="15"/>
    <x v="24"/>
    <x v="1"/>
    <x v="0"/>
    <s v="PUDUKKOTTAI"/>
    <x v="7"/>
    <n v="849"/>
    <n v="250"/>
    <n v="599"/>
    <n v="240"/>
    <n v="359"/>
  </r>
  <r>
    <s v="408-1905689-7699522"/>
    <s v="26/05/2022"/>
    <x v="1"/>
    <x v="80"/>
    <x v="25"/>
    <x v="1"/>
    <x v="0"/>
    <s v="CUTTACKcuttack"/>
    <x v="14"/>
    <n v="0"/>
    <n v="0"/>
    <n v="0"/>
    <n v="0"/>
    <n v="0"/>
  </r>
  <r>
    <s v="408-2738325-8880332"/>
    <s v="18/05/2022"/>
    <x v="3"/>
    <x v="82"/>
    <x v="18"/>
    <x v="1"/>
    <x v="0"/>
    <s v="BENGALURU"/>
    <x v="5"/>
    <n v="-849"/>
    <n v="345"/>
    <n v="-504"/>
    <n v="240"/>
    <n v="-264"/>
  </r>
  <r>
    <s v="404-8807660-5321913"/>
    <s v="26/05/2022"/>
    <x v="0"/>
    <x v="90"/>
    <x v="25"/>
    <x v="1"/>
    <x v="0"/>
    <s v="MURADNAGAR"/>
    <x v="1"/>
    <n v="849"/>
    <n v="250"/>
    <n v="599"/>
    <n v="240"/>
    <n v="359"/>
  </r>
  <r>
    <s v="406-5147902-8828315"/>
    <s v="27/05/2022"/>
    <x v="0"/>
    <x v="95"/>
    <x v="26"/>
    <x v="1"/>
    <x v="0"/>
    <s v="GREATER NOIDA"/>
    <x v="1"/>
    <n v="999"/>
    <n v="325"/>
    <n v="674"/>
    <n v="240"/>
    <n v="434"/>
  </r>
  <r>
    <s v="403-2165252-9802701"/>
    <s v="26/05/2022"/>
    <x v="0"/>
    <x v="59"/>
    <x v="25"/>
    <x v="1"/>
    <x v="0"/>
    <s v="BENGALURU"/>
    <x v="5"/>
    <n v="999"/>
    <n v="325"/>
    <n v="674"/>
    <n v="240"/>
    <n v="434"/>
  </r>
  <r>
    <s v="406-1559004-6173913"/>
    <s v="26/05/2022"/>
    <x v="0"/>
    <x v="15"/>
    <x v="25"/>
    <x v="1"/>
    <x v="0"/>
    <s v="GORAKHPUR"/>
    <x v="1"/>
    <n v="849"/>
    <n v="250"/>
    <n v="599"/>
    <n v="240"/>
    <n v="359"/>
  </r>
  <r>
    <s v="405-2352766-3285962"/>
    <s v="26/05/2022"/>
    <x v="0"/>
    <x v="15"/>
    <x v="25"/>
    <x v="1"/>
    <x v="0"/>
    <s v="CHENNAI"/>
    <x v="7"/>
    <n v="849"/>
    <n v="250"/>
    <n v="599"/>
    <n v="240"/>
    <n v="359"/>
  </r>
  <r>
    <s v="402-3071922-0523568"/>
    <s v="26/05/2022"/>
    <x v="0"/>
    <x v="68"/>
    <x v="25"/>
    <x v="1"/>
    <x v="0"/>
    <s v="BENGALURU"/>
    <x v="5"/>
    <n v="849"/>
    <n v="250"/>
    <n v="599"/>
    <n v="240"/>
    <n v="359"/>
  </r>
  <r>
    <s v="408-4924319-4573942"/>
    <s v="05/05/2022"/>
    <x v="3"/>
    <x v="44"/>
    <x v="4"/>
    <x v="1"/>
    <x v="0"/>
    <s v="NEW DELHI"/>
    <x v="16"/>
    <n v="-999"/>
    <n v="395"/>
    <n v="-604"/>
    <n v="240"/>
    <n v="-364"/>
  </r>
  <r>
    <s v="404-7908090-8292326"/>
    <s v="22/05/2022"/>
    <x v="3"/>
    <x v="15"/>
    <x v="21"/>
    <x v="1"/>
    <x v="0"/>
    <s v="NOIDA"/>
    <x v="1"/>
    <n v="-849"/>
    <n v="345"/>
    <n v="-504"/>
    <n v="240"/>
    <n v="-264"/>
  </r>
  <r>
    <s v="405-5537388-2350751"/>
    <s v="22/05/2022"/>
    <x v="3"/>
    <x v="36"/>
    <x v="21"/>
    <x v="1"/>
    <x v="0"/>
    <s v="SANGAREDDY"/>
    <x v="8"/>
    <n v="-799"/>
    <n v="320"/>
    <n v="-479"/>
    <n v="240"/>
    <n v="-239"/>
  </r>
  <r>
    <s v="403-0840580-3761115"/>
    <s v="27/05/2022"/>
    <x v="0"/>
    <x v="91"/>
    <x v="26"/>
    <x v="1"/>
    <x v="0"/>
    <s v="Chennai"/>
    <x v="7"/>
    <n v="849"/>
    <n v="250"/>
    <n v="599"/>
    <n v="240"/>
    <n v="359"/>
  </r>
  <r>
    <s v="404-9699011-6771529"/>
    <s v="27/05/2022"/>
    <x v="0"/>
    <x v="72"/>
    <x v="26"/>
    <x v="1"/>
    <x v="0"/>
    <s v="Bengaluru"/>
    <x v="5"/>
    <n v="849"/>
    <n v="250"/>
    <n v="599"/>
    <n v="240"/>
    <n v="359"/>
  </r>
  <r>
    <s v="405-3541915-5827569"/>
    <s v="27/05/2022"/>
    <x v="0"/>
    <x v="100"/>
    <x v="26"/>
    <x v="1"/>
    <x v="0"/>
    <s v="MUMBAI"/>
    <x v="6"/>
    <n v="799"/>
    <n v="205"/>
    <n v="594"/>
    <n v="240"/>
    <n v="354"/>
  </r>
  <r>
    <s v="404-6999139-0596304"/>
    <s v="24/05/2022"/>
    <x v="3"/>
    <x v="98"/>
    <x v="22"/>
    <x v="1"/>
    <x v="0"/>
    <s v="BATALA"/>
    <x v="26"/>
    <n v="-999"/>
    <n v="395"/>
    <n v="-604"/>
    <n v="240"/>
    <n v="-364"/>
  </r>
  <r>
    <s v="403-0888402-4205131"/>
    <s v="30/05/2022"/>
    <x v="2"/>
    <x v="83"/>
    <x v="29"/>
    <x v="1"/>
    <x v="0"/>
    <s v="VISAKHAPATNAM"/>
    <x v="2"/>
    <n v="0"/>
    <n v="0"/>
    <n v="0"/>
    <n v="0"/>
    <n v="0"/>
  </r>
  <r>
    <s v="406-1139289-8146748"/>
    <s v="24/05/2022"/>
    <x v="3"/>
    <x v="15"/>
    <x v="22"/>
    <x v="1"/>
    <x v="0"/>
    <s v="Vizianagaram"/>
    <x v="2"/>
    <n v="-849"/>
    <n v="345"/>
    <n v="-504"/>
    <n v="240"/>
    <n v="-264"/>
  </r>
  <r>
    <s v="403-0888402-4205131"/>
    <s v="30/05/2022"/>
    <x v="0"/>
    <x v="83"/>
    <x v="29"/>
    <x v="1"/>
    <x v="0"/>
    <s v="VISAKHAPATNAM"/>
    <x v="2"/>
    <n v="999"/>
    <n v="325"/>
    <n v="674"/>
    <n v="240"/>
    <n v="434"/>
  </r>
  <r>
    <s v="403-2485226-8133113"/>
    <s v="29/05/2022"/>
    <x v="0"/>
    <x v="15"/>
    <x v="28"/>
    <x v="1"/>
    <x v="0"/>
    <s v="TUMAKURU"/>
    <x v="5"/>
    <n v="849"/>
    <n v="250"/>
    <n v="599"/>
    <n v="240"/>
    <n v="359"/>
  </r>
  <r>
    <s v="171-2731014-8226714"/>
    <s v="29/05/2022"/>
    <x v="0"/>
    <x v="36"/>
    <x v="28"/>
    <x v="1"/>
    <x v="0"/>
    <s v="PIMPRI CHINCHWAD"/>
    <x v="6"/>
    <n v="799"/>
    <n v="205"/>
    <n v="594"/>
    <n v="240"/>
    <n v="354"/>
  </r>
  <r>
    <s v="402-3130784-7593949"/>
    <s v="29/05/2022"/>
    <x v="0"/>
    <x v="101"/>
    <x v="28"/>
    <x v="1"/>
    <x v="0"/>
    <s v="NAGERCOIL"/>
    <x v="7"/>
    <n v="999"/>
    <n v="325"/>
    <n v="674"/>
    <n v="240"/>
    <n v="434"/>
  </r>
  <r>
    <s v="402-6293137-3107531"/>
    <s v="29/05/2022"/>
    <x v="0"/>
    <x v="102"/>
    <x v="28"/>
    <x v="1"/>
    <x v="0"/>
    <s v="BANDA"/>
    <x v="1"/>
    <n v="799"/>
    <n v="205"/>
    <n v="594"/>
    <n v="240"/>
    <n v="354"/>
  </r>
  <r>
    <s v="404-0861091-8739561"/>
    <s v="30/05/2022"/>
    <x v="0"/>
    <x v="80"/>
    <x v="29"/>
    <x v="1"/>
    <x v="0"/>
    <s v="CHENNAI"/>
    <x v="7"/>
    <n v="999"/>
    <n v="325"/>
    <n v="674"/>
    <n v="240"/>
    <n v="434"/>
  </r>
  <r>
    <s v="403-7973458-5560368"/>
    <s v="28/05/2022"/>
    <x v="0"/>
    <x v="22"/>
    <x v="27"/>
    <x v="1"/>
    <x v="0"/>
    <s v="KARWI"/>
    <x v="1"/>
    <n v="849"/>
    <n v="250"/>
    <n v="599"/>
    <n v="240"/>
    <n v="359"/>
  </r>
  <r>
    <s v="406-6010915-9239528"/>
    <s v="28/05/2022"/>
    <x v="0"/>
    <x v="41"/>
    <x v="27"/>
    <x v="1"/>
    <x v="0"/>
    <s v="Bhuj"/>
    <x v="3"/>
    <n v="849"/>
    <n v="250"/>
    <n v="599"/>
    <n v="240"/>
    <n v="359"/>
  </r>
  <r>
    <s v="402-0677291-8417905"/>
    <s v="18/05/2022"/>
    <x v="3"/>
    <x v="90"/>
    <x v="18"/>
    <x v="1"/>
    <x v="0"/>
    <s v="CHENNAI"/>
    <x v="7"/>
    <n v="-849"/>
    <n v="345"/>
    <n v="-504"/>
    <n v="240"/>
    <n v="-264"/>
  </r>
  <r>
    <s v="404-1237809-6041913"/>
    <s v="30/05/2022"/>
    <x v="2"/>
    <x v="15"/>
    <x v="29"/>
    <x v="1"/>
    <x v="0"/>
    <s v="Mumbai"/>
    <x v="6"/>
    <n v="0"/>
    <n v="0"/>
    <n v="0"/>
    <n v="0"/>
    <n v="0"/>
  </r>
  <r>
    <s v="404-1237809-6041913"/>
    <s v="30/05/2022"/>
    <x v="0"/>
    <x v="15"/>
    <x v="29"/>
    <x v="1"/>
    <x v="0"/>
    <s v="Mumbai"/>
    <x v="6"/>
    <n v="849"/>
    <n v="250"/>
    <n v="599"/>
    <n v="240"/>
    <n v="359"/>
  </r>
  <r>
    <s v="404-0979129-7130720"/>
    <s v="30/05/2022"/>
    <x v="0"/>
    <x v="103"/>
    <x v="29"/>
    <x v="1"/>
    <x v="0"/>
    <s v="FIROZABAD"/>
    <x v="1"/>
    <n v="799"/>
    <n v="205"/>
    <n v="594"/>
    <n v="240"/>
    <n v="354"/>
  </r>
  <r>
    <s v="406-3596716-5414726"/>
    <s v="30/05/2022"/>
    <x v="0"/>
    <x v="81"/>
    <x v="29"/>
    <x v="1"/>
    <x v="0"/>
    <s v="NOIDA"/>
    <x v="1"/>
    <n v="849"/>
    <n v="250"/>
    <n v="599"/>
    <n v="240"/>
    <n v="359"/>
  </r>
  <r>
    <s v="408-9692775-9057935"/>
    <s v="30/05/2022"/>
    <x v="0"/>
    <x v="15"/>
    <x v="29"/>
    <x v="1"/>
    <x v="0"/>
    <s v="RAIPUR"/>
    <x v="20"/>
    <n v="849"/>
    <n v="250"/>
    <n v="599"/>
    <n v="240"/>
    <n v="359"/>
  </r>
  <r>
    <s v="403-5758153-6541936"/>
    <s v="31/05/2022"/>
    <x v="0"/>
    <x v="95"/>
    <x v="30"/>
    <x v="1"/>
    <x v="0"/>
    <s v="PANCHKULA"/>
    <x v="15"/>
    <n v="999"/>
    <n v="325"/>
    <n v="674"/>
    <n v="240"/>
    <n v="434"/>
  </r>
  <r>
    <s v="404-2396339-2268349"/>
    <s v="31/05/2022"/>
    <x v="0"/>
    <x v="52"/>
    <x v="30"/>
    <x v="1"/>
    <x v="0"/>
    <s v="HYDERABAD"/>
    <x v="8"/>
    <n v="999"/>
    <n v="325"/>
    <n v="674"/>
    <n v="240"/>
    <n v="434"/>
  </r>
  <r>
    <s v="402-4261481-1532332"/>
    <s v="31/05/2022"/>
    <x v="2"/>
    <x v="103"/>
    <x v="30"/>
    <x v="1"/>
    <x v="0"/>
    <s v="SRIKAKULAM"/>
    <x v="2"/>
    <n v="0"/>
    <n v="0"/>
    <n v="0"/>
    <n v="0"/>
    <n v="0"/>
  </r>
  <r>
    <s v="405-6572852-4468333"/>
    <s v="23/05/2022"/>
    <x v="3"/>
    <x v="90"/>
    <x v="23"/>
    <x v="1"/>
    <x v="0"/>
    <s v="BENGALURU"/>
    <x v="5"/>
    <n v="-849"/>
    <n v="345"/>
    <n v="-504"/>
    <n v="240"/>
    <n v="-264"/>
  </r>
  <r>
    <s v="407-8854122-7477150"/>
    <s v="31/05/2022"/>
    <x v="0"/>
    <x v="30"/>
    <x v="30"/>
    <x v="1"/>
    <x v="0"/>
    <s v="BENGALURU"/>
    <x v="5"/>
    <n v="849"/>
    <n v="250"/>
    <n v="599"/>
    <n v="240"/>
    <n v="359"/>
  </r>
  <r>
    <s v="402-4619587-7199507"/>
    <s v="31/05/2022"/>
    <x v="0"/>
    <x v="15"/>
    <x v="30"/>
    <x v="1"/>
    <x v="0"/>
    <s v="MUMBAI"/>
    <x v="6"/>
    <n v="849"/>
    <n v="250"/>
    <n v="599"/>
    <n v="240"/>
    <n v="359"/>
  </r>
  <r>
    <s v="403-5385595-0705139"/>
    <s v="31/05/2022"/>
    <x v="0"/>
    <x v="94"/>
    <x v="30"/>
    <x v="1"/>
    <x v="0"/>
    <s v="ERNAKULAM"/>
    <x v="9"/>
    <n v="799"/>
    <n v="205"/>
    <n v="594"/>
    <n v="240"/>
    <n v="354"/>
  </r>
  <r>
    <s v="407-2765951-2792356"/>
    <s v="29/04/2022"/>
    <x v="3"/>
    <x v="104"/>
    <x v="28"/>
    <x v="0"/>
    <x v="0"/>
    <s v="CHENNAI"/>
    <x v="7"/>
    <n v="-799"/>
    <n v="320"/>
    <n v="-479"/>
    <n v="240"/>
    <n v="-239"/>
  </r>
  <r>
    <s v="171-1794069-1513921"/>
    <s v="01/06/2022"/>
    <x v="2"/>
    <x v="105"/>
    <x v="0"/>
    <x v="2"/>
    <x v="0"/>
    <s v="GHAZIABAD"/>
    <x v="1"/>
    <n v="0"/>
    <n v="0"/>
    <n v="0"/>
    <n v="0"/>
    <n v="0"/>
  </r>
  <r>
    <s v="171-1794069-1513921"/>
    <s v="01/06/2022"/>
    <x v="0"/>
    <x v="105"/>
    <x v="0"/>
    <x v="2"/>
    <x v="0"/>
    <s v="GHAZIABAD"/>
    <x v="1"/>
    <n v="849"/>
    <n v="250"/>
    <n v="599"/>
    <n v="240"/>
    <n v="359"/>
  </r>
  <r>
    <s v="407-4274044-9691504"/>
    <s v="01/06/2022"/>
    <x v="0"/>
    <x v="15"/>
    <x v="0"/>
    <x v="2"/>
    <x v="0"/>
    <s v="Vishakapatnam"/>
    <x v="2"/>
    <n v="849"/>
    <n v="250"/>
    <n v="599"/>
    <n v="240"/>
    <n v="359"/>
  </r>
  <r>
    <s v="408-2196651-2333905"/>
    <s v="01/06/2022"/>
    <x v="0"/>
    <x v="15"/>
    <x v="0"/>
    <x v="2"/>
    <x v="0"/>
    <s v="THANE"/>
    <x v="6"/>
    <n v="849"/>
    <n v="250"/>
    <n v="599"/>
    <n v="240"/>
    <n v="359"/>
  </r>
  <r>
    <s v="406-0762004-3143558"/>
    <s v="01/06/2022"/>
    <x v="0"/>
    <x v="75"/>
    <x v="0"/>
    <x v="2"/>
    <x v="0"/>
    <s v="CHHOTA CHHINDWARA DIST NARSINGHPUR"/>
    <x v="13"/>
    <n v="799"/>
    <n v="205"/>
    <n v="594"/>
    <n v="240"/>
    <n v="354"/>
  </r>
  <r>
    <s v="408-0243002-7660362"/>
    <s v="01/06/2022"/>
    <x v="0"/>
    <x v="88"/>
    <x v="0"/>
    <x v="2"/>
    <x v="0"/>
    <s v="WARDHA"/>
    <x v="6"/>
    <n v="999"/>
    <n v="325"/>
    <n v="674"/>
    <n v="240"/>
    <n v="434"/>
  </r>
  <r>
    <s v="402-7524815-0323535"/>
    <s v="03/06/2022"/>
    <x v="0"/>
    <x v="69"/>
    <x v="2"/>
    <x v="2"/>
    <x v="0"/>
    <s v="Alegaon"/>
    <x v="6"/>
    <n v="849"/>
    <n v="250"/>
    <n v="599"/>
    <n v="240"/>
    <n v="359"/>
  </r>
  <r>
    <s v="408-1871186-7465911"/>
    <s v="02/06/2022"/>
    <x v="0"/>
    <x v="36"/>
    <x v="1"/>
    <x v="2"/>
    <x v="0"/>
    <s v="SINGARAYAKONDA"/>
    <x v="2"/>
    <n v="799"/>
    <n v="205"/>
    <n v="594"/>
    <n v="240"/>
    <n v="354"/>
  </r>
  <r>
    <s v="171-8433381-4185131"/>
    <s v="03/06/2022"/>
    <x v="0"/>
    <x v="71"/>
    <x v="2"/>
    <x v="2"/>
    <x v="0"/>
    <s v="TIRUCHENGODE"/>
    <x v="7"/>
    <n v="799"/>
    <n v="205"/>
    <n v="594"/>
    <n v="240"/>
    <n v="354"/>
  </r>
  <r>
    <s v="405-2992878-5848339"/>
    <s v="02/06/2022"/>
    <x v="0"/>
    <x v="106"/>
    <x v="1"/>
    <x v="2"/>
    <x v="0"/>
    <s v="COIMBATORE"/>
    <x v="7"/>
    <n v="799"/>
    <n v="205"/>
    <n v="594"/>
    <n v="240"/>
    <n v="354"/>
  </r>
  <r>
    <s v="405-7193820-8948324"/>
    <s v="02/06/2022"/>
    <x v="0"/>
    <x v="107"/>
    <x v="1"/>
    <x v="2"/>
    <x v="0"/>
    <s v="MUMBAI"/>
    <x v="6"/>
    <n v="799"/>
    <n v="205"/>
    <n v="594"/>
    <n v="240"/>
    <n v="354"/>
  </r>
  <r>
    <s v="408-4589807-4749965"/>
    <s v="03/06/2022"/>
    <x v="1"/>
    <x v="59"/>
    <x v="2"/>
    <x v="2"/>
    <x v="0"/>
    <s v="PANCHKULA"/>
    <x v="15"/>
    <n v="0"/>
    <n v="0"/>
    <n v="0"/>
    <n v="0"/>
    <n v="0"/>
  </r>
  <r>
    <s v="404-5645827-7428342"/>
    <s v="03/06/2022"/>
    <x v="0"/>
    <x v="70"/>
    <x v="2"/>
    <x v="2"/>
    <x v="0"/>
    <s v="LUDHIANA"/>
    <x v="26"/>
    <n v="849"/>
    <n v="250"/>
    <n v="599"/>
    <n v="240"/>
    <n v="359"/>
  </r>
  <r>
    <s v="403-4923576-9097930"/>
    <s v="03/06/2022"/>
    <x v="0"/>
    <x v="15"/>
    <x v="2"/>
    <x v="2"/>
    <x v="0"/>
    <s v="THODUPUZHA"/>
    <x v="9"/>
    <n v="849"/>
    <n v="250"/>
    <n v="599"/>
    <n v="240"/>
    <n v="359"/>
  </r>
  <r>
    <s v="405-4729444-5947523"/>
    <s v="04/06/2022"/>
    <x v="2"/>
    <x v="15"/>
    <x v="3"/>
    <x v="2"/>
    <x v="0"/>
    <s v="JAIPUR"/>
    <x v="10"/>
    <n v="0"/>
    <n v="0"/>
    <n v="0"/>
    <n v="0"/>
    <n v="0"/>
  </r>
  <r>
    <s v="402-1649327-8934711"/>
    <s v="06/06/2022"/>
    <x v="0"/>
    <x v="15"/>
    <x v="5"/>
    <x v="2"/>
    <x v="0"/>
    <s v="HYDERABAD"/>
    <x v="8"/>
    <n v="849"/>
    <n v="250"/>
    <n v="599"/>
    <n v="240"/>
    <n v="359"/>
  </r>
  <r>
    <s v="171-0218883-5157919"/>
    <s v="05/06/2022"/>
    <x v="0"/>
    <x v="15"/>
    <x v="4"/>
    <x v="2"/>
    <x v="0"/>
    <s v="VADODARA"/>
    <x v="3"/>
    <n v="849"/>
    <n v="250"/>
    <n v="599"/>
    <n v="240"/>
    <n v="359"/>
  </r>
  <r>
    <s v="404-3610518-5085165"/>
    <s v="05/06/2022"/>
    <x v="0"/>
    <x v="31"/>
    <x v="4"/>
    <x v="2"/>
    <x v="0"/>
    <s v="KAMBAM"/>
    <x v="7"/>
    <n v="849"/>
    <n v="250"/>
    <n v="599"/>
    <n v="240"/>
    <n v="359"/>
  </r>
  <r>
    <s v="171-5314795-1001165"/>
    <s v="04/06/2022"/>
    <x v="0"/>
    <x v="15"/>
    <x v="3"/>
    <x v="2"/>
    <x v="0"/>
    <s v="CHENNAI"/>
    <x v="7"/>
    <n v="849"/>
    <n v="250"/>
    <n v="599"/>
    <n v="240"/>
    <n v="359"/>
  </r>
  <r>
    <s v="408-7641435-1930768"/>
    <s v="06/06/2022"/>
    <x v="0"/>
    <x v="30"/>
    <x v="5"/>
    <x v="2"/>
    <x v="0"/>
    <s v="NAVI MUMBAI"/>
    <x v="6"/>
    <n v="849"/>
    <n v="250"/>
    <n v="599"/>
    <n v="240"/>
    <n v="359"/>
  </r>
  <r>
    <s v="402-1345625-2884347"/>
    <s v="04/06/2022"/>
    <x v="0"/>
    <x v="75"/>
    <x v="3"/>
    <x v="2"/>
    <x v="0"/>
    <s v="MUMBAI"/>
    <x v="6"/>
    <n v="799"/>
    <n v="205"/>
    <n v="594"/>
    <n v="240"/>
    <n v="354"/>
  </r>
  <r>
    <s v="404-9098707-7963566"/>
    <s v="06/06/2022"/>
    <x v="0"/>
    <x v="108"/>
    <x v="5"/>
    <x v="2"/>
    <x v="0"/>
    <s v="BENGALURU"/>
    <x v="5"/>
    <n v="799"/>
    <n v="205"/>
    <n v="594"/>
    <n v="240"/>
    <n v="354"/>
  </r>
  <r>
    <s v="406-9833306-8241934"/>
    <s v="06/06/2022"/>
    <x v="0"/>
    <x v="90"/>
    <x v="5"/>
    <x v="2"/>
    <x v="0"/>
    <s v="UTHANGARAI"/>
    <x v="7"/>
    <n v="849"/>
    <n v="250"/>
    <n v="599"/>
    <n v="240"/>
    <n v="359"/>
  </r>
  <r>
    <s v="171-1303058-8190715"/>
    <s v="06/06/2022"/>
    <x v="0"/>
    <x v="69"/>
    <x v="5"/>
    <x v="2"/>
    <x v="0"/>
    <s v="CHENNAI600092"/>
    <x v="7"/>
    <n v="849"/>
    <n v="250"/>
    <n v="599"/>
    <n v="240"/>
    <n v="359"/>
  </r>
  <r>
    <s v="406-3388007-6018718"/>
    <s v="06/06/2022"/>
    <x v="0"/>
    <x v="109"/>
    <x v="5"/>
    <x v="2"/>
    <x v="0"/>
    <s v="NAVI MUMBAI"/>
    <x v="6"/>
    <n v="799"/>
    <n v="205"/>
    <n v="594"/>
    <n v="240"/>
    <n v="354"/>
  </r>
  <r>
    <s v="171-6575959-2860339"/>
    <s v="06/06/2022"/>
    <x v="0"/>
    <x v="15"/>
    <x v="5"/>
    <x v="2"/>
    <x v="0"/>
    <s v="JODHPUR"/>
    <x v="10"/>
    <n v="849"/>
    <n v="250"/>
    <n v="599"/>
    <n v="240"/>
    <n v="359"/>
  </r>
  <r>
    <s v="404-8072683-1877921"/>
    <s v="06/06/2022"/>
    <x v="0"/>
    <x v="25"/>
    <x v="5"/>
    <x v="2"/>
    <x v="0"/>
    <s v="NAGERCOIL"/>
    <x v="7"/>
    <n v="849"/>
    <n v="250"/>
    <n v="599"/>
    <n v="240"/>
    <n v="359"/>
  </r>
  <r>
    <s v="171-8034225-2688357"/>
    <s v="07/06/2022"/>
    <x v="0"/>
    <x v="75"/>
    <x v="7"/>
    <x v="2"/>
    <x v="0"/>
    <s v="AURANGABAD"/>
    <x v="6"/>
    <n v="799"/>
    <n v="205"/>
    <n v="594"/>
    <n v="240"/>
    <n v="354"/>
  </r>
  <r>
    <s v="406-8348092-1285167"/>
    <s v="07/06/2022"/>
    <x v="0"/>
    <x v="81"/>
    <x v="7"/>
    <x v="2"/>
    <x v="0"/>
    <s v="ALAPPUZHA"/>
    <x v="9"/>
    <n v="849"/>
    <n v="250"/>
    <n v="599"/>
    <n v="240"/>
    <n v="359"/>
  </r>
  <r>
    <s v="407-6794793-5373118"/>
    <s v="07/06/2022"/>
    <x v="0"/>
    <x v="110"/>
    <x v="7"/>
    <x v="2"/>
    <x v="0"/>
    <s v="VAISHALI"/>
    <x v="0"/>
    <n v="799"/>
    <n v="205"/>
    <n v="594"/>
    <n v="240"/>
    <n v="354"/>
  </r>
  <r>
    <s v="403-8485775-2045962"/>
    <s v="07/06/2022"/>
    <x v="0"/>
    <x v="15"/>
    <x v="7"/>
    <x v="2"/>
    <x v="0"/>
    <s v="CHETHIPUZHA"/>
    <x v="9"/>
    <n v="849"/>
    <n v="250"/>
    <n v="599"/>
    <n v="240"/>
    <n v="359"/>
  </r>
  <r>
    <s v="406-5580900-4407562"/>
    <s v="07/06/2022"/>
    <x v="0"/>
    <x v="15"/>
    <x v="7"/>
    <x v="2"/>
    <x v="0"/>
    <s v="Bengaluru"/>
    <x v="5"/>
    <n v="849"/>
    <n v="250"/>
    <n v="599"/>
    <n v="240"/>
    <n v="359"/>
  </r>
  <r>
    <s v="407-3029067-9246767"/>
    <s v="08/06/2022"/>
    <x v="0"/>
    <x v="111"/>
    <x v="6"/>
    <x v="2"/>
    <x v="0"/>
    <s v="CHENNAI"/>
    <x v="7"/>
    <n v="849"/>
    <n v="250"/>
    <n v="599"/>
    <n v="240"/>
    <n v="359"/>
  </r>
  <r>
    <s v="171-5291127-0873963"/>
    <s v="07/06/2022"/>
    <x v="0"/>
    <x v="15"/>
    <x v="7"/>
    <x v="2"/>
    <x v="0"/>
    <s v="KALYAN"/>
    <x v="6"/>
    <n v="849"/>
    <n v="250"/>
    <n v="599"/>
    <n v="240"/>
    <n v="359"/>
  </r>
  <r>
    <s v="404-6386735-9664348"/>
    <s v="08/06/2022"/>
    <x v="0"/>
    <x v="112"/>
    <x v="6"/>
    <x v="2"/>
    <x v="0"/>
    <s v="PARASSALA"/>
    <x v="9"/>
    <n v="799"/>
    <n v="205"/>
    <n v="594"/>
    <n v="240"/>
    <n v="354"/>
  </r>
  <r>
    <s v="404-6009297-5714767"/>
    <s v="08/06/2022"/>
    <x v="0"/>
    <x v="80"/>
    <x v="6"/>
    <x v="2"/>
    <x v="0"/>
    <s v="DEHRADUN"/>
    <x v="24"/>
    <n v="999"/>
    <n v="325"/>
    <n v="674"/>
    <n v="240"/>
    <n v="434"/>
  </r>
  <r>
    <s v="403-1441541-5190737"/>
    <s v="09/06/2022"/>
    <x v="2"/>
    <x v="15"/>
    <x v="8"/>
    <x v="2"/>
    <x v="0"/>
    <s v="MUMBAI"/>
    <x v="6"/>
    <n v="0"/>
    <n v="0"/>
    <n v="0"/>
    <n v="0"/>
    <n v="0"/>
  </r>
  <r>
    <s v="403-7708229-4808333"/>
    <s v="09/06/2022"/>
    <x v="0"/>
    <x v="83"/>
    <x v="8"/>
    <x v="2"/>
    <x v="0"/>
    <s v="VISAKHAPATNAM"/>
    <x v="2"/>
    <n v="999"/>
    <n v="325"/>
    <n v="674"/>
    <n v="240"/>
    <n v="434"/>
  </r>
  <r>
    <s v="405-7817229-5541934"/>
    <s v="09/06/2022"/>
    <x v="0"/>
    <x v="25"/>
    <x v="8"/>
    <x v="2"/>
    <x v="0"/>
    <s v="UNA"/>
    <x v="22"/>
    <n v="849"/>
    <n v="250"/>
    <n v="599"/>
    <n v="240"/>
    <n v="359"/>
  </r>
  <r>
    <s v="402-2590781-4958735"/>
    <s v="09/06/2022"/>
    <x v="0"/>
    <x v="69"/>
    <x v="8"/>
    <x v="2"/>
    <x v="0"/>
    <s v="MUMBAI"/>
    <x v="6"/>
    <n v="849"/>
    <n v="250"/>
    <n v="599"/>
    <n v="240"/>
    <n v="359"/>
  </r>
  <r>
    <s v="403-3593674-5195506"/>
    <s v="10/06/2022"/>
    <x v="0"/>
    <x v="68"/>
    <x v="10"/>
    <x v="2"/>
    <x v="0"/>
    <s v="MUMBAI"/>
    <x v="6"/>
    <n v="849"/>
    <n v="250"/>
    <n v="599"/>
    <n v="240"/>
    <n v="359"/>
  </r>
  <r>
    <s v="402-9029646-1355523"/>
    <s v="09/06/2022"/>
    <x v="0"/>
    <x v="25"/>
    <x v="8"/>
    <x v="2"/>
    <x v="0"/>
    <s v="JAIPUR"/>
    <x v="10"/>
    <n v="849"/>
    <n v="250"/>
    <n v="599"/>
    <n v="240"/>
    <n v="359"/>
  </r>
  <r>
    <s v="403-1441541-5190737"/>
    <s v="09/06/2022"/>
    <x v="0"/>
    <x v="15"/>
    <x v="8"/>
    <x v="2"/>
    <x v="0"/>
    <s v="MUMBAI"/>
    <x v="6"/>
    <n v="849"/>
    <n v="250"/>
    <n v="599"/>
    <n v="240"/>
    <n v="359"/>
  </r>
  <r>
    <s v="408-1871186-7465911"/>
    <s v="02/06/2022"/>
    <x v="2"/>
    <x v="36"/>
    <x v="1"/>
    <x v="2"/>
    <x v="0"/>
    <s v="SINGARAYAKONDA"/>
    <x v="2"/>
    <n v="0"/>
    <n v="0"/>
    <n v="0"/>
    <n v="0"/>
    <n v="0"/>
  </r>
  <r>
    <s v="406-9833306-8241934"/>
    <s v="06/06/2022"/>
    <x v="3"/>
    <x v="90"/>
    <x v="5"/>
    <x v="2"/>
    <x v="0"/>
    <s v="UTHANGARAI"/>
    <x v="7"/>
    <n v="-849"/>
    <n v="345"/>
    <n v="-504"/>
    <n v="240"/>
    <n v="-264"/>
  </r>
  <r>
    <s v="404-5870304-3502751"/>
    <s v="10/06/2022"/>
    <x v="0"/>
    <x v="72"/>
    <x v="10"/>
    <x v="2"/>
    <x v="0"/>
    <s v="PUNE"/>
    <x v="6"/>
    <n v="849"/>
    <n v="250"/>
    <n v="599"/>
    <n v="240"/>
    <n v="359"/>
  </r>
  <r>
    <s v="408-3351246-4745126"/>
    <s v="10/06/2022"/>
    <x v="0"/>
    <x v="72"/>
    <x v="10"/>
    <x v="2"/>
    <x v="0"/>
    <s v="Chennai"/>
    <x v="7"/>
    <n v="849"/>
    <n v="250"/>
    <n v="599"/>
    <n v="240"/>
    <n v="359"/>
  </r>
  <r>
    <s v="405-9312073-8871509"/>
    <s v="12/06/2022"/>
    <x v="0"/>
    <x v="31"/>
    <x v="11"/>
    <x v="2"/>
    <x v="0"/>
    <s v="SARDHANA meerut"/>
    <x v="1"/>
    <n v="849"/>
    <n v="250"/>
    <n v="599"/>
    <n v="240"/>
    <n v="359"/>
  </r>
  <r>
    <s v="408-7969182-2165132"/>
    <s v="11/06/2022"/>
    <x v="1"/>
    <x v="15"/>
    <x v="9"/>
    <x v="2"/>
    <x v="0"/>
    <s v="Alegaon"/>
    <x v="6"/>
    <n v="0"/>
    <n v="0"/>
    <n v="0"/>
    <n v="0"/>
    <n v="0"/>
  </r>
  <r>
    <s v="408-2415113-2535511"/>
    <s v="12/06/2022"/>
    <x v="0"/>
    <x v="15"/>
    <x v="11"/>
    <x v="2"/>
    <x v="0"/>
    <s v="NASHIK "/>
    <x v="6"/>
    <n v="849"/>
    <n v="250"/>
    <n v="599"/>
    <n v="240"/>
    <n v="359"/>
  </r>
  <r>
    <s v="404-8865283-3086762"/>
    <s v="12/06/2022"/>
    <x v="0"/>
    <x v="113"/>
    <x v="11"/>
    <x v="2"/>
    <x v="0"/>
    <s v="HYDERABAD"/>
    <x v="8"/>
    <n v="799"/>
    <n v="205"/>
    <n v="594"/>
    <n v="240"/>
    <n v="354"/>
  </r>
  <r>
    <s v="406-1070897-1958708"/>
    <s v="12/06/2022"/>
    <x v="0"/>
    <x v="15"/>
    <x v="11"/>
    <x v="2"/>
    <x v="0"/>
    <s v="BENGALURU"/>
    <x v="5"/>
    <n v="849"/>
    <n v="250"/>
    <n v="599"/>
    <n v="240"/>
    <n v="359"/>
  </r>
  <r>
    <s v="404-8605151-6876331"/>
    <s v="12/06/2022"/>
    <x v="0"/>
    <x v="96"/>
    <x v="11"/>
    <x v="2"/>
    <x v="0"/>
    <s v="PUNE"/>
    <x v="6"/>
    <n v="799"/>
    <n v="205"/>
    <n v="594"/>
    <n v="240"/>
    <n v="354"/>
  </r>
  <r>
    <s v="171-1735778-7589125"/>
    <s v="13/06/2022"/>
    <x v="0"/>
    <x v="88"/>
    <x v="12"/>
    <x v="2"/>
    <x v="0"/>
    <s v="HYDERABAD"/>
    <x v="8"/>
    <n v="999"/>
    <n v="325"/>
    <n v="674"/>
    <n v="240"/>
    <n v="434"/>
  </r>
  <r>
    <s v="405-9828410-8894742"/>
    <s v="11/06/2022"/>
    <x v="0"/>
    <x v="15"/>
    <x v="9"/>
    <x v="2"/>
    <x v="0"/>
    <s v="MUMBAI"/>
    <x v="6"/>
    <n v="849"/>
    <n v="250"/>
    <n v="599"/>
    <n v="240"/>
    <n v="359"/>
  </r>
  <r>
    <s v="408-7641435-1930768"/>
    <s v="06/06/2022"/>
    <x v="3"/>
    <x v="30"/>
    <x v="5"/>
    <x v="2"/>
    <x v="0"/>
    <s v="NAVI MUMBAI"/>
    <x v="6"/>
    <n v="-849"/>
    <n v="345"/>
    <n v="-504"/>
    <n v="240"/>
    <n v="-264"/>
  </r>
  <r>
    <s v="171-3817424-1671508"/>
    <s v="14/06/2022"/>
    <x v="2"/>
    <x v="15"/>
    <x v="13"/>
    <x v="2"/>
    <x v="0"/>
    <s v="HYDERABAD"/>
    <x v="8"/>
    <n v="0"/>
    <n v="0"/>
    <n v="0"/>
    <n v="0"/>
    <n v="0"/>
  </r>
  <r>
    <s v="171-6575959-2860339"/>
    <s v="06/06/2022"/>
    <x v="3"/>
    <x v="15"/>
    <x v="5"/>
    <x v="2"/>
    <x v="0"/>
    <s v="JODHPUR"/>
    <x v="10"/>
    <n v="-849"/>
    <n v="345"/>
    <n v="-504"/>
    <n v="240"/>
    <n v="-264"/>
  </r>
  <r>
    <s v="402-4077255-4098756"/>
    <s v="13/06/2022"/>
    <x v="0"/>
    <x v="15"/>
    <x v="12"/>
    <x v="2"/>
    <x v="0"/>
    <s v="Nellore"/>
    <x v="2"/>
    <n v="849"/>
    <n v="250"/>
    <n v="599"/>
    <n v="240"/>
    <n v="359"/>
  </r>
  <r>
    <s v="408-6355582-7355534"/>
    <s v="13/06/2022"/>
    <x v="1"/>
    <x v="68"/>
    <x v="12"/>
    <x v="2"/>
    <x v="0"/>
    <s v="NAGERCOIL"/>
    <x v="7"/>
    <n v="0"/>
    <n v="0"/>
    <n v="0"/>
    <n v="0"/>
    <n v="0"/>
  </r>
  <r>
    <s v="406-8348092-1285167"/>
    <s v="07/06/2022"/>
    <x v="3"/>
    <x v="81"/>
    <x v="7"/>
    <x v="2"/>
    <x v="0"/>
    <s v="ALAPPUZHA"/>
    <x v="9"/>
    <n v="-849"/>
    <n v="345"/>
    <n v="-504"/>
    <n v="240"/>
    <n v="-264"/>
  </r>
  <r>
    <s v="403-8485775-2045962"/>
    <s v="07/06/2022"/>
    <x v="3"/>
    <x v="15"/>
    <x v="7"/>
    <x v="2"/>
    <x v="0"/>
    <s v="CHETHIPUZHA"/>
    <x v="9"/>
    <n v="-849"/>
    <n v="345"/>
    <n v="-504"/>
    <n v="240"/>
    <n v="-264"/>
  </r>
  <r>
    <s v="171-1535676-3093963"/>
    <s v="14/06/2022"/>
    <x v="0"/>
    <x v="69"/>
    <x v="13"/>
    <x v="2"/>
    <x v="0"/>
    <s v="CHENNAI600092"/>
    <x v="7"/>
    <n v="849"/>
    <n v="250"/>
    <n v="599"/>
    <n v="240"/>
    <n v="359"/>
  </r>
  <r>
    <s v="408-6090422-0727530"/>
    <s v="14/06/2022"/>
    <x v="0"/>
    <x v="114"/>
    <x v="13"/>
    <x v="2"/>
    <x v="0"/>
    <s v="Chennai"/>
    <x v="7"/>
    <n v="799"/>
    <n v="205"/>
    <n v="594"/>
    <n v="240"/>
    <n v="354"/>
  </r>
  <r>
    <s v="404-1859165-0408300"/>
    <s v="14/06/2022"/>
    <x v="0"/>
    <x v="15"/>
    <x v="13"/>
    <x v="2"/>
    <x v="0"/>
    <s v="FARIDABAD"/>
    <x v="15"/>
    <n v="849"/>
    <n v="250"/>
    <n v="599"/>
    <n v="240"/>
    <n v="359"/>
  </r>
  <r>
    <s v="405-7408165-2706750"/>
    <s v="14/06/2022"/>
    <x v="0"/>
    <x v="68"/>
    <x v="13"/>
    <x v="2"/>
    <x v="0"/>
    <s v="Pimpri Chinchwad"/>
    <x v="6"/>
    <n v="849"/>
    <n v="250"/>
    <n v="599"/>
    <n v="240"/>
    <n v="359"/>
  </r>
  <r>
    <s v="405-1590978-4789165"/>
    <s v="14/06/2022"/>
    <x v="0"/>
    <x v="115"/>
    <x v="13"/>
    <x v="2"/>
    <x v="0"/>
    <s v="PARBHANI"/>
    <x v="6"/>
    <n v="799"/>
    <n v="205"/>
    <n v="594"/>
    <n v="240"/>
    <n v="354"/>
  </r>
  <r>
    <s v="405-4977960-0093935"/>
    <s v="14/06/2022"/>
    <x v="0"/>
    <x v="15"/>
    <x v="13"/>
    <x v="2"/>
    <x v="0"/>
    <s v="MAVELIKKARA"/>
    <x v="9"/>
    <n v="849"/>
    <n v="250"/>
    <n v="599"/>
    <n v="240"/>
    <n v="359"/>
  </r>
  <r>
    <s v="171-3817424-1671508"/>
    <s v="14/06/2022"/>
    <x v="0"/>
    <x v="15"/>
    <x v="13"/>
    <x v="2"/>
    <x v="0"/>
    <s v="HYDERABAD"/>
    <x v="8"/>
    <n v="849"/>
    <n v="250"/>
    <n v="599"/>
    <n v="240"/>
    <n v="359"/>
  </r>
  <r>
    <s v="402-4077255-4098756"/>
    <s v="13/06/2022"/>
    <x v="3"/>
    <x v="15"/>
    <x v="12"/>
    <x v="2"/>
    <x v="0"/>
    <s v="Nellore"/>
    <x v="2"/>
    <n v="-849"/>
    <n v="345"/>
    <n v="-504"/>
    <n v="240"/>
    <n v="-264"/>
  </r>
  <r>
    <s v="171-5086849-3858747"/>
    <s v="15/06/2022"/>
    <x v="0"/>
    <x v="75"/>
    <x v="14"/>
    <x v="2"/>
    <x v="0"/>
    <s v="BENGALURU"/>
    <x v="5"/>
    <n v="799"/>
    <n v="205"/>
    <n v="594"/>
    <n v="240"/>
    <n v="354"/>
  </r>
  <r>
    <s v="171-2442252-5327526"/>
    <s v="16/06/2022"/>
    <x v="0"/>
    <x v="90"/>
    <x v="15"/>
    <x v="2"/>
    <x v="0"/>
    <s v="PIMPRI CHINCHWAD"/>
    <x v="6"/>
    <n v="849"/>
    <n v="250"/>
    <n v="599"/>
    <n v="240"/>
    <n v="359"/>
  </r>
  <r>
    <s v="407-1043778-3307565"/>
    <s v="15/06/2022"/>
    <x v="0"/>
    <x v="99"/>
    <x v="14"/>
    <x v="2"/>
    <x v="0"/>
    <s v="LALITPUR"/>
    <x v="1"/>
    <n v="849"/>
    <n v="250"/>
    <n v="599"/>
    <n v="240"/>
    <n v="359"/>
  </r>
  <r>
    <s v="403-7610563-7602761"/>
    <s v="15/06/2022"/>
    <x v="0"/>
    <x v="116"/>
    <x v="14"/>
    <x v="2"/>
    <x v="0"/>
    <s v="HYDERABAD"/>
    <x v="8"/>
    <n v="799"/>
    <n v="205"/>
    <n v="594"/>
    <n v="240"/>
    <n v="354"/>
  </r>
  <r>
    <s v="402-1649327-8934711"/>
    <s v="06/06/2022"/>
    <x v="3"/>
    <x v="15"/>
    <x v="5"/>
    <x v="2"/>
    <x v="0"/>
    <s v="HYDERABAD"/>
    <x v="8"/>
    <n v="-849"/>
    <n v="345"/>
    <n v="-504"/>
    <n v="240"/>
    <n v="-264"/>
  </r>
  <r>
    <s v="403-7708229-4808333"/>
    <s v="09/06/2022"/>
    <x v="3"/>
    <x v="83"/>
    <x v="8"/>
    <x v="2"/>
    <x v="0"/>
    <s v="VISAKHAPATNAM"/>
    <x v="2"/>
    <n v="-999"/>
    <n v="395"/>
    <n v="-604"/>
    <n v="240"/>
    <n v="-364"/>
  </r>
  <r>
    <s v="407-9765208-9929123"/>
    <s v="17/06/2022"/>
    <x v="0"/>
    <x v="30"/>
    <x v="16"/>
    <x v="2"/>
    <x v="0"/>
    <s v="SALEM"/>
    <x v="7"/>
    <n v="849"/>
    <n v="250"/>
    <n v="599"/>
    <n v="240"/>
    <n v="359"/>
  </r>
  <r>
    <s v="403-7586621-3406727"/>
    <s v="16/06/2022"/>
    <x v="0"/>
    <x v="99"/>
    <x v="15"/>
    <x v="2"/>
    <x v="0"/>
    <s v="BENGALURU"/>
    <x v="5"/>
    <n v="849"/>
    <n v="250"/>
    <n v="599"/>
    <n v="240"/>
    <n v="359"/>
  </r>
  <r>
    <s v="406-6957175-7746709"/>
    <s v="16/06/2022"/>
    <x v="0"/>
    <x v="25"/>
    <x v="15"/>
    <x v="2"/>
    <x v="0"/>
    <s v="ALAPPUZHA"/>
    <x v="9"/>
    <n v="849"/>
    <n v="250"/>
    <n v="599"/>
    <n v="240"/>
    <n v="359"/>
  </r>
  <r>
    <s v="171-8433381-4185131"/>
    <s v="03/06/2022"/>
    <x v="3"/>
    <x v="71"/>
    <x v="2"/>
    <x v="2"/>
    <x v="0"/>
    <s v="TIRUCHENGODE"/>
    <x v="7"/>
    <n v="-799"/>
    <n v="320"/>
    <n v="-479"/>
    <n v="240"/>
    <n v="-239"/>
  </r>
  <r>
    <s v="171-1303058-8190715"/>
    <s v="06/06/2022"/>
    <x v="3"/>
    <x v="69"/>
    <x v="5"/>
    <x v="2"/>
    <x v="0"/>
    <s v="CHENNAI600092"/>
    <x v="7"/>
    <n v="-849"/>
    <n v="345"/>
    <n v="-504"/>
    <n v="240"/>
    <n v="-264"/>
  </r>
  <r>
    <s v="407-4773769-9119518"/>
    <s v="18/06/2022"/>
    <x v="2"/>
    <x v="117"/>
    <x v="18"/>
    <x v="2"/>
    <x v="0"/>
    <s v="FARIDABAD"/>
    <x v="15"/>
    <n v="0"/>
    <n v="0"/>
    <n v="0"/>
    <n v="0"/>
    <n v="0"/>
  </r>
  <r>
    <s v="407-4773769-9119518"/>
    <s v="18/06/2022"/>
    <x v="0"/>
    <x v="117"/>
    <x v="18"/>
    <x v="2"/>
    <x v="0"/>
    <s v="FARIDABAD"/>
    <x v="15"/>
    <n v="799"/>
    <n v="205"/>
    <n v="594"/>
    <n v="240"/>
    <n v="354"/>
  </r>
  <r>
    <s v="406-0587723-8420321"/>
    <s v="17/06/2022"/>
    <x v="0"/>
    <x v="118"/>
    <x v="16"/>
    <x v="2"/>
    <x v="0"/>
    <s v="Barh"/>
    <x v="0"/>
    <n v="849"/>
    <n v="250"/>
    <n v="599"/>
    <n v="240"/>
    <n v="359"/>
  </r>
  <r>
    <s v="405-1955759-9709163"/>
    <s v="19/06/2022"/>
    <x v="0"/>
    <x v="90"/>
    <x v="17"/>
    <x v="2"/>
    <x v="0"/>
    <s v="SHILLONG"/>
    <x v="23"/>
    <n v="849"/>
    <n v="250"/>
    <n v="599"/>
    <n v="240"/>
    <n v="359"/>
  </r>
  <r>
    <s v="171-2446838-5321158"/>
    <s v="19/06/2022"/>
    <x v="0"/>
    <x v="72"/>
    <x v="17"/>
    <x v="2"/>
    <x v="0"/>
    <s v="BENGALURU"/>
    <x v="5"/>
    <n v="849"/>
    <n v="250"/>
    <n v="599"/>
    <n v="240"/>
    <n v="359"/>
  </r>
  <r>
    <s v="403-5161801-9014753"/>
    <s v="20/06/2022"/>
    <x v="0"/>
    <x v="59"/>
    <x v="19"/>
    <x v="2"/>
    <x v="0"/>
    <s v="AMRITSAR"/>
    <x v="26"/>
    <n v="999"/>
    <n v="325"/>
    <n v="674"/>
    <n v="240"/>
    <n v="434"/>
  </r>
  <r>
    <s v="408-0890455-1608348"/>
    <s v="18/06/2022"/>
    <x v="0"/>
    <x v="68"/>
    <x v="18"/>
    <x v="2"/>
    <x v="0"/>
    <s v="ULLAL"/>
    <x v="5"/>
    <n v="849"/>
    <n v="250"/>
    <n v="599"/>
    <n v="240"/>
    <n v="359"/>
  </r>
  <r>
    <s v="406-8620311-7494740"/>
    <s v="19/06/2022"/>
    <x v="0"/>
    <x v="15"/>
    <x v="17"/>
    <x v="2"/>
    <x v="0"/>
    <s v="HUBBALLI"/>
    <x v="5"/>
    <n v="849"/>
    <n v="250"/>
    <n v="599"/>
    <n v="240"/>
    <n v="359"/>
  </r>
  <r>
    <s v="408-6090422-0727530"/>
    <s v="14/06/2022"/>
    <x v="3"/>
    <x v="114"/>
    <x v="13"/>
    <x v="2"/>
    <x v="0"/>
    <s v="Chennai"/>
    <x v="7"/>
    <n v="-799"/>
    <n v="320"/>
    <n v="-479"/>
    <n v="240"/>
    <n v="-239"/>
  </r>
  <r>
    <s v="407-1043778-3307565"/>
    <s v="15/06/2022"/>
    <x v="3"/>
    <x v="99"/>
    <x v="14"/>
    <x v="2"/>
    <x v="0"/>
    <s v="LALITPUR"/>
    <x v="1"/>
    <n v="-849"/>
    <n v="345"/>
    <n v="-504"/>
    <n v="240"/>
    <n v="-264"/>
  </r>
  <r>
    <s v="403-3936283-6699519"/>
    <s v="21/06/2022"/>
    <x v="0"/>
    <x v="80"/>
    <x v="20"/>
    <x v="2"/>
    <x v="0"/>
    <s v="BENGALURU"/>
    <x v="5"/>
    <n v="999"/>
    <n v="325"/>
    <n v="674"/>
    <n v="240"/>
    <n v="434"/>
  </r>
  <r>
    <s v="402-2199264-5862751"/>
    <s v="20/06/2022"/>
    <x v="0"/>
    <x v="108"/>
    <x v="19"/>
    <x v="2"/>
    <x v="0"/>
    <s v="PULGAON"/>
    <x v="6"/>
    <n v="799"/>
    <n v="205"/>
    <n v="594"/>
    <n v="240"/>
    <n v="354"/>
  </r>
  <r>
    <s v="407-9041235-5076351"/>
    <s v="20/06/2022"/>
    <x v="0"/>
    <x v="31"/>
    <x v="19"/>
    <x v="2"/>
    <x v="0"/>
    <s v="SURAT"/>
    <x v="3"/>
    <n v="849"/>
    <n v="250"/>
    <n v="599"/>
    <n v="240"/>
    <n v="359"/>
  </r>
  <r>
    <s v="405-1590978-4789165"/>
    <s v="14/06/2022"/>
    <x v="3"/>
    <x v="115"/>
    <x v="13"/>
    <x v="2"/>
    <x v="0"/>
    <s v="PARBHANI"/>
    <x v="6"/>
    <n v="-799"/>
    <n v="320"/>
    <n v="-479"/>
    <n v="240"/>
    <n v="-239"/>
  </r>
  <r>
    <s v="404-1193123-8477946"/>
    <s v="21/06/2022"/>
    <x v="0"/>
    <x v="119"/>
    <x v="20"/>
    <x v="2"/>
    <x v="0"/>
    <s v="HYDERABAD"/>
    <x v="8"/>
    <n v="799"/>
    <n v="205"/>
    <n v="594"/>
    <n v="240"/>
    <n v="354"/>
  </r>
  <r>
    <s v="171-2442252-5327526"/>
    <s v="16/06/2022"/>
    <x v="3"/>
    <x v="90"/>
    <x v="15"/>
    <x v="2"/>
    <x v="0"/>
    <s v="PIMPRI CHINCHWAD"/>
    <x v="6"/>
    <n v="-849"/>
    <n v="345"/>
    <n v="-504"/>
    <n v="240"/>
    <n v="-264"/>
  </r>
  <r>
    <s v="408-6339291-3425947"/>
    <s v="22/06/2022"/>
    <x v="0"/>
    <x v="14"/>
    <x v="21"/>
    <x v="2"/>
    <x v="0"/>
    <s v="new delhi"/>
    <x v="16"/>
    <n v="799"/>
    <n v="205"/>
    <n v="594"/>
    <n v="240"/>
    <n v="354"/>
  </r>
  <r>
    <s v="404-9663623-8205904"/>
    <s v="22/06/2022"/>
    <x v="0"/>
    <x v="104"/>
    <x v="21"/>
    <x v="2"/>
    <x v="0"/>
    <s v="PUNE"/>
    <x v="6"/>
    <n v="799"/>
    <n v="205"/>
    <n v="594"/>
    <n v="240"/>
    <n v="354"/>
  </r>
  <r>
    <s v="402-7951636-0010763"/>
    <s v="22/06/2022"/>
    <x v="0"/>
    <x v="120"/>
    <x v="21"/>
    <x v="2"/>
    <x v="0"/>
    <s v="LONI KALBHOR"/>
    <x v="6"/>
    <n v="849"/>
    <n v="250"/>
    <n v="599"/>
    <n v="240"/>
    <n v="359"/>
  </r>
  <r>
    <s v="406-8403942-5394748"/>
    <s v="23/06/2022"/>
    <x v="0"/>
    <x v="15"/>
    <x v="23"/>
    <x v="2"/>
    <x v="0"/>
    <s v="MANGALURU"/>
    <x v="5"/>
    <n v="849"/>
    <n v="250"/>
    <n v="599"/>
    <n v="240"/>
    <n v="359"/>
  </r>
  <r>
    <s v="404-2713848-0177127"/>
    <s v="23/06/2022"/>
    <x v="0"/>
    <x v="121"/>
    <x v="23"/>
    <x v="2"/>
    <x v="0"/>
    <s v="ATTINGAL"/>
    <x v="9"/>
    <n v="849"/>
    <n v="250"/>
    <n v="599"/>
    <n v="240"/>
    <n v="359"/>
  </r>
  <r>
    <s v="403-7927615-5309110"/>
    <s v="23/06/2022"/>
    <x v="0"/>
    <x v="122"/>
    <x v="23"/>
    <x v="2"/>
    <x v="0"/>
    <s v="BAREILLY"/>
    <x v="1"/>
    <n v="849"/>
    <n v="250"/>
    <n v="599"/>
    <n v="240"/>
    <n v="359"/>
  </r>
  <r>
    <s v="404-5655132-7437954"/>
    <s v="24/06/2022"/>
    <x v="0"/>
    <x v="88"/>
    <x v="22"/>
    <x v="2"/>
    <x v="0"/>
    <s v="PUNE"/>
    <x v="6"/>
    <n v="999"/>
    <n v="325"/>
    <n v="674"/>
    <n v="240"/>
    <n v="434"/>
  </r>
  <r>
    <s v="406-1070897-1958708"/>
    <s v="12/06/2022"/>
    <x v="3"/>
    <x v="15"/>
    <x v="11"/>
    <x v="2"/>
    <x v="0"/>
    <s v="BENGALURU"/>
    <x v="5"/>
    <n v="-849"/>
    <n v="345"/>
    <n v="-504"/>
    <n v="240"/>
    <n v="-264"/>
  </r>
  <r>
    <s v="407-9041235-5076351"/>
    <s v="20/06/2022"/>
    <x v="3"/>
    <x v="31"/>
    <x v="19"/>
    <x v="2"/>
    <x v="0"/>
    <s v="SURAT"/>
    <x v="3"/>
    <n v="-849"/>
    <n v="345"/>
    <n v="-504"/>
    <n v="240"/>
    <n v="-264"/>
  </r>
  <r>
    <s v="406-6079994-2987504"/>
    <s v="26/06/2022"/>
    <x v="0"/>
    <x v="59"/>
    <x v="25"/>
    <x v="2"/>
    <x v="0"/>
    <s v="GUNTUR"/>
    <x v="2"/>
    <n v="999"/>
    <n v="325"/>
    <n v="674"/>
    <n v="240"/>
    <n v="434"/>
  </r>
  <r>
    <s v="404-4739358-4237918"/>
    <s v="26/06/2022"/>
    <x v="0"/>
    <x v="123"/>
    <x v="25"/>
    <x v="2"/>
    <x v="0"/>
    <s v="AHMEDABAD"/>
    <x v="3"/>
    <n v="999"/>
    <n v="325"/>
    <n v="674"/>
    <n v="240"/>
    <n v="434"/>
  </r>
  <r>
    <s v="404-9616408-7345137"/>
    <s v="25/06/2022"/>
    <x v="0"/>
    <x v="124"/>
    <x v="24"/>
    <x v="2"/>
    <x v="0"/>
    <s v="UDAYAGIRI"/>
    <x v="12"/>
    <n v="999"/>
    <n v="325"/>
    <n v="674"/>
    <n v="240"/>
    <n v="434"/>
  </r>
  <r>
    <s v="404-2687116-2288350"/>
    <s v="27/06/2022"/>
    <x v="0"/>
    <x v="15"/>
    <x v="26"/>
    <x v="2"/>
    <x v="0"/>
    <s v="Rewari  kund "/>
    <x v="15"/>
    <n v="849"/>
    <n v="250"/>
    <n v="599"/>
    <n v="240"/>
    <n v="359"/>
  </r>
  <r>
    <s v="403-0650772-5786708"/>
    <s v="27/06/2022"/>
    <x v="0"/>
    <x v="15"/>
    <x v="26"/>
    <x v="2"/>
    <x v="0"/>
    <s v="VISAKHAPATNAM"/>
    <x v="2"/>
    <n v="849"/>
    <n v="250"/>
    <n v="599"/>
    <n v="240"/>
    <n v="359"/>
  </r>
  <r>
    <s v="402-3939556-0684369"/>
    <s v="26/06/2022"/>
    <x v="0"/>
    <x v="125"/>
    <x v="25"/>
    <x v="2"/>
    <x v="0"/>
    <s v="pattukkottai"/>
    <x v="7"/>
    <n v="999"/>
    <n v="325"/>
    <n v="674"/>
    <n v="240"/>
    <n v="434"/>
  </r>
  <r>
    <s v="406-3427860-2861910"/>
    <s v="26/06/2022"/>
    <x v="0"/>
    <x v="126"/>
    <x v="25"/>
    <x v="2"/>
    <x v="0"/>
    <s v="NEBADHAI DUTTAPUKUR"/>
    <x v="18"/>
    <n v="849"/>
    <n v="250"/>
    <n v="599"/>
    <n v="240"/>
    <n v="359"/>
  </r>
  <r>
    <s v="403-9778486-9484346"/>
    <s v="26/06/2022"/>
    <x v="0"/>
    <x v="88"/>
    <x v="25"/>
    <x v="2"/>
    <x v="0"/>
    <s v="CHENNAI"/>
    <x v="7"/>
    <n v="999"/>
    <n v="325"/>
    <n v="674"/>
    <n v="240"/>
    <n v="434"/>
  </r>
  <r>
    <s v="404-2024371-2557148"/>
    <s v="26/06/2022"/>
    <x v="0"/>
    <x v="15"/>
    <x v="25"/>
    <x v="2"/>
    <x v="0"/>
    <s v="Pune"/>
    <x v="6"/>
    <n v="849"/>
    <n v="250"/>
    <n v="599"/>
    <n v="240"/>
    <n v="359"/>
  </r>
  <r>
    <s v="171-8546786-6657141"/>
    <s v="25/06/2022"/>
    <x v="0"/>
    <x v="15"/>
    <x v="24"/>
    <x v="2"/>
    <x v="0"/>
    <s v="Bhubaneswar"/>
    <x v="14"/>
    <n v="849"/>
    <n v="250"/>
    <n v="599"/>
    <n v="240"/>
    <n v="359"/>
  </r>
  <r>
    <s v="407-3056775-4117962"/>
    <s v="26/06/2022"/>
    <x v="0"/>
    <x v="69"/>
    <x v="25"/>
    <x v="2"/>
    <x v="0"/>
    <s v="SURAT"/>
    <x v="3"/>
    <n v="849"/>
    <n v="250"/>
    <n v="599"/>
    <n v="240"/>
    <n v="359"/>
  </r>
  <r>
    <s v="403-0246139-1034734"/>
    <s v="27/06/2022"/>
    <x v="0"/>
    <x v="95"/>
    <x v="26"/>
    <x v="2"/>
    <x v="0"/>
    <s v="VASAI East"/>
    <x v="6"/>
    <n v="999"/>
    <n v="325"/>
    <n v="674"/>
    <n v="240"/>
    <n v="434"/>
  </r>
  <r>
    <s v="402-7951636-0010763"/>
    <s v="22/06/2022"/>
    <x v="3"/>
    <x v="120"/>
    <x v="21"/>
    <x v="2"/>
    <x v="0"/>
    <s v="LONI KALBHOR"/>
    <x v="6"/>
    <n v="-849"/>
    <n v="345"/>
    <n v="-504"/>
    <n v="240"/>
    <n v="-264"/>
  </r>
  <r>
    <s v="407-0322312-3533172"/>
    <s v="27/06/2022"/>
    <x v="0"/>
    <x v="15"/>
    <x v="26"/>
    <x v="2"/>
    <x v="0"/>
    <s v="KOLLAM"/>
    <x v="9"/>
    <n v="849"/>
    <n v="250"/>
    <n v="599"/>
    <n v="240"/>
    <n v="359"/>
  </r>
  <r>
    <s v="403-5872776-7438705"/>
    <s v="27/06/2022"/>
    <x v="0"/>
    <x v="127"/>
    <x v="26"/>
    <x v="2"/>
    <x v="0"/>
    <s v="Jodhpur"/>
    <x v="10"/>
    <n v="849"/>
    <n v="250"/>
    <n v="599"/>
    <n v="240"/>
    <n v="359"/>
  </r>
  <r>
    <s v="404-9663623-8205904"/>
    <s v="22/06/2022"/>
    <x v="3"/>
    <x v="104"/>
    <x v="21"/>
    <x v="2"/>
    <x v="0"/>
    <s v="PUNE"/>
    <x v="6"/>
    <n v="-799"/>
    <n v="320"/>
    <n v="-479"/>
    <n v="240"/>
    <n v="-239"/>
  </r>
  <r>
    <s v="403-0650772-5786708"/>
    <s v="27/06/2022"/>
    <x v="3"/>
    <x v="15"/>
    <x v="26"/>
    <x v="2"/>
    <x v="0"/>
    <s v="VISAKHAPATNAM"/>
    <x v="2"/>
    <n v="-849"/>
    <n v="345"/>
    <n v="-504"/>
    <n v="240"/>
    <n v="-264"/>
  </r>
  <r>
    <s v="404-5830122-3733957"/>
    <s v="28/06/2022"/>
    <x v="0"/>
    <x v="15"/>
    <x v="27"/>
    <x v="2"/>
    <x v="0"/>
    <s v="BHOPAL"/>
    <x v="13"/>
    <n v="849"/>
    <n v="250"/>
    <n v="599"/>
    <n v="240"/>
    <n v="359"/>
  </r>
  <r>
    <s v="403-5348974-6665136"/>
    <s v="28/06/2022"/>
    <x v="0"/>
    <x v="128"/>
    <x v="27"/>
    <x v="2"/>
    <x v="0"/>
    <s v="CHENNAI"/>
    <x v="7"/>
    <n v="999"/>
    <n v="325"/>
    <n v="674"/>
    <n v="240"/>
    <n v="434"/>
  </r>
  <r>
    <s v="408-9579585-8229949"/>
    <s v="28/06/2022"/>
    <x v="0"/>
    <x v="12"/>
    <x v="27"/>
    <x v="2"/>
    <x v="0"/>
    <s v="ALLAHABAD"/>
    <x v="1"/>
    <n v="849"/>
    <n v="250"/>
    <n v="599"/>
    <n v="240"/>
    <n v="359"/>
  </r>
  <r>
    <s v="404-1193123-8477946"/>
    <s v="21/06/2022"/>
    <x v="3"/>
    <x v="119"/>
    <x v="20"/>
    <x v="2"/>
    <x v="0"/>
    <s v="HYDERABAD"/>
    <x v="8"/>
    <n v="-799"/>
    <n v="320"/>
    <n v="-479"/>
    <n v="240"/>
    <n v="-239"/>
  </r>
  <r>
    <s v="406-4472624-2875536"/>
    <s v="29/06/2022"/>
    <x v="0"/>
    <x v="129"/>
    <x v="28"/>
    <x v="2"/>
    <x v="0"/>
    <s v="BHOPAL"/>
    <x v="13"/>
    <n v="849"/>
    <n v="250"/>
    <n v="599"/>
    <n v="240"/>
    <n v="359"/>
  </r>
  <r>
    <s v="405-4159695-0512353"/>
    <s v="29/06/2022"/>
    <x v="0"/>
    <x v="68"/>
    <x v="28"/>
    <x v="2"/>
    <x v="0"/>
    <s v="KOTTARAKKARA"/>
    <x v="9"/>
    <n v="849"/>
    <n v="250"/>
    <n v="599"/>
    <n v="240"/>
    <n v="359"/>
  </r>
  <r>
    <s v="407-9099662-9055524"/>
    <s v="29/06/2022"/>
    <x v="0"/>
    <x v="15"/>
    <x v="28"/>
    <x v="2"/>
    <x v="0"/>
    <s v="SHIMLA"/>
    <x v="22"/>
    <n v="849"/>
    <n v="250"/>
    <n v="599"/>
    <n v="240"/>
    <n v="359"/>
  </r>
  <r>
    <s v="405-9099991-3605925"/>
    <s v="29/06/2022"/>
    <x v="0"/>
    <x v="59"/>
    <x v="28"/>
    <x v="2"/>
    <x v="0"/>
    <s v="PUNE"/>
    <x v="6"/>
    <n v="999"/>
    <n v="325"/>
    <n v="674"/>
    <n v="240"/>
    <n v="434"/>
  </r>
  <r>
    <s v="408-2011932-4354740"/>
    <s v="29/06/2022"/>
    <x v="0"/>
    <x v="15"/>
    <x v="28"/>
    <x v="2"/>
    <x v="0"/>
    <s v="CHENNAI"/>
    <x v="7"/>
    <n v="849"/>
    <n v="250"/>
    <n v="599"/>
    <n v="240"/>
    <n v="359"/>
  </r>
  <r>
    <s v="408-1871186-7465911"/>
    <s v="02/06/2022"/>
    <x v="3"/>
    <x v="36"/>
    <x v="1"/>
    <x v="2"/>
    <x v="0"/>
    <s v="SINGARAYAKONDA"/>
    <x v="2"/>
    <n v="-799"/>
    <n v="320"/>
    <n v="-479"/>
    <n v="240"/>
    <n v="-239"/>
  </r>
  <r>
    <s v="405-5372334-9313950"/>
    <s v="30/06/2022"/>
    <x v="0"/>
    <x v="68"/>
    <x v="29"/>
    <x v="2"/>
    <x v="0"/>
    <s v="BENGALURU"/>
    <x v="5"/>
    <n v="799"/>
    <n v="205"/>
    <n v="594"/>
    <n v="240"/>
    <n v="354"/>
  </r>
  <r>
    <s v="171-7109706-9377938"/>
    <s v="30/06/2022"/>
    <x v="0"/>
    <x v="126"/>
    <x v="29"/>
    <x v="2"/>
    <x v="0"/>
    <s v="AHMEDABAD"/>
    <x v="3"/>
    <n v="849"/>
    <n v="250"/>
    <n v="599"/>
    <n v="240"/>
    <n v="359"/>
  </r>
  <r>
    <s v="171-6463398-9985912"/>
    <s v="30/06/2022"/>
    <x v="0"/>
    <x v="15"/>
    <x v="29"/>
    <x v="2"/>
    <x v="0"/>
    <s v="BENGALURU"/>
    <x v="5"/>
    <n v="849"/>
    <n v="250"/>
    <n v="599"/>
    <n v="240"/>
    <n v="359"/>
  </r>
  <r>
    <s v="406-5809326-6335548"/>
    <s v="23/05/2022"/>
    <x v="3"/>
    <x v="95"/>
    <x v="23"/>
    <x v="1"/>
    <x v="0"/>
    <s v="FARIDABAD"/>
    <x v="15"/>
    <n v="-999"/>
    <n v="395"/>
    <n v="-604"/>
    <n v="240"/>
    <n v="-364"/>
  </r>
  <r>
    <s v="406-1559004-6173913"/>
    <s v="26/05/2022"/>
    <x v="3"/>
    <x v="15"/>
    <x v="25"/>
    <x v="1"/>
    <x v="0"/>
    <s v="GORAKHPUR"/>
    <x v="1"/>
    <n v="-849"/>
    <n v="345"/>
    <n v="-504"/>
    <n v="240"/>
    <n v="-264"/>
  </r>
  <r>
    <s v="402-7967743-5310750"/>
    <s v="22/05/2022"/>
    <x v="3"/>
    <x v="15"/>
    <x v="21"/>
    <x v="1"/>
    <x v="0"/>
    <s v="MUMBAI"/>
    <x v="6"/>
    <n v="-849"/>
    <n v="345"/>
    <n v="-504"/>
    <n v="240"/>
    <n v="-264"/>
  </r>
  <r>
    <s v="404-8807660-5321913"/>
    <s v="26/05/2022"/>
    <x v="3"/>
    <x v="90"/>
    <x v="25"/>
    <x v="1"/>
    <x v="0"/>
    <s v="MURADNAGAR"/>
    <x v="1"/>
    <n v="-849"/>
    <n v="345"/>
    <n v="-504"/>
    <n v="240"/>
    <n v="-264"/>
  </r>
  <r>
    <s v="405-2352766-3285962"/>
    <s v="26/05/2022"/>
    <x v="3"/>
    <x v="15"/>
    <x v="25"/>
    <x v="1"/>
    <x v="0"/>
    <s v="CHENNAI"/>
    <x v="7"/>
    <n v="-849"/>
    <n v="345"/>
    <n v="-504"/>
    <n v="240"/>
    <n v="-264"/>
  </r>
  <r>
    <s v="403-5385595-0705139"/>
    <s v="31/05/2022"/>
    <x v="3"/>
    <x v="94"/>
    <x v="30"/>
    <x v="1"/>
    <x v="0"/>
    <s v="ERNAKULAM"/>
    <x v="9"/>
    <n v="-799"/>
    <n v="320"/>
    <n v="-479"/>
    <n v="240"/>
    <n v="-239"/>
  </r>
  <r>
    <s v="402-4619587-7199507"/>
    <s v="31/05/2022"/>
    <x v="3"/>
    <x v="15"/>
    <x v="30"/>
    <x v="1"/>
    <x v="0"/>
    <s v="MUMBAI"/>
    <x v="6"/>
    <n v="-849"/>
    <n v="345"/>
    <n v="-504"/>
    <n v="240"/>
    <n v="-264"/>
  </r>
  <r>
    <s v="402-3130784-7593949"/>
    <s v="29/05/2022"/>
    <x v="3"/>
    <x v="101"/>
    <x v="28"/>
    <x v="1"/>
    <x v="0"/>
    <s v="NAGERCOIL"/>
    <x v="7"/>
    <n v="-999"/>
    <n v="395"/>
    <n v="-604"/>
    <n v="240"/>
    <n v="-364"/>
  </r>
  <r>
    <s v="404-1237809-6041913"/>
    <s v="30/05/2022"/>
    <x v="3"/>
    <x v="15"/>
    <x v="29"/>
    <x v="1"/>
    <x v="0"/>
    <s v="Mumbai"/>
    <x v="6"/>
    <n v="-849"/>
    <n v="345"/>
    <n v="-504"/>
    <n v="240"/>
    <n v="-264"/>
  </r>
  <r>
    <s v="403-3388572-5209158"/>
    <s v="25/05/2022"/>
    <x v="3"/>
    <x v="15"/>
    <x v="24"/>
    <x v="1"/>
    <x v="0"/>
    <s v="PUDUKKOTTAI"/>
    <x v="7"/>
    <n v="-849"/>
    <n v="345"/>
    <n v="-504"/>
    <n v="240"/>
    <n v="-264"/>
  </r>
  <r>
    <s v="403-0888402-4205131"/>
    <s v="30/05/2022"/>
    <x v="3"/>
    <x v="83"/>
    <x v="29"/>
    <x v="1"/>
    <x v="0"/>
    <s v="VISAKHAPATNAM"/>
    <x v="2"/>
    <n v="-999"/>
    <n v="395"/>
    <n v="-604"/>
    <n v="240"/>
    <n v="-364"/>
  </r>
  <r>
    <s v="405-3541915-5827569"/>
    <s v="27/05/2022"/>
    <x v="3"/>
    <x v="100"/>
    <x v="26"/>
    <x v="1"/>
    <x v="0"/>
    <s v="MUMBAI"/>
    <x v="6"/>
    <n v="-799"/>
    <n v="320"/>
    <n v="-479"/>
    <n v="240"/>
    <n v="-239"/>
  </r>
  <r>
    <s v="405-9303068-2157116"/>
    <s v="01/07/2022"/>
    <x v="0"/>
    <x v="127"/>
    <x v="0"/>
    <x v="3"/>
    <x v="0"/>
    <s v="PIMPRI CHINCHWAD"/>
    <x v="6"/>
    <n v="849"/>
    <n v="250"/>
    <n v="599"/>
    <n v="240"/>
    <n v="359"/>
  </r>
  <r>
    <s v="405-6671542-2917922"/>
    <s v="01/07/2022"/>
    <x v="0"/>
    <x v="15"/>
    <x v="0"/>
    <x v="3"/>
    <x v="0"/>
    <s v="HYDERABAD"/>
    <x v="8"/>
    <n v="849"/>
    <n v="250"/>
    <n v="599"/>
    <n v="240"/>
    <n v="359"/>
  </r>
  <r>
    <s v="403-6231456-1375530"/>
    <s v="01/07/2022"/>
    <x v="0"/>
    <x v="130"/>
    <x v="0"/>
    <x v="3"/>
    <x v="0"/>
    <s v="HYDERABAD"/>
    <x v="8"/>
    <n v="799"/>
    <n v="205"/>
    <n v="594"/>
    <n v="240"/>
    <n v="354"/>
  </r>
  <r>
    <s v="171-6845124-5880359"/>
    <s v="02/07/2022"/>
    <x v="0"/>
    <x v="131"/>
    <x v="1"/>
    <x v="3"/>
    <x v="0"/>
    <s v="RAJNANDGAON"/>
    <x v="20"/>
    <n v="799"/>
    <n v="205"/>
    <n v="594"/>
    <n v="240"/>
    <n v="354"/>
  </r>
  <r>
    <s v="408-3275275-5597132"/>
    <s v="01/07/2022"/>
    <x v="0"/>
    <x v="15"/>
    <x v="0"/>
    <x v="3"/>
    <x v="0"/>
    <s v="PUDUCHERRY"/>
    <x v="27"/>
    <n v="849"/>
    <n v="250"/>
    <n v="599"/>
    <n v="240"/>
    <n v="359"/>
  </r>
  <r>
    <s v="407-5074275-2005144"/>
    <s v="01/07/2022"/>
    <x v="0"/>
    <x v="15"/>
    <x v="0"/>
    <x v="3"/>
    <x v="0"/>
    <s v="VELUR"/>
    <x v="7"/>
    <n v="849"/>
    <n v="250"/>
    <n v="599"/>
    <n v="240"/>
    <n v="359"/>
  </r>
  <r>
    <s v="407-6911556-0028310"/>
    <s v="02/07/2022"/>
    <x v="0"/>
    <x v="125"/>
    <x v="1"/>
    <x v="3"/>
    <x v="0"/>
    <s v="JAIPUR"/>
    <x v="10"/>
    <n v="999"/>
    <n v="325"/>
    <n v="674"/>
    <n v="240"/>
    <n v="434"/>
  </r>
  <r>
    <s v="407-5931647-6758742"/>
    <s v="01/07/2022"/>
    <x v="0"/>
    <x v="15"/>
    <x v="0"/>
    <x v="3"/>
    <x v="0"/>
    <s v="BENGALURU"/>
    <x v="5"/>
    <n v="849"/>
    <n v="250"/>
    <n v="599"/>
    <n v="240"/>
    <n v="359"/>
  </r>
  <r>
    <s v="406-8956728-3778703"/>
    <s v="02/07/2022"/>
    <x v="2"/>
    <x v="59"/>
    <x v="1"/>
    <x v="3"/>
    <x v="0"/>
    <s v="UTTAR SATALI"/>
    <x v="18"/>
    <n v="0"/>
    <n v="0"/>
    <n v="0"/>
    <n v="0"/>
    <n v="0"/>
  </r>
  <r>
    <s v="403-5242259-7236320"/>
    <s v="02/07/2022"/>
    <x v="2"/>
    <x v="68"/>
    <x v="1"/>
    <x v="3"/>
    <x v="0"/>
    <s v="SAGAR"/>
    <x v="13"/>
    <n v="0"/>
    <n v="0"/>
    <n v="0"/>
    <n v="0"/>
    <n v="0"/>
  </r>
  <r>
    <s v="171-8493097-8854743"/>
    <s v="03/07/2022"/>
    <x v="2"/>
    <x v="59"/>
    <x v="2"/>
    <x v="3"/>
    <x v="0"/>
    <s v="CHENNAI"/>
    <x v="7"/>
    <n v="0"/>
    <n v="0"/>
    <n v="0"/>
    <n v="0"/>
    <n v="0"/>
  </r>
  <r>
    <s v="404-3643132-9985941"/>
    <s v="04/07/2022"/>
    <x v="0"/>
    <x v="132"/>
    <x v="3"/>
    <x v="3"/>
    <x v="0"/>
    <s v="Ahmedabad"/>
    <x v="3"/>
    <n v="849"/>
    <n v="250"/>
    <n v="599"/>
    <n v="240"/>
    <n v="359"/>
  </r>
  <r>
    <s v="171-8240334-4821105"/>
    <s v="03/07/2022"/>
    <x v="0"/>
    <x v="133"/>
    <x v="2"/>
    <x v="3"/>
    <x v="0"/>
    <s v="AIZAWL"/>
    <x v="28"/>
    <n v="799"/>
    <n v="205"/>
    <n v="594"/>
    <n v="240"/>
    <n v="354"/>
  </r>
  <r>
    <s v="405-4934340-5840300"/>
    <s v="02/07/2022"/>
    <x v="0"/>
    <x v="15"/>
    <x v="1"/>
    <x v="3"/>
    <x v="0"/>
    <s v="IMPHAL"/>
    <x v="29"/>
    <n v="849"/>
    <n v="250"/>
    <n v="599"/>
    <n v="240"/>
    <n v="359"/>
  </r>
  <r>
    <s v="404-9574310-0857148"/>
    <s v="02/07/2022"/>
    <x v="0"/>
    <x v="15"/>
    <x v="1"/>
    <x v="3"/>
    <x v="0"/>
    <s v="BELLARY"/>
    <x v="5"/>
    <n v="849"/>
    <n v="250"/>
    <n v="599"/>
    <n v="240"/>
    <n v="359"/>
  </r>
  <r>
    <s v="407-3046221-1181104"/>
    <s v="02/07/2022"/>
    <x v="0"/>
    <x v="134"/>
    <x v="1"/>
    <x v="3"/>
    <x v="0"/>
    <s v="SECUNDERABAD"/>
    <x v="8"/>
    <n v="849"/>
    <n v="250"/>
    <n v="599"/>
    <n v="240"/>
    <n v="359"/>
  </r>
  <r>
    <s v="407-3046221-1181104"/>
    <s v="02/07/2022"/>
    <x v="0"/>
    <x v="135"/>
    <x v="1"/>
    <x v="3"/>
    <x v="0"/>
    <s v="SECUNDERABAD"/>
    <x v="8"/>
    <n v="849"/>
    <n v="250"/>
    <n v="599"/>
    <n v="240"/>
    <n v="359"/>
  </r>
  <r>
    <s v="171-7663214-5767514"/>
    <s v="03/07/2022"/>
    <x v="0"/>
    <x v="136"/>
    <x v="2"/>
    <x v="3"/>
    <x v="0"/>
    <s v="MUMBAI"/>
    <x v="6"/>
    <n v="849"/>
    <n v="250"/>
    <n v="599"/>
    <n v="240"/>
    <n v="359"/>
  </r>
  <r>
    <s v="171-1609676-3336350"/>
    <s v="02/07/2022"/>
    <x v="0"/>
    <x v="137"/>
    <x v="1"/>
    <x v="3"/>
    <x v="0"/>
    <s v="Hyderabad"/>
    <x v="8"/>
    <n v="849"/>
    <n v="250"/>
    <n v="599"/>
    <n v="240"/>
    <n v="359"/>
  </r>
  <r>
    <s v="406-8956728-3778703"/>
    <s v="02/07/2022"/>
    <x v="0"/>
    <x v="59"/>
    <x v="1"/>
    <x v="3"/>
    <x v="0"/>
    <s v="UTTAR SATALI"/>
    <x v="18"/>
    <n v="999"/>
    <n v="325"/>
    <n v="674"/>
    <n v="240"/>
    <n v="434"/>
  </r>
  <r>
    <s v="171-1047877-9065158"/>
    <s v="02/07/2022"/>
    <x v="0"/>
    <x v="138"/>
    <x v="1"/>
    <x v="3"/>
    <x v="0"/>
    <s v="HIMMATNAGAR"/>
    <x v="3"/>
    <n v="799"/>
    <n v="205"/>
    <n v="594"/>
    <n v="240"/>
    <n v="354"/>
  </r>
  <r>
    <s v="408-1195490-7993128"/>
    <s v="03/07/2022"/>
    <x v="0"/>
    <x v="104"/>
    <x v="2"/>
    <x v="3"/>
    <x v="0"/>
    <s v="Bhubaneswar"/>
    <x v="14"/>
    <n v="1598"/>
    <n v="365"/>
    <n v="1233"/>
    <n v="240"/>
    <n v="993"/>
  </r>
  <r>
    <s v="406-9303255-9677160"/>
    <s v="03/07/2022"/>
    <x v="0"/>
    <x v="139"/>
    <x v="2"/>
    <x v="3"/>
    <x v="0"/>
    <s v="BHIWADI"/>
    <x v="10"/>
    <n v="799"/>
    <n v="205"/>
    <n v="594"/>
    <n v="240"/>
    <n v="354"/>
  </r>
  <r>
    <s v="403-1302626-8158716"/>
    <s v="03/07/2022"/>
    <x v="0"/>
    <x v="140"/>
    <x v="2"/>
    <x v="3"/>
    <x v="0"/>
    <s v="Tuggali"/>
    <x v="2"/>
    <n v="799"/>
    <n v="205"/>
    <n v="594"/>
    <n v="240"/>
    <n v="354"/>
  </r>
  <r>
    <s v="171-7451267-4375513"/>
    <s v="03/07/2022"/>
    <x v="0"/>
    <x v="141"/>
    <x v="2"/>
    <x v="3"/>
    <x v="0"/>
    <s v="BENGALURU"/>
    <x v="5"/>
    <n v="849"/>
    <n v="250"/>
    <n v="599"/>
    <n v="240"/>
    <n v="359"/>
  </r>
  <r>
    <s v="404-3893786-0442702"/>
    <s v="03/07/2022"/>
    <x v="0"/>
    <x v="15"/>
    <x v="2"/>
    <x v="3"/>
    <x v="0"/>
    <s v="NEW DELHI"/>
    <x v="16"/>
    <n v="849"/>
    <n v="250"/>
    <n v="599"/>
    <n v="240"/>
    <n v="359"/>
  </r>
  <r>
    <s v="408-8579603-5053912"/>
    <s v="02/07/2022"/>
    <x v="0"/>
    <x v="127"/>
    <x v="1"/>
    <x v="3"/>
    <x v="0"/>
    <s v="Thrissur"/>
    <x v="9"/>
    <n v="849"/>
    <n v="250"/>
    <n v="599"/>
    <n v="240"/>
    <n v="359"/>
  </r>
  <r>
    <s v="171-8493097-8854743"/>
    <s v="03/07/2022"/>
    <x v="0"/>
    <x v="59"/>
    <x v="2"/>
    <x v="3"/>
    <x v="0"/>
    <s v="CHENNAI"/>
    <x v="7"/>
    <n v="999"/>
    <n v="325"/>
    <n v="674"/>
    <n v="240"/>
    <n v="434"/>
  </r>
  <r>
    <s v="408-8579603-5053912"/>
    <s v="02/07/2022"/>
    <x v="0"/>
    <x v="31"/>
    <x v="1"/>
    <x v="3"/>
    <x v="0"/>
    <s v="Thrissur"/>
    <x v="9"/>
    <n v="799"/>
    <n v="205"/>
    <n v="594"/>
    <n v="240"/>
    <n v="354"/>
  </r>
  <r>
    <s v="408-5521249-7964346"/>
    <s v="04/07/2022"/>
    <x v="1"/>
    <x v="21"/>
    <x v="3"/>
    <x v="3"/>
    <x v="0"/>
    <s v="PUNE"/>
    <x v="6"/>
    <n v="0"/>
    <n v="0"/>
    <n v="0"/>
    <n v="0"/>
    <n v="0"/>
  </r>
  <r>
    <s v="171-4104183-8570703"/>
    <s v="04/07/2022"/>
    <x v="0"/>
    <x v="15"/>
    <x v="3"/>
    <x v="3"/>
    <x v="0"/>
    <s v="CHANDI MANDIR"/>
    <x v="15"/>
    <n v="849"/>
    <n v="250"/>
    <n v="599"/>
    <n v="240"/>
    <n v="359"/>
  </r>
  <r>
    <s v="404-5370978-0192324"/>
    <s v="04/07/2022"/>
    <x v="0"/>
    <x v="142"/>
    <x v="3"/>
    <x v="3"/>
    <x v="0"/>
    <s v="MAHBUBNAGAR"/>
    <x v="8"/>
    <n v="799"/>
    <n v="205"/>
    <n v="594"/>
    <n v="240"/>
    <n v="354"/>
  </r>
  <r>
    <s v="403-4626298-6150747"/>
    <s v="05/07/2022"/>
    <x v="0"/>
    <x v="135"/>
    <x v="4"/>
    <x v="3"/>
    <x v="0"/>
    <s v="Tezpur"/>
    <x v="4"/>
    <n v="849"/>
    <n v="250"/>
    <n v="599"/>
    <n v="240"/>
    <n v="359"/>
  </r>
  <r>
    <s v="403-5522347-8180334"/>
    <s v="05/07/2022"/>
    <x v="0"/>
    <x v="12"/>
    <x v="4"/>
    <x v="3"/>
    <x v="0"/>
    <s v="VIJAPURA"/>
    <x v="5"/>
    <n v="849"/>
    <n v="250"/>
    <n v="599"/>
    <n v="240"/>
    <n v="359"/>
  </r>
  <r>
    <s v="403-5634549-6189100"/>
    <s v="05/07/2022"/>
    <x v="0"/>
    <x v="143"/>
    <x v="4"/>
    <x v="3"/>
    <x v="0"/>
    <s v="SIVAKASI"/>
    <x v="7"/>
    <n v="849"/>
    <n v="250"/>
    <n v="599"/>
    <n v="240"/>
    <n v="359"/>
  </r>
  <r>
    <s v="404-2613067-5416334"/>
    <s v="05/07/2022"/>
    <x v="0"/>
    <x v="144"/>
    <x v="4"/>
    <x v="3"/>
    <x v="0"/>
    <s v="HYDERABAD"/>
    <x v="8"/>
    <n v="799"/>
    <n v="205"/>
    <n v="594"/>
    <n v="240"/>
    <n v="354"/>
  </r>
  <r>
    <s v="408-1927153-2227543"/>
    <s v="05/07/2022"/>
    <x v="0"/>
    <x v="31"/>
    <x v="4"/>
    <x v="3"/>
    <x v="0"/>
    <s v="HYDERABAD"/>
    <x v="8"/>
    <n v="799"/>
    <n v="205"/>
    <n v="594"/>
    <n v="240"/>
    <n v="354"/>
  </r>
  <r>
    <s v="406-0388038-4905129"/>
    <s v="05/07/2022"/>
    <x v="0"/>
    <x v="124"/>
    <x v="4"/>
    <x v="3"/>
    <x v="0"/>
    <s v="JAMSHEDPUR"/>
    <x v="11"/>
    <n v="999"/>
    <n v="325"/>
    <n v="674"/>
    <n v="240"/>
    <n v="434"/>
  </r>
  <r>
    <s v="408-5550670-7474723"/>
    <s v="06/07/2022"/>
    <x v="2"/>
    <x v="15"/>
    <x v="5"/>
    <x v="3"/>
    <x v="0"/>
    <s v="NEW DELHI"/>
    <x v="16"/>
    <n v="0"/>
    <n v="0"/>
    <n v="0"/>
    <n v="0"/>
    <n v="0"/>
  </r>
  <r>
    <s v="403-4610500-5886708"/>
    <s v="07/07/2022"/>
    <x v="2"/>
    <x v="135"/>
    <x v="7"/>
    <x v="3"/>
    <x v="0"/>
    <s v="NARNAUL"/>
    <x v="15"/>
    <n v="0"/>
    <n v="0"/>
    <n v="0"/>
    <n v="0"/>
    <n v="0"/>
  </r>
  <r>
    <s v="408-8342945-7808350"/>
    <s v="06/07/2022"/>
    <x v="0"/>
    <x v="137"/>
    <x v="5"/>
    <x v="3"/>
    <x v="0"/>
    <s v="COIMBATORE"/>
    <x v="7"/>
    <n v="849"/>
    <n v="250"/>
    <n v="599"/>
    <n v="240"/>
    <n v="359"/>
  </r>
  <r>
    <s v="408-6053060-0855534"/>
    <s v="06/07/2022"/>
    <x v="0"/>
    <x v="15"/>
    <x v="5"/>
    <x v="3"/>
    <x v="0"/>
    <s v="PUNE"/>
    <x v="6"/>
    <n v="849"/>
    <n v="250"/>
    <n v="599"/>
    <n v="240"/>
    <n v="359"/>
  </r>
  <r>
    <s v="406-8571382-8517922"/>
    <s v="06/07/2022"/>
    <x v="0"/>
    <x v="15"/>
    <x v="5"/>
    <x v="3"/>
    <x v="0"/>
    <s v="PANRUTI"/>
    <x v="7"/>
    <n v="849"/>
    <n v="250"/>
    <n v="599"/>
    <n v="240"/>
    <n v="359"/>
  </r>
  <r>
    <s v="404-8025382-4680318"/>
    <s v="06/07/2022"/>
    <x v="0"/>
    <x v="145"/>
    <x v="5"/>
    <x v="3"/>
    <x v="0"/>
    <s v="NEW DELHI"/>
    <x v="16"/>
    <n v="799"/>
    <n v="205"/>
    <n v="594"/>
    <n v="240"/>
    <n v="354"/>
  </r>
  <r>
    <s v="171-4700966-4970744"/>
    <s v="07/07/2022"/>
    <x v="0"/>
    <x v="146"/>
    <x v="7"/>
    <x v="3"/>
    <x v="0"/>
    <s v="SHAHABAD"/>
    <x v="5"/>
    <n v="799"/>
    <n v="205"/>
    <n v="594"/>
    <n v="240"/>
    <n v="354"/>
  </r>
  <r>
    <s v="405-8258292-0756327"/>
    <s v="07/07/2022"/>
    <x v="0"/>
    <x v="136"/>
    <x v="7"/>
    <x v="3"/>
    <x v="0"/>
    <s v="VARADHAYANGAR PALAYAM"/>
    <x v="7"/>
    <n v="849"/>
    <n v="250"/>
    <n v="599"/>
    <n v="240"/>
    <n v="359"/>
  </r>
  <r>
    <s v="402-9479702-9962753"/>
    <s v="09/07/2022"/>
    <x v="0"/>
    <x v="137"/>
    <x v="8"/>
    <x v="3"/>
    <x v="0"/>
    <s v="NEW DELHI"/>
    <x v="16"/>
    <n v="849"/>
    <n v="250"/>
    <n v="599"/>
    <n v="240"/>
    <n v="359"/>
  </r>
  <r>
    <s v="171-2468420-7645900"/>
    <s v="08/07/2022"/>
    <x v="0"/>
    <x v="135"/>
    <x v="6"/>
    <x v="3"/>
    <x v="0"/>
    <s v="BENGALURU"/>
    <x v="5"/>
    <n v="849"/>
    <n v="250"/>
    <n v="599"/>
    <n v="240"/>
    <n v="359"/>
  </r>
  <r>
    <s v="408-2467516-2453967"/>
    <s v="10/07/2022"/>
    <x v="2"/>
    <x v="127"/>
    <x v="10"/>
    <x v="3"/>
    <x v="0"/>
    <s v="PIMPRI CHINCHWAD  PUNE"/>
    <x v="6"/>
    <n v="0"/>
    <n v="0"/>
    <n v="0"/>
    <n v="0"/>
    <n v="0"/>
  </r>
  <r>
    <s v="404-3893786-0442702"/>
    <s v="03/07/2022"/>
    <x v="3"/>
    <x v="15"/>
    <x v="2"/>
    <x v="3"/>
    <x v="0"/>
    <s v="NEW DELHI"/>
    <x v="16"/>
    <n v="-849"/>
    <n v="345"/>
    <n v="-504"/>
    <n v="240"/>
    <n v="-264"/>
  </r>
  <r>
    <s v="405-8258292-0756327"/>
    <s v="07/07/2022"/>
    <x v="3"/>
    <x v="136"/>
    <x v="7"/>
    <x v="3"/>
    <x v="0"/>
    <s v="VARADHAYANGAR PALAYAM"/>
    <x v="7"/>
    <n v="-849"/>
    <n v="345"/>
    <n v="-504"/>
    <n v="240"/>
    <n v="-264"/>
  </r>
  <r>
    <s v="405-6671542-2917922"/>
    <s v="01/07/2022"/>
    <x v="3"/>
    <x v="15"/>
    <x v="0"/>
    <x v="3"/>
    <x v="0"/>
    <s v="HYDERABAD"/>
    <x v="8"/>
    <n v="-849"/>
    <n v="345"/>
    <n v="-504"/>
    <n v="240"/>
    <n v="-264"/>
  </r>
  <r>
    <s v="405-1722531-2284355"/>
    <s v="09/07/2022"/>
    <x v="0"/>
    <x v="147"/>
    <x v="8"/>
    <x v="3"/>
    <x v="0"/>
    <s v="Ahmedabad"/>
    <x v="3"/>
    <n v="799"/>
    <n v="205"/>
    <n v="594"/>
    <n v="240"/>
    <n v="354"/>
  </r>
  <r>
    <s v="402-3016097-0994767"/>
    <s v="10/07/2022"/>
    <x v="0"/>
    <x v="137"/>
    <x v="10"/>
    <x v="3"/>
    <x v="0"/>
    <s v="NAGPUR"/>
    <x v="6"/>
    <n v="849"/>
    <n v="250"/>
    <n v="599"/>
    <n v="240"/>
    <n v="359"/>
  </r>
  <r>
    <s v="403-7676518-1557104"/>
    <s v="10/07/2022"/>
    <x v="0"/>
    <x v="148"/>
    <x v="10"/>
    <x v="3"/>
    <x v="0"/>
    <s v="JAIPUR"/>
    <x v="10"/>
    <n v="799"/>
    <n v="205"/>
    <n v="594"/>
    <n v="240"/>
    <n v="354"/>
  </r>
  <r>
    <s v="171-1933193-9243532"/>
    <s v="09/07/2022"/>
    <x v="0"/>
    <x v="31"/>
    <x v="8"/>
    <x v="3"/>
    <x v="0"/>
    <s v="MUMBAI"/>
    <x v="6"/>
    <n v="799"/>
    <n v="205"/>
    <n v="594"/>
    <n v="240"/>
    <n v="354"/>
  </r>
  <r>
    <s v="404-7761174-2277938"/>
    <s v="09/07/2022"/>
    <x v="0"/>
    <x v="137"/>
    <x v="8"/>
    <x v="3"/>
    <x v="0"/>
    <s v="SISWA BAZAR"/>
    <x v="1"/>
    <n v="849"/>
    <n v="250"/>
    <n v="599"/>
    <n v="240"/>
    <n v="359"/>
  </r>
  <r>
    <s v="171-3113027-8732321"/>
    <s v="09/07/2022"/>
    <x v="0"/>
    <x v="128"/>
    <x v="8"/>
    <x v="3"/>
    <x v="0"/>
    <s v="Dhule"/>
    <x v="6"/>
    <n v="999"/>
    <n v="325"/>
    <n v="674"/>
    <n v="240"/>
    <n v="434"/>
  </r>
  <r>
    <s v="406-6616799-3409942"/>
    <s v="11/07/2022"/>
    <x v="0"/>
    <x v="88"/>
    <x v="9"/>
    <x v="3"/>
    <x v="0"/>
    <s v="THIRUVANANTHAPURAM"/>
    <x v="9"/>
    <n v="999"/>
    <n v="325"/>
    <n v="674"/>
    <n v="240"/>
    <n v="434"/>
  </r>
  <r>
    <s v="171-9843831-2220316"/>
    <s v="11/07/2022"/>
    <x v="0"/>
    <x v="149"/>
    <x v="9"/>
    <x v="3"/>
    <x v="0"/>
    <s v="BENGALURU"/>
    <x v="5"/>
    <n v="799"/>
    <n v="205"/>
    <n v="594"/>
    <n v="240"/>
    <n v="354"/>
  </r>
  <r>
    <s v="408-2467516-2453967"/>
    <s v="10/07/2022"/>
    <x v="0"/>
    <x v="127"/>
    <x v="10"/>
    <x v="3"/>
    <x v="0"/>
    <s v="PIMPRI CHINCHWAD  PUNE"/>
    <x v="6"/>
    <n v="849"/>
    <n v="250"/>
    <n v="599"/>
    <n v="240"/>
    <n v="359"/>
  </r>
  <r>
    <s v="405-2808562-5445923"/>
    <s v="10/07/2022"/>
    <x v="0"/>
    <x v="69"/>
    <x v="10"/>
    <x v="3"/>
    <x v="0"/>
    <s v="BASAVAKALYAN"/>
    <x v="5"/>
    <n v="849"/>
    <n v="250"/>
    <n v="599"/>
    <n v="240"/>
    <n v="359"/>
  </r>
  <r>
    <s v="403-5522347-8180334"/>
    <s v="05/07/2022"/>
    <x v="3"/>
    <x v="12"/>
    <x v="4"/>
    <x v="3"/>
    <x v="0"/>
    <s v="VIJAPURA"/>
    <x v="5"/>
    <n v="-849"/>
    <n v="345"/>
    <n v="-504"/>
    <n v="240"/>
    <n v="-264"/>
  </r>
  <r>
    <s v="171-1933193-9243532"/>
    <s v="09/07/2022"/>
    <x v="3"/>
    <x v="31"/>
    <x v="8"/>
    <x v="3"/>
    <x v="0"/>
    <s v="MUMBAI"/>
    <x v="6"/>
    <n v="-799"/>
    <n v="320"/>
    <n v="-479"/>
    <n v="240"/>
    <n v="-239"/>
  </r>
  <r>
    <s v="171-8240334-4821105"/>
    <s v="03/07/2022"/>
    <x v="3"/>
    <x v="133"/>
    <x v="2"/>
    <x v="3"/>
    <x v="0"/>
    <s v="AIZAWL"/>
    <x v="28"/>
    <n v="-799"/>
    <n v="320"/>
    <n v="-479"/>
    <n v="240"/>
    <n v="-239"/>
  </r>
  <r>
    <s v="405-6530591-8236363"/>
    <s v="12/07/2022"/>
    <x v="2"/>
    <x v="15"/>
    <x v="11"/>
    <x v="3"/>
    <x v="0"/>
    <s v="HYDERABAD"/>
    <x v="8"/>
    <n v="0"/>
    <n v="0"/>
    <n v="0"/>
    <n v="0"/>
    <n v="0"/>
  </r>
  <r>
    <s v="408-6053060-0855534"/>
    <s v="06/07/2022"/>
    <x v="3"/>
    <x v="15"/>
    <x v="5"/>
    <x v="3"/>
    <x v="0"/>
    <s v="PUNE"/>
    <x v="6"/>
    <n v="-849"/>
    <n v="345"/>
    <n v="-504"/>
    <n v="240"/>
    <n v="-264"/>
  </r>
  <r>
    <s v="408-4196076-2544358"/>
    <s v="12/07/2022"/>
    <x v="0"/>
    <x v="95"/>
    <x v="11"/>
    <x v="3"/>
    <x v="0"/>
    <s v="BENGALURU"/>
    <x v="5"/>
    <n v="999"/>
    <n v="325"/>
    <n v="674"/>
    <n v="240"/>
    <n v="434"/>
  </r>
  <r>
    <s v="402-5953352-3015501"/>
    <s v="11/07/2022"/>
    <x v="0"/>
    <x v="80"/>
    <x v="9"/>
    <x v="3"/>
    <x v="0"/>
    <s v="BENGALURU"/>
    <x v="5"/>
    <n v="999"/>
    <n v="325"/>
    <n v="674"/>
    <n v="240"/>
    <n v="434"/>
  </r>
  <r>
    <s v="403-4605606-4043515"/>
    <s v="11/07/2022"/>
    <x v="0"/>
    <x v="150"/>
    <x v="9"/>
    <x v="3"/>
    <x v="0"/>
    <s v="HYDERABAD"/>
    <x v="8"/>
    <n v="799"/>
    <n v="205"/>
    <n v="594"/>
    <n v="240"/>
    <n v="354"/>
  </r>
  <r>
    <s v="406-0388038-4905129"/>
    <s v="05/07/2022"/>
    <x v="3"/>
    <x v="124"/>
    <x v="4"/>
    <x v="3"/>
    <x v="0"/>
    <s v="JAMSHEDPUR"/>
    <x v="11"/>
    <n v="-999"/>
    <n v="395"/>
    <n v="-604"/>
    <n v="240"/>
    <n v="-364"/>
  </r>
  <r>
    <s v="408-7333509-2416322"/>
    <s v="12/07/2022"/>
    <x v="0"/>
    <x v="151"/>
    <x v="11"/>
    <x v="3"/>
    <x v="0"/>
    <s v="Karunagappally"/>
    <x v="9"/>
    <n v="799"/>
    <n v="205"/>
    <n v="594"/>
    <n v="240"/>
    <n v="354"/>
  </r>
  <r>
    <s v="407-6810799-4162755"/>
    <s v="13/07/2022"/>
    <x v="0"/>
    <x v="80"/>
    <x v="12"/>
    <x v="3"/>
    <x v="0"/>
    <s v="BENGALURU"/>
    <x v="5"/>
    <n v="999"/>
    <n v="325"/>
    <n v="674"/>
    <n v="240"/>
    <n v="434"/>
  </r>
  <r>
    <s v="406-8005238-2241155"/>
    <s v="12/07/2022"/>
    <x v="0"/>
    <x v="152"/>
    <x v="11"/>
    <x v="3"/>
    <x v="0"/>
    <s v="Seoni"/>
    <x v="13"/>
    <n v="799"/>
    <n v="205"/>
    <n v="594"/>
    <n v="240"/>
    <n v="354"/>
  </r>
  <r>
    <s v="402-4430589-2035552"/>
    <s v="12/07/2022"/>
    <x v="0"/>
    <x v="31"/>
    <x v="11"/>
    <x v="3"/>
    <x v="0"/>
    <s v="BENGALURU"/>
    <x v="5"/>
    <n v="799"/>
    <n v="205"/>
    <n v="594"/>
    <n v="240"/>
    <n v="354"/>
  </r>
  <r>
    <s v="405-6530591-8236363"/>
    <s v="12/07/2022"/>
    <x v="0"/>
    <x v="15"/>
    <x v="11"/>
    <x v="3"/>
    <x v="0"/>
    <s v="HYDERABAD"/>
    <x v="8"/>
    <n v="849"/>
    <n v="250"/>
    <n v="599"/>
    <n v="240"/>
    <n v="359"/>
  </r>
  <r>
    <s v="403-1993786-5727503"/>
    <s v="12/07/2022"/>
    <x v="0"/>
    <x v="136"/>
    <x v="11"/>
    <x v="3"/>
    <x v="0"/>
    <s v="KARIMNAGAR"/>
    <x v="8"/>
    <n v="849"/>
    <n v="250"/>
    <n v="599"/>
    <n v="240"/>
    <n v="359"/>
  </r>
  <r>
    <s v="171-1609676-3336350"/>
    <s v="02/07/2022"/>
    <x v="3"/>
    <x v="137"/>
    <x v="1"/>
    <x v="3"/>
    <x v="0"/>
    <s v="Hyderabad"/>
    <x v="8"/>
    <n v="-849"/>
    <n v="345"/>
    <n v="-504"/>
    <n v="240"/>
    <n v="-264"/>
  </r>
  <r>
    <s v="408-8342945-7808350"/>
    <s v="06/07/2022"/>
    <x v="3"/>
    <x v="137"/>
    <x v="5"/>
    <x v="3"/>
    <x v="0"/>
    <s v="COIMBATORE"/>
    <x v="7"/>
    <n v="-849"/>
    <n v="345"/>
    <n v="-504"/>
    <n v="240"/>
    <n v="-264"/>
  </r>
  <r>
    <s v="406-6501533-4181944"/>
    <s v="14/07/2022"/>
    <x v="0"/>
    <x v="153"/>
    <x v="13"/>
    <x v="3"/>
    <x v="0"/>
    <s v="VADODARA"/>
    <x v="3"/>
    <n v="799"/>
    <n v="205"/>
    <n v="594"/>
    <n v="240"/>
    <n v="354"/>
  </r>
  <r>
    <s v="405-4275803-5293960"/>
    <s v="13/07/2022"/>
    <x v="0"/>
    <x v="126"/>
    <x v="12"/>
    <x v="3"/>
    <x v="0"/>
    <s v="Kolkata"/>
    <x v="18"/>
    <n v="849"/>
    <n v="250"/>
    <n v="599"/>
    <n v="240"/>
    <n v="359"/>
  </r>
  <r>
    <s v="403-7465995-1086713"/>
    <s v="14/07/2022"/>
    <x v="2"/>
    <x v="154"/>
    <x v="13"/>
    <x v="3"/>
    <x v="0"/>
    <s v="NAVI MUMBAI"/>
    <x v="6"/>
    <n v="0"/>
    <n v="0"/>
    <n v="0"/>
    <n v="0"/>
    <n v="0"/>
  </r>
  <r>
    <s v="408-7333509-2416322"/>
    <s v="12/07/2022"/>
    <x v="3"/>
    <x v="151"/>
    <x v="11"/>
    <x v="3"/>
    <x v="0"/>
    <s v="Karunagappally"/>
    <x v="9"/>
    <n v="-799"/>
    <n v="320"/>
    <n v="-479"/>
    <n v="240"/>
    <n v="-239"/>
  </r>
  <r>
    <s v="171-8926377-6105168"/>
    <s v="14/07/2022"/>
    <x v="0"/>
    <x v="12"/>
    <x v="13"/>
    <x v="3"/>
    <x v="0"/>
    <s v="KALYAN"/>
    <x v="6"/>
    <n v="849"/>
    <n v="250"/>
    <n v="599"/>
    <n v="240"/>
    <n v="359"/>
  </r>
  <r>
    <s v="404-9649674-4418706"/>
    <s v="14/07/2022"/>
    <x v="0"/>
    <x v="15"/>
    <x v="13"/>
    <x v="3"/>
    <x v="0"/>
    <s v="HYDERABAD"/>
    <x v="8"/>
    <n v="849"/>
    <n v="250"/>
    <n v="599"/>
    <n v="240"/>
    <n v="359"/>
  </r>
  <r>
    <s v="404-4680401-0169149"/>
    <s v="14/07/2022"/>
    <x v="0"/>
    <x v="127"/>
    <x v="13"/>
    <x v="3"/>
    <x v="0"/>
    <s v="HYDERABAD"/>
    <x v="8"/>
    <n v="849"/>
    <n v="250"/>
    <n v="599"/>
    <n v="240"/>
    <n v="359"/>
  </r>
  <r>
    <s v="403-7465995-1086713"/>
    <s v="14/07/2022"/>
    <x v="0"/>
    <x v="154"/>
    <x v="13"/>
    <x v="3"/>
    <x v="0"/>
    <s v="NAVI MUMBAI"/>
    <x v="6"/>
    <n v="799"/>
    <n v="205"/>
    <n v="594"/>
    <n v="240"/>
    <n v="354"/>
  </r>
  <r>
    <s v="408-3358791-9453903"/>
    <s v="14/07/2022"/>
    <x v="0"/>
    <x v="145"/>
    <x v="13"/>
    <x v="3"/>
    <x v="0"/>
    <s v="THIRUVANANTHAPURAM"/>
    <x v="9"/>
    <n v="799"/>
    <n v="205"/>
    <n v="594"/>
    <n v="240"/>
    <n v="354"/>
  </r>
  <r>
    <s v="407-2043788-4720345"/>
    <s v="14/07/2022"/>
    <x v="0"/>
    <x v="128"/>
    <x v="13"/>
    <x v="3"/>
    <x v="0"/>
    <s v="PANAJI"/>
    <x v="21"/>
    <n v="999"/>
    <n v="325"/>
    <n v="674"/>
    <n v="240"/>
    <n v="434"/>
  </r>
  <r>
    <s v="402-4606623-0162765"/>
    <s v="15/07/2022"/>
    <x v="0"/>
    <x v="155"/>
    <x v="14"/>
    <x v="3"/>
    <x v="0"/>
    <s v="PARAVUR"/>
    <x v="9"/>
    <n v="849"/>
    <n v="250"/>
    <n v="599"/>
    <n v="240"/>
    <n v="359"/>
  </r>
  <r>
    <s v="408-4996374-1480330"/>
    <s v="14/07/2022"/>
    <x v="0"/>
    <x v="137"/>
    <x v="13"/>
    <x v="3"/>
    <x v="0"/>
    <s v="BANGALORE"/>
    <x v="5"/>
    <n v="849"/>
    <n v="250"/>
    <n v="599"/>
    <n v="240"/>
    <n v="359"/>
  </r>
  <r>
    <s v="405-1169905-2481114"/>
    <s v="15/07/2022"/>
    <x v="0"/>
    <x v="136"/>
    <x v="14"/>
    <x v="3"/>
    <x v="0"/>
    <s v="3 441 Thirumalaiagar Kathinayanapalli Krishnagiri "/>
    <x v="7"/>
    <n v="849"/>
    <n v="250"/>
    <n v="599"/>
    <n v="240"/>
    <n v="359"/>
  </r>
  <r>
    <s v="404-7761174-2277938"/>
    <s v="09/07/2022"/>
    <x v="3"/>
    <x v="137"/>
    <x v="8"/>
    <x v="3"/>
    <x v="0"/>
    <s v="SISWA BAZAR"/>
    <x v="1"/>
    <n v="-849"/>
    <n v="345"/>
    <n v="-504"/>
    <n v="240"/>
    <n v="-264"/>
  </r>
  <r>
    <s v="407-3247428-2786752"/>
    <s v="15/07/2022"/>
    <x v="0"/>
    <x v="75"/>
    <x v="14"/>
    <x v="3"/>
    <x v="0"/>
    <s v="COIMBATORE"/>
    <x v="7"/>
    <n v="799"/>
    <n v="205"/>
    <n v="594"/>
    <n v="240"/>
    <n v="354"/>
  </r>
  <r>
    <s v="408-4945746-6208302"/>
    <s v="16/07/2022"/>
    <x v="0"/>
    <x v="156"/>
    <x v="15"/>
    <x v="3"/>
    <x v="0"/>
    <s v="NOIDA"/>
    <x v="1"/>
    <n v="799"/>
    <n v="205"/>
    <n v="594"/>
    <n v="240"/>
    <n v="354"/>
  </r>
  <r>
    <s v="408-2467516-2453967"/>
    <s v="10/07/2022"/>
    <x v="3"/>
    <x v="127"/>
    <x v="10"/>
    <x v="3"/>
    <x v="0"/>
    <s v="PIMPRI CHINCHWAD  PUNE"/>
    <x v="6"/>
    <n v="-849"/>
    <n v="345"/>
    <n v="-504"/>
    <n v="240"/>
    <n v="-264"/>
  </r>
  <r>
    <s v="405-1722531-2284355"/>
    <s v="09/07/2022"/>
    <x v="3"/>
    <x v="147"/>
    <x v="8"/>
    <x v="3"/>
    <x v="0"/>
    <s v="Ahmedabad"/>
    <x v="3"/>
    <n v="-799"/>
    <n v="320"/>
    <n v="-479"/>
    <n v="240"/>
    <n v="-239"/>
  </r>
  <r>
    <s v="403-4605606-4043515"/>
    <s v="11/07/2022"/>
    <x v="3"/>
    <x v="150"/>
    <x v="9"/>
    <x v="3"/>
    <x v="0"/>
    <s v="HYDERABAD"/>
    <x v="8"/>
    <n v="-799"/>
    <n v="320"/>
    <n v="-479"/>
    <n v="240"/>
    <n v="-239"/>
  </r>
  <r>
    <s v="408-7665486-2417900"/>
    <s v="16/07/2022"/>
    <x v="1"/>
    <x v="157"/>
    <x v="15"/>
    <x v="3"/>
    <x v="0"/>
    <s v="BENGALURU"/>
    <x v="5"/>
    <n v="0"/>
    <n v="0"/>
    <n v="0"/>
    <n v="0"/>
    <n v="0"/>
  </r>
  <r>
    <s v="404-2521564-3421109"/>
    <s v="17/07/2022"/>
    <x v="0"/>
    <x v="158"/>
    <x v="16"/>
    <x v="3"/>
    <x v="0"/>
    <s v="KALYAN"/>
    <x v="6"/>
    <n v="849"/>
    <n v="250"/>
    <n v="599"/>
    <n v="240"/>
    <n v="359"/>
  </r>
  <r>
    <s v="407-2853907-3395545"/>
    <s v="16/07/2022"/>
    <x v="0"/>
    <x v="133"/>
    <x v="15"/>
    <x v="3"/>
    <x v="0"/>
    <s v="AIZAWL"/>
    <x v="28"/>
    <n v="799"/>
    <n v="205"/>
    <n v="594"/>
    <n v="240"/>
    <n v="354"/>
  </r>
  <r>
    <s v="403-8513412-9557962"/>
    <s v="16/07/2022"/>
    <x v="0"/>
    <x v="159"/>
    <x v="15"/>
    <x v="3"/>
    <x v="0"/>
    <s v="NEW DELHI"/>
    <x v="16"/>
    <n v="899"/>
    <n v="295"/>
    <n v="604"/>
    <n v="240"/>
    <n v="364"/>
  </r>
  <r>
    <s v="408-9886975-7504369"/>
    <s v="18/07/2022"/>
    <x v="1"/>
    <x v="137"/>
    <x v="18"/>
    <x v="3"/>
    <x v="0"/>
    <s v="Kolkata"/>
    <x v="18"/>
    <n v="0"/>
    <n v="0"/>
    <n v="0"/>
    <n v="0"/>
    <n v="0"/>
  </r>
  <r>
    <s v="406-9827841-0513928"/>
    <s v="17/07/2022"/>
    <x v="0"/>
    <x v="75"/>
    <x v="16"/>
    <x v="3"/>
    <x v="0"/>
    <s v="GUNTAKAL"/>
    <x v="2"/>
    <n v="799"/>
    <n v="205"/>
    <n v="594"/>
    <n v="240"/>
    <n v="354"/>
  </r>
  <r>
    <s v="171-5880493-2202737"/>
    <s v="17/07/2022"/>
    <x v="0"/>
    <x v="135"/>
    <x v="16"/>
    <x v="3"/>
    <x v="0"/>
    <s v="BENGALURU"/>
    <x v="5"/>
    <n v="849"/>
    <n v="250"/>
    <n v="599"/>
    <n v="240"/>
    <n v="359"/>
  </r>
  <r>
    <s v="404-9265329-9820330"/>
    <s v="17/07/2022"/>
    <x v="0"/>
    <x v="160"/>
    <x v="16"/>
    <x v="3"/>
    <x v="0"/>
    <s v="HYDERABAD"/>
    <x v="8"/>
    <n v="849"/>
    <n v="250"/>
    <n v="599"/>
    <n v="240"/>
    <n v="359"/>
  </r>
  <r>
    <s v="171-2468420-7645900"/>
    <s v="08/07/2022"/>
    <x v="3"/>
    <x v="135"/>
    <x v="6"/>
    <x v="3"/>
    <x v="0"/>
    <s v="BENGALURU"/>
    <x v="5"/>
    <n v="-849"/>
    <n v="345"/>
    <n v="-504"/>
    <n v="240"/>
    <n v="-264"/>
  </r>
  <r>
    <s v="171-7451267-4375513"/>
    <s v="03/07/2022"/>
    <x v="3"/>
    <x v="141"/>
    <x v="2"/>
    <x v="3"/>
    <x v="0"/>
    <s v="BENGALURU"/>
    <x v="5"/>
    <n v="-849"/>
    <n v="345"/>
    <n v="-504"/>
    <n v="240"/>
    <n v="-264"/>
  </r>
  <r>
    <s v="171-3113027-8732321"/>
    <s v="09/07/2022"/>
    <x v="3"/>
    <x v="128"/>
    <x v="8"/>
    <x v="3"/>
    <x v="0"/>
    <s v="Dhule"/>
    <x v="6"/>
    <n v="-999"/>
    <n v="395"/>
    <n v="-604"/>
    <n v="240"/>
    <n v="-364"/>
  </r>
  <r>
    <s v="403-0404763-1915565"/>
    <s v="18/07/2022"/>
    <x v="0"/>
    <x v="15"/>
    <x v="18"/>
    <x v="3"/>
    <x v="0"/>
    <s v="MUMBAI"/>
    <x v="6"/>
    <n v="849"/>
    <n v="250"/>
    <n v="599"/>
    <n v="240"/>
    <n v="359"/>
  </r>
  <r>
    <s v="402-4355053-8540333"/>
    <s v="18/07/2022"/>
    <x v="0"/>
    <x v="75"/>
    <x v="18"/>
    <x v="3"/>
    <x v="0"/>
    <s v="PUNE"/>
    <x v="6"/>
    <n v="799"/>
    <n v="205"/>
    <n v="594"/>
    <n v="240"/>
    <n v="354"/>
  </r>
  <r>
    <s v="407-3713738-9205958"/>
    <s v="18/07/2022"/>
    <x v="0"/>
    <x v="75"/>
    <x v="18"/>
    <x v="3"/>
    <x v="0"/>
    <s v="CHENNAI"/>
    <x v="7"/>
    <n v="799"/>
    <n v="205"/>
    <n v="594"/>
    <n v="240"/>
    <n v="354"/>
  </r>
  <r>
    <s v="407-8909464-6198715"/>
    <s v="16/07/2022"/>
    <x v="0"/>
    <x v="134"/>
    <x v="15"/>
    <x v="3"/>
    <x v="0"/>
    <s v="SABANG"/>
    <x v="18"/>
    <n v="849"/>
    <n v="250"/>
    <n v="599"/>
    <n v="240"/>
    <n v="359"/>
  </r>
  <r>
    <s v="407-5149132-2261130"/>
    <s v="16/07/2022"/>
    <x v="0"/>
    <x v="159"/>
    <x v="15"/>
    <x v="3"/>
    <x v="0"/>
    <s v="Bhopal"/>
    <x v="13"/>
    <n v="899"/>
    <n v="295"/>
    <n v="604"/>
    <n v="240"/>
    <n v="364"/>
  </r>
  <r>
    <s v="171-8819469-6173963"/>
    <s v="18/07/2022"/>
    <x v="0"/>
    <x v="146"/>
    <x v="18"/>
    <x v="3"/>
    <x v="0"/>
    <s v="KANCHIPURAM"/>
    <x v="7"/>
    <n v="799"/>
    <n v="205"/>
    <n v="594"/>
    <n v="240"/>
    <n v="354"/>
  </r>
  <r>
    <s v="406-6501533-4181944"/>
    <s v="14/07/2022"/>
    <x v="3"/>
    <x v="153"/>
    <x v="13"/>
    <x v="3"/>
    <x v="0"/>
    <s v="VADODARA"/>
    <x v="3"/>
    <n v="-799"/>
    <n v="320"/>
    <n v="-479"/>
    <n v="240"/>
    <n v="-239"/>
  </r>
  <r>
    <s v="171-9103200-9477132"/>
    <s v="19/07/2022"/>
    <x v="0"/>
    <x v="161"/>
    <x v="17"/>
    <x v="3"/>
    <x v="0"/>
    <s v="BENGALURU"/>
    <x v="5"/>
    <n v="799"/>
    <n v="205"/>
    <n v="594"/>
    <n v="240"/>
    <n v="354"/>
  </r>
  <r>
    <s v="171-9103200-9477132"/>
    <s v="19/07/2022"/>
    <x v="0"/>
    <x v="156"/>
    <x v="17"/>
    <x v="3"/>
    <x v="0"/>
    <s v="BENGALURU"/>
    <x v="5"/>
    <n v="799"/>
    <n v="205"/>
    <n v="594"/>
    <n v="240"/>
    <n v="354"/>
  </r>
  <r>
    <s v="408-1312177-1700318"/>
    <s v="20/07/2022"/>
    <x v="2"/>
    <x v="15"/>
    <x v="19"/>
    <x v="3"/>
    <x v="0"/>
    <s v="CHENNAI"/>
    <x v="7"/>
    <n v="0"/>
    <n v="0"/>
    <n v="0"/>
    <n v="0"/>
    <n v="0"/>
  </r>
  <r>
    <s v="402-3268605-5957907"/>
    <s v="21/07/2022"/>
    <x v="0"/>
    <x v="162"/>
    <x v="20"/>
    <x v="3"/>
    <x v="0"/>
    <s v="MUZAFFARPUR"/>
    <x v="0"/>
    <n v="899"/>
    <n v="295"/>
    <n v="604"/>
    <n v="240"/>
    <n v="364"/>
  </r>
  <r>
    <s v="408-9340803-9039550"/>
    <s v="20/07/2022"/>
    <x v="0"/>
    <x v="138"/>
    <x v="19"/>
    <x v="3"/>
    <x v="0"/>
    <s v="KADAMAKKUDY"/>
    <x v="9"/>
    <n v="799"/>
    <n v="205"/>
    <n v="594"/>
    <n v="240"/>
    <n v="354"/>
  </r>
  <r>
    <s v="403-7903967-1762760"/>
    <s v="20/07/2022"/>
    <x v="0"/>
    <x v="163"/>
    <x v="19"/>
    <x v="3"/>
    <x v="0"/>
    <s v="VIJAYAWADA"/>
    <x v="2"/>
    <n v="799"/>
    <n v="205"/>
    <n v="594"/>
    <n v="240"/>
    <n v="354"/>
  </r>
  <r>
    <s v="403-2631128-6345911"/>
    <s v="20/07/2022"/>
    <x v="0"/>
    <x v="158"/>
    <x v="19"/>
    <x v="3"/>
    <x v="0"/>
    <s v="GREATER NOIDA"/>
    <x v="1"/>
    <n v="849"/>
    <n v="250"/>
    <n v="599"/>
    <n v="240"/>
    <n v="359"/>
  </r>
  <r>
    <s v="408-1312177-1700318"/>
    <s v="20/07/2022"/>
    <x v="0"/>
    <x v="15"/>
    <x v="19"/>
    <x v="3"/>
    <x v="0"/>
    <s v="CHENNAI"/>
    <x v="7"/>
    <n v="849"/>
    <n v="250"/>
    <n v="599"/>
    <n v="240"/>
    <n v="359"/>
  </r>
  <r>
    <s v="408-5405902-0930745"/>
    <s v="20/07/2022"/>
    <x v="0"/>
    <x v="68"/>
    <x v="19"/>
    <x v="3"/>
    <x v="0"/>
    <s v="PANVEL"/>
    <x v="6"/>
    <n v="799"/>
    <n v="205"/>
    <n v="594"/>
    <n v="240"/>
    <n v="354"/>
  </r>
  <r>
    <s v="402-4355053-8540333"/>
    <s v="18/07/2022"/>
    <x v="3"/>
    <x v="75"/>
    <x v="18"/>
    <x v="3"/>
    <x v="0"/>
    <s v="PUNE"/>
    <x v="6"/>
    <n v="-799"/>
    <n v="320"/>
    <n v="-479"/>
    <n v="240"/>
    <n v="-239"/>
  </r>
  <r>
    <s v="402-4606623-0162765"/>
    <s v="15/07/2022"/>
    <x v="3"/>
    <x v="155"/>
    <x v="14"/>
    <x v="3"/>
    <x v="0"/>
    <s v="PARAVUR"/>
    <x v="9"/>
    <n v="-849"/>
    <n v="345"/>
    <n v="-504"/>
    <n v="240"/>
    <n v="-264"/>
  </r>
  <r>
    <s v="408-4996374-1480330"/>
    <s v="14/07/2022"/>
    <x v="3"/>
    <x v="137"/>
    <x v="13"/>
    <x v="3"/>
    <x v="0"/>
    <s v="BANGALORE"/>
    <x v="5"/>
    <n v="-849"/>
    <n v="345"/>
    <n v="-504"/>
    <n v="240"/>
    <n v="-264"/>
  </r>
  <r>
    <s v="402-3678787-8160312"/>
    <s v="21/07/2022"/>
    <x v="0"/>
    <x v="52"/>
    <x v="20"/>
    <x v="3"/>
    <x v="0"/>
    <s v="Imphal"/>
    <x v="29"/>
    <n v="999"/>
    <n v="325"/>
    <n v="674"/>
    <n v="240"/>
    <n v="434"/>
  </r>
  <r>
    <s v="402-3678787-8160312"/>
    <s v="21/07/2022"/>
    <x v="0"/>
    <x v="80"/>
    <x v="20"/>
    <x v="3"/>
    <x v="0"/>
    <s v="Imphal"/>
    <x v="29"/>
    <n v="999"/>
    <n v="325"/>
    <n v="674"/>
    <n v="240"/>
    <n v="434"/>
  </r>
  <r>
    <s v="171-0344027-5061143"/>
    <s v="21/07/2022"/>
    <x v="0"/>
    <x v="12"/>
    <x v="20"/>
    <x v="3"/>
    <x v="0"/>
    <s v="KENDRAPARA"/>
    <x v="14"/>
    <n v="849"/>
    <n v="250"/>
    <n v="599"/>
    <n v="240"/>
    <n v="359"/>
  </r>
  <r>
    <s v="403-1476802-3728316"/>
    <s v="22/07/2022"/>
    <x v="0"/>
    <x v="86"/>
    <x v="21"/>
    <x v="3"/>
    <x v="0"/>
    <s v="NAGPUR"/>
    <x v="6"/>
    <n v="999"/>
    <n v="325"/>
    <n v="674"/>
    <n v="240"/>
    <n v="434"/>
  </r>
  <r>
    <s v="408-7036244-3990716"/>
    <s v="21/07/2022"/>
    <x v="0"/>
    <x v="95"/>
    <x v="20"/>
    <x v="3"/>
    <x v="0"/>
    <s v="AMBALA Cantt"/>
    <x v="15"/>
    <n v="999"/>
    <n v="325"/>
    <n v="674"/>
    <n v="240"/>
    <n v="434"/>
  </r>
  <r>
    <s v="408-7632451-6343522"/>
    <s v="22/07/2022"/>
    <x v="0"/>
    <x v="153"/>
    <x v="21"/>
    <x v="3"/>
    <x v="0"/>
    <s v="Ranga Reddy"/>
    <x v="8"/>
    <n v="799"/>
    <n v="205"/>
    <n v="594"/>
    <n v="240"/>
    <n v="354"/>
  </r>
  <r>
    <s v="407-3247428-2786752"/>
    <s v="15/07/2022"/>
    <x v="3"/>
    <x v="75"/>
    <x v="14"/>
    <x v="3"/>
    <x v="0"/>
    <s v="COIMBATORE"/>
    <x v="7"/>
    <n v="-799"/>
    <n v="320"/>
    <n v="-479"/>
    <n v="240"/>
    <n v="-239"/>
  </r>
  <r>
    <s v="407-6872616-9406708"/>
    <s v="23/07/2022"/>
    <x v="2"/>
    <x v="15"/>
    <x v="23"/>
    <x v="3"/>
    <x v="0"/>
    <s v="PUNE"/>
    <x v="6"/>
    <n v="0"/>
    <n v="0"/>
    <n v="0"/>
    <n v="0"/>
    <n v="0"/>
  </r>
  <r>
    <s v="408-4216950-3458712"/>
    <s v="22/07/2022"/>
    <x v="1"/>
    <x v="69"/>
    <x v="21"/>
    <x v="3"/>
    <x v="0"/>
    <s v="BENGALURU"/>
    <x v="5"/>
    <n v="0"/>
    <n v="0"/>
    <n v="0"/>
    <n v="0"/>
    <n v="0"/>
  </r>
  <r>
    <s v="403-7830414-2843514"/>
    <s v="22/07/2022"/>
    <x v="0"/>
    <x v="15"/>
    <x v="21"/>
    <x v="3"/>
    <x v="0"/>
    <s v="BENGALURU"/>
    <x v="5"/>
    <n v="849"/>
    <n v="250"/>
    <n v="599"/>
    <n v="240"/>
    <n v="359"/>
  </r>
  <r>
    <s v="402-9062962-9529964"/>
    <s v="22/07/2022"/>
    <x v="0"/>
    <x v="137"/>
    <x v="21"/>
    <x v="3"/>
    <x v="0"/>
    <s v="RAMPURHAT"/>
    <x v="18"/>
    <n v="849"/>
    <n v="250"/>
    <n v="599"/>
    <n v="240"/>
    <n v="359"/>
  </r>
  <r>
    <s v="403-0572269-8690719"/>
    <s v="22/07/2022"/>
    <x v="0"/>
    <x v="153"/>
    <x v="21"/>
    <x v="3"/>
    <x v="0"/>
    <s v="BENGALURU"/>
    <x v="5"/>
    <n v="799"/>
    <n v="205"/>
    <n v="594"/>
    <n v="240"/>
    <n v="354"/>
  </r>
  <r>
    <s v="405-8415933-7849903"/>
    <s v="22/07/2022"/>
    <x v="0"/>
    <x v="52"/>
    <x v="21"/>
    <x v="3"/>
    <x v="0"/>
    <s v="MUMBAI"/>
    <x v="6"/>
    <n v="999"/>
    <n v="325"/>
    <n v="674"/>
    <n v="240"/>
    <n v="434"/>
  </r>
  <r>
    <s v="406-9923841-1449968"/>
    <s v="23/07/2022"/>
    <x v="0"/>
    <x v="128"/>
    <x v="23"/>
    <x v="3"/>
    <x v="0"/>
    <s v="AHMEDABAD"/>
    <x v="3"/>
    <n v="999"/>
    <n v="325"/>
    <n v="674"/>
    <n v="240"/>
    <n v="434"/>
  </r>
  <r>
    <s v="403-0641021-8290724"/>
    <s v="23/07/2022"/>
    <x v="0"/>
    <x v="137"/>
    <x v="23"/>
    <x v="3"/>
    <x v="0"/>
    <s v="LUCKNOW"/>
    <x v="1"/>
    <n v="849"/>
    <n v="250"/>
    <n v="599"/>
    <n v="240"/>
    <n v="359"/>
  </r>
  <r>
    <s v="171-9843831-2220316"/>
    <s v="11/07/2022"/>
    <x v="3"/>
    <x v="149"/>
    <x v="9"/>
    <x v="3"/>
    <x v="0"/>
    <s v="BENGALURU"/>
    <x v="5"/>
    <n v="-799"/>
    <n v="320"/>
    <n v="-479"/>
    <n v="240"/>
    <n v="-239"/>
  </r>
  <r>
    <s v="405-9217012-1001904"/>
    <s v="24/07/2022"/>
    <x v="2"/>
    <x v="86"/>
    <x v="22"/>
    <x v="3"/>
    <x v="0"/>
    <s v="SILCHAR"/>
    <x v="4"/>
    <n v="0"/>
    <n v="0"/>
    <n v="0"/>
    <n v="0"/>
    <n v="0"/>
  </r>
  <r>
    <s v="408-2011953-8533168"/>
    <s v="23/07/2022"/>
    <x v="2"/>
    <x v="164"/>
    <x v="23"/>
    <x v="3"/>
    <x v="0"/>
    <s v="NOIDA"/>
    <x v="1"/>
    <n v="0"/>
    <n v="0"/>
    <n v="0"/>
    <n v="0"/>
    <n v="0"/>
  </r>
  <r>
    <s v="405-5800090-9209969"/>
    <s v="24/07/2022"/>
    <x v="2"/>
    <x v="126"/>
    <x v="22"/>
    <x v="3"/>
    <x v="0"/>
    <s v="Doomdooma TINSUKIA DISTRICT"/>
    <x v="4"/>
    <n v="0"/>
    <n v="0"/>
    <n v="0"/>
    <n v="0"/>
    <n v="0"/>
  </r>
  <r>
    <s v="404-2418534-8901952"/>
    <s v="23/07/2022"/>
    <x v="0"/>
    <x v="79"/>
    <x v="23"/>
    <x v="3"/>
    <x v="0"/>
    <s v="Haldwani"/>
    <x v="24"/>
    <n v="999"/>
    <n v="325"/>
    <n v="674"/>
    <n v="240"/>
    <n v="434"/>
  </r>
  <r>
    <s v="405-9217012-1001904"/>
    <s v="24/07/2022"/>
    <x v="0"/>
    <x v="86"/>
    <x v="22"/>
    <x v="3"/>
    <x v="0"/>
    <s v="SILCHAR"/>
    <x v="4"/>
    <n v="899"/>
    <n v="295"/>
    <n v="604"/>
    <n v="240"/>
    <n v="364"/>
  </r>
  <r>
    <s v="407-7236857-7429161"/>
    <s v="24/07/2022"/>
    <x v="0"/>
    <x v="133"/>
    <x v="22"/>
    <x v="3"/>
    <x v="0"/>
    <s v="Pathankot"/>
    <x v="26"/>
    <n v="799"/>
    <n v="205"/>
    <n v="594"/>
    <n v="240"/>
    <n v="354"/>
  </r>
  <r>
    <s v="403-6448227-0561941"/>
    <s v="24/07/2022"/>
    <x v="0"/>
    <x v="132"/>
    <x v="22"/>
    <x v="3"/>
    <x v="0"/>
    <s v="Vadodara"/>
    <x v="3"/>
    <n v="849"/>
    <n v="250"/>
    <n v="599"/>
    <n v="240"/>
    <n v="359"/>
  </r>
  <r>
    <s v="407-1023283-5193922"/>
    <s v="23/07/2022"/>
    <x v="0"/>
    <x v="135"/>
    <x v="23"/>
    <x v="3"/>
    <x v="0"/>
    <s v="PEDDAPALLE"/>
    <x v="8"/>
    <n v="849"/>
    <n v="250"/>
    <n v="599"/>
    <n v="240"/>
    <n v="359"/>
  </r>
  <r>
    <s v="405-4878976-5498743"/>
    <s v="23/07/2022"/>
    <x v="0"/>
    <x v="158"/>
    <x v="23"/>
    <x v="3"/>
    <x v="0"/>
    <s v="Chennai"/>
    <x v="7"/>
    <n v="849"/>
    <n v="250"/>
    <n v="599"/>
    <n v="240"/>
    <n v="359"/>
  </r>
  <r>
    <s v="402-1997456-9118737"/>
    <s v="24/07/2022"/>
    <x v="0"/>
    <x v="165"/>
    <x v="22"/>
    <x v="3"/>
    <x v="0"/>
    <s v="KOLKATA"/>
    <x v="18"/>
    <n v="799"/>
    <n v="205"/>
    <n v="594"/>
    <n v="240"/>
    <n v="354"/>
  </r>
  <r>
    <s v="405-4400189-2064300"/>
    <s v="24/07/2022"/>
    <x v="0"/>
    <x v="137"/>
    <x v="22"/>
    <x v="3"/>
    <x v="0"/>
    <s v="RAIPUR"/>
    <x v="20"/>
    <n v="849"/>
    <n v="250"/>
    <n v="599"/>
    <n v="240"/>
    <n v="359"/>
  </r>
  <r>
    <s v="405-5566010-9175551"/>
    <s v="23/07/2022"/>
    <x v="0"/>
    <x v="88"/>
    <x v="23"/>
    <x v="3"/>
    <x v="0"/>
    <s v="NASHIK"/>
    <x v="6"/>
    <n v="899"/>
    <n v="295"/>
    <n v="604"/>
    <n v="240"/>
    <n v="364"/>
  </r>
  <r>
    <s v="171-0880756-1665930"/>
    <s v="24/07/2022"/>
    <x v="0"/>
    <x v="59"/>
    <x v="22"/>
    <x v="3"/>
    <x v="0"/>
    <s v="BOKARO STEEL CITY"/>
    <x v="11"/>
    <n v="899"/>
    <n v="295"/>
    <n v="604"/>
    <n v="240"/>
    <n v="364"/>
  </r>
  <r>
    <s v="407-5127542-2289947"/>
    <s v="24/07/2022"/>
    <x v="0"/>
    <x v="128"/>
    <x v="22"/>
    <x v="3"/>
    <x v="0"/>
    <s v="Secunderabad"/>
    <x v="8"/>
    <n v="999"/>
    <n v="325"/>
    <n v="674"/>
    <n v="240"/>
    <n v="434"/>
  </r>
  <r>
    <s v="171-5089427-9109957"/>
    <s v="23/07/2022"/>
    <x v="0"/>
    <x v="25"/>
    <x v="23"/>
    <x v="3"/>
    <x v="0"/>
    <s v="HYDERABAD"/>
    <x v="8"/>
    <n v="799"/>
    <n v="205"/>
    <n v="594"/>
    <n v="240"/>
    <n v="354"/>
  </r>
  <r>
    <s v="171-6069270-6511545"/>
    <s v="23/07/2022"/>
    <x v="0"/>
    <x v="15"/>
    <x v="23"/>
    <x v="3"/>
    <x v="0"/>
    <s v="PODALAKUR"/>
    <x v="2"/>
    <n v="849"/>
    <n v="250"/>
    <n v="599"/>
    <n v="240"/>
    <n v="359"/>
  </r>
  <r>
    <s v="402-5904407-4489119"/>
    <s v="24/07/2022"/>
    <x v="0"/>
    <x v="120"/>
    <x v="22"/>
    <x v="3"/>
    <x v="0"/>
    <s v="OTHAKADAI"/>
    <x v="7"/>
    <n v="849"/>
    <n v="250"/>
    <n v="599"/>
    <n v="240"/>
    <n v="359"/>
  </r>
  <r>
    <s v="402-2901528-0842715"/>
    <s v="23/07/2022"/>
    <x v="0"/>
    <x v="150"/>
    <x v="23"/>
    <x v="3"/>
    <x v="0"/>
    <s v="MUMBAI"/>
    <x v="6"/>
    <n v="799"/>
    <n v="205"/>
    <n v="594"/>
    <n v="240"/>
    <n v="354"/>
  </r>
  <r>
    <s v="402-7212373-6197133"/>
    <s v="23/07/2022"/>
    <x v="0"/>
    <x v="122"/>
    <x v="23"/>
    <x v="3"/>
    <x v="0"/>
    <s v="HYDERABAD"/>
    <x v="8"/>
    <n v="849"/>
    <n v="250"/>
    <n v="599"/>
    <n v="240"/>
    <n v="359"/>
  </r>
  <r>
    <s v="407-6872616-9406708"/>
    <s v="23/07/2022"/>
    <x v="0"/>
    <x v="15"/>
    <x v="23"/>
    <x v="3"/>
    <x v="0"/>
    <s v="PUNE"/>
    <x v="6"/>
    <n v="849"/>
    <n v="250"/>
    <n v="599"/>
    <n v="240"/>
    <n v="359"/>
  </r>
  <r>
    <s v="405-5974285-9661915"/>
    <s v="25/07/2022"/>
    <x v="0"/>
    <x v="166"/>
    <x v="24"/>
    <x v="3"/>
    <x v="0"/>
    <s v="Mahim MUMBAI"/>
    <x v="6"/>
    <n v="849"/>
    <n v="250"/>
    <n v="599"/>
    <n v="240"/>
    <n v="359"/>
  </r>
  <r>
    <s v="171-5674065-0929927"/>
    <s v="23/07/2022"/>
    <x v="0"/>
    <x v="80"/>
    <x v="23"/>
    <x v="3"/>
    <x v="0"/>
    <s v="KOCH BIHAR"/>
    <x v="18"/>
    <n v="899"/>
    <n v="295"/>
    <n v="604"/>
    <n v="240"/>
    <n v="364"/>
  </r>
  <r>
    <s v="404-5303994-3358725"/>
    <s v="24/07/2022"/>
    <x v="0"/>
    <x v="69"/>
    <x v="22"/>
    <x v="3"/>
    <x v="0"/>
    <s v="PUDUKKOTTAI"/>
    <x v="7"/>
    <n v="849"/>
    <n v="250"/>
    <n v="599"/>
    <n v="240"/>
    <n v="359"/>
  </r>
  <r>
    <s v="402-4734977-5817936"/>
    <s v="24/07/2022"/>
    <x v="0"/>
    <x v="69"/>
    <x v="22"/>
    <x v="3"/>
    <x v="0"/>
    <s v="OTHAKADAI"/>
    <x v="7"/>
    <n v="849"/>
    <n v="250"/>
    <n v="599"/>
    <n v="240"/>
    <n v="359"/>
  </r>
  <r>
    <s v="403-5784958-0727550"/>
    <s v="23/07/2022"/>
    <x v="0"/>
    <x v="25"/>
    <x v="23"/>
    <x v="3"/>
    <x v="0"/>
    <s v="BAGHPAT"/>
    <x v="1"/>
    <n v="799"/>
    <n v="205"/>
    <n v="594"/>
    <n v="240"/>
    <n v="354"/>
  </r>
  <r>
    <s v="408-4279221-9564356"/>
    <s v="23/07/2022"/>
    <x v="0"/>
    <x v="154"/>
    <x v="23"/>
    <x v="3"/>
    <x v="0"/>
    <s v="PUNE"/>
    <x v="6"/>
    <n v="799"/>
    <n v="205"/>
    <n v="594"/>
    <n v="240"/>
    <n v="354"/>
  </r>
  <r>
    <s v="406-6691830-6848321"/>
    <s v="24/07/2022"/>
    <x v="0"/>
    <x v="135"/>
    <x v="22"/>
    <x v="3"/>
    <x v="0"/>
    <s v="KOTA"/>
    <x v="10"/>
    <n v="849"/>
    <n v="250"/>
    <n v="599"/>
    <n v="240"/>
    <n v="359"/>
  </r>
  <r>
    <s v="407-3514345-7499500"/>
    <s v="26/07/2022"/>
    <x v="2"/>
    <x v="86"/>
    <x v="25"/>
    <x v="3"/>
    <x v="0"/>
    <s v="VAZHAKKALA"/>
    <x v="9"/>
    <n v="0"/>
    <n v="0"/>
    <n v="0"/>
    <n v="0"/>
    <n v="0"/>
  </r>
  <r>
    <s v="408-2121746-4922730"/>
    <s v="24/07/2022"/>
    <x v="0"/>
    <x v="44"/>
    <x v="22"/>
    <x v="3"/>
    <x v="0"/>
    <s v="CHENNAI"/>
    <x v="7"/>
    <n v="899"/>
    <n v="295"/>
    <n v="604"/>
    <n v="240"/>
    <n v="364"/>
  </r>
  <r>
    <s v="407-8438834-0537143"/>
    <s v="24/07/2022"/>
    <x v="0"/>
    <x v="21"/>
    <x v="22"/>
    <x v="3"/>
    <x v="0"/>
    <s v="MALAPPURAM"/>
    <x v="9"/>
    <n v="899"/>
    <n v="295"/>
    <n v="604"/>
    <n v="240"/>
    <n v="364"/>
  </r>
  <r>
    <s v="402-8559037-0362712"/>
    <s v="24/07/2022"/>
    <x v="0"/>
    <x v="122"/>
    <x v="22"/>
    <x v="3"/>
    <x v="0"/>
    <s v="PUNE"/>
    <x v="6"/>
    <n v="849"/>
    <n v="250"/>
    <n v="599"/>
    <n v="240"/>
    <n v="359"/>
  </r>
  <r>
    <s v="407-5997822-1850742"/>
    <s v="24/07/2022"/>
    <x v="0"/>
    <x v="52"/>
    <x v="22"/>
    <x v="3"/>
    <x v="0"/>
    <s v="BENGALURU"/>
    <x v="5"/>
    <n v="899"/>
    <n v="295"/>
    <n v="604"/>
    <n v="240"/>
    <n v="364"/>
  </r>
  <r>
    <s v="402-2065953-3995542"/>
    <s v="24/07/2022"/>
    <x v="0"/>
    <x v="79"/>
    <x v="22"/>
    <x v="3"/>
    <x v="0"/>
    <s v="SANTIPUR"/>
    <x v="18"/>
    <n v="899"/>
    <n v="295"/>
    <n v="604"/>
    <n v="240"/>
    <n v="364"/>
  </r>
  <r>
    <s v="407-4366524-8438711"/>
    <s v="24/07/2022"/>
    <x v="0"/>
    <x v="167"/>
    <x v="22"/>
    <x v="3"/>
    <x v="0"/>
    <s v="POTHREDDIPALLE"/>
    <x v="8"/>
    <n v="999"/>
    <n v="325"/>
    <n v="674"/>
    <n v="240"/>
    <n v="434"/>
  </r>
  <r>
    <s v="408-3714834-0680337"/>
    <s v="24/07/2022"/>
    <x v="0"/>
    <x v="25"/>
    <x v="22"/>
    <x v="3"/>
    <x v="0"/>
    <s v="HYDERABAD"/>
    <x v="8"/>
    <n v="799"/>
    <n v="205"/>
    <n v="594"/>
    <n v="240"/>
    <n v="354"/>
  </r>
  <r>
    <s v="405-5800090-9209969"/>
    <s v="24/07/2022"/>
    <x v="0"/>
    <x v="126"/>
    <x v="22"/>
    <x v="3"/>
    <x v="0"/>
    <s v="Doomdooma TINSUKIA DISTRICT"/>
    <x v="4"/>
    <n v="849"/>
    <n v="250"/>
    <n v="599"/>
    <n v="240"/>
    <n v="359"/>
  </r>
  <r>
    <s v="406-2779923-8245119"/>
    <s v="24/07/2022"/>
    <x v="0"/>
    <x v="123"/>
    <x v="22"/>
    <x v="3"/>
    <x v="0"/>
    <s v="Bengaluru"/>
    <x v="5"/>
    <n v="999"/>
    <n v="325"/>
    <n v="674"/>
    <n v="240"/>
    <n v="434"/>
  </r>
  <r>
    <s v="406-5282234-6885161"/>
    <s v="24/07/2022"/>
    <x v="0"/>
    <x v="125"/>
    <x v="22"/>
    <x v="3"/>
    <x v="0"/>
    <s v="AHMEDABAD"/>
    <x v="3"/>
    <n v="999"/>
    <n v="325"/>
    <n v="674"/>
    <n v="240"/>
    <n v="434"/>
  </r>
  <r>
    <s v="407-1563832-5279569"/>
    <s v="24/07/2022"/>
    <x v="0"/>
    <x v="15"/>
    <x v="22"/>
    <x v="3"/>
    <x v="0"/>
    <s v="PUNE"/>
    <x v="6"/>
    <n v="849"/>
    <n v="250"/>
    <n v="599"/>
    <n v="240"/>
    <n v="359"/>
  </r>
  <r>
    <s v="402-3207382-4415530"/>
    <s v="24/07/2022"/>
    <x v="0"/>
    <x v="128"/>
    <x v="22"/>
    <x v="3"/>
    <x v="0"/>
    <s v="BAREILLY"/>
    <x v="1"/>
    <n v="999"/>
    <n v="325"/>
    <n v="674"/>
    <n v="240"/>
    <n v="434"/>
  </r>
  <r>
    <s v="404-6623329-8665916"/>
    <s v="24/07/2022"/>
    <x v="0"/>
    <x v="95"/>
    <x v="22"/>
    <x v="3"/>
    <x v="0"/>
    <s v="BENGALURU"/>
    <x v="5"/>
    <n v="899"/>
    <n v="295"/>
    <n v="604"/>
    <n v="240"/>
    <n v="364"/>
  </r>
  <r>
    <s v="403-2530810-2796303"/>
    <s v="24/07/2022"/>
    <x v="0"/>
    <x v="126"/>
    <x v="22"/>
    <x v="3"/>
    <x v="0"/>
    <s v="HYDERABAD"/>
    <x v="8"/>
    <n v="849"/>
    <n v="250"/>
    <n v="599"/>
    <n v="240"/>
    <n v="359"/>
  </r>
  <r>
    <s v="406-1708426-1337162"/>
    <s v="24/07/2022"/>
    <x v="0"/>
    <x v="128"/>
    <x v="22"/>
    <x v="3"/>
    <x v="0"/>
    <s v="Bangalore"/>
    <x v="5"/>
    <n v="999"/>
    <n v="325"/>
    <n v="674"/>
    <n v="240"/>
    <n v="434"/>
  </r>
  <r>
    <s v="403-8408074-1405155"/>
    <s v="24/07/2022"/>
    <x v="0"/>
    <x v="52"/>
    <x v="22"/>
    <x v="3"/>
    <x v="0"/>
    <s v="BENGALURU"/>
    <x v="5"/>
    <n v="899"/>
    <n v="295"/>
    <n v="604"/>
    <n v="240"/>
    <n v="364"/>
  </r>
  <r>
    <s v="403-8408074-1405155"/>
    <s v="24/07/2022"/>
    <x v="0"/>
    <x v="80"/>
    <x v="22"/>
    <x v="3"/>
    <x v="0"/>
    <s v="BENGALURU"/>
    <x v="5"/>
    <n v="899"/>
    <n v="295"/>
    <n v="604"/>
    <n v="240"/>
    <n v="364"/>
  </r>
  <r>
    <s v="404-8883453-7300320"/>
    <s v="24/07/2022"/>
    <x v="0"/>
    <x v="136"/>
    <x v="22"/>
    <x v="3"/>
    <x v="0"/>
    <s v="HYDERABAD"/>
    <x v="8"/>
    <n v="849"/>
    <n v="250"/>
    <n v="599"/>
    <n v="240"/>
    <n v="359"/>
  </r>
  <r>
    <s v="404-5702471-8301157"/>
    <s v="24/07/2022"/>
    <x v="0"/>
    <x v="168"/>
    <x v="22"/>
    <x v="3"/>
    <x v="0"/>
    <s v="Gurgaon"/>
    <x v="15"/>
    <n v="799"/>
    <n v="205"/>
    <n v="594"/>
    <n v="240"/>
    <n v="354"/>
  </r>
  <r>
    <s v="404-2978366-6525930"/>
    <s v="24/07/2022"/>
    <x v="0"/>
    <x v="169"/>
    <x v="22"/>
    <x v="3"/>
    <x v="0"/>
    <s v="NAVI MUMBAI"/>
    <x v="6"/>
    <n v="799"/>
    <n v="205"/>
    <n v="594"/>
    <n v="240"/>
    <n v="354"/>
  </r>
  <r>
    <s v="404-1221044-8273931"/>
    <s v="24/07/2022"/>
    <x v="0"/>
    <x v="75"/>
    <x v="22"/>
    <x v="3"/>
    <x v="0"/>
    <s v="UDUPI"/>
    <x v="5"/>
    <n v="799"/>
    <n v="205"/>
    <n v="594"/>
    <n v="240"/>
    <n v="354"/>
  </r>
  <r>
    <s v="403-7903967-1762760"/>
    <s v="20/07/2022"/>
    <x v="3"/>
    <x v="163"/>
    <x v="19"/>
    <x v="3"/>
    <x v="0"/>
    <s v="VIJAYAWADA"/>
    <x v="2"/>
    <n v="-799"/>
    <n v="320"/>
    <n v="-479"/>
    <n v="240"/>
    <n v="-239"/>
  </r>
  <r>
    <s v="404-1221044-8273931"/>
    <s v="24/07/2022"/>
    <x v="3"/>
    <x v="75"/>
    <x v="22"/>
    <x v="3"/>
    <x v="0"/>
    <s v="UDUPI"/>
    <x v="5"/>
    <n v="-799"/>
    <n v="320"/>
    <n v="-479"/>
    <n v="240"/>
    <n v="-239"/>
  </r>
  <r>
    <s v="407-6269156-2161164"/>
    <s v="25/07/2022"/>
    <x v="0"/>
    <x v="52"/>
    <x v="24"/>
    <x v="3"/>
    <x v="0"/>
    <s v="GANDHINAGAR"/>
    <x v="3"/>
    <n v="899"/>
    <n v="295"/>
    <n v="604"/>
    <n v="240"/>
    <n v="364"/>
  </r>
  <r>
    <s v="405-0466721-5121940"/>
    <s v="25/07/2022"/>
    <x v="0"/>
    <x v="15"/>
    <x v="24"/>
    <x v="3"/>
    <x v="0"/>
    <s v="PALAKONDA"/>
    <x v="2"/>
    <n v="849"/>
    <n v="250"/>
    <n v="599"/>
    <n v="240"/>
    <n v="359"/>
  </r>
  <r>
    <s v="171-2490231-8514766"/>
    <s v="24/07/2022"/>
    <x v="0"/>
    <x v="164"/>
    <x v="22"/>
    <x v="3"/>
    <x v="0"/>
    <s v="BILASPUR"/>
    <x v="22"/>
    <n v="849"/>
    <n v="250"/>
    <n v="599"/>
    <n v="240"/>
    <n v="359"/>
  </r>
  <r>
    <s v="402-5816362-5393149"/>
    <s v="25/07/2022"/>
    <x v="0"/>
    <x v="79"/>
    <x v="24"/>
    <x v="3"/>
    <x v="0"/>
    <s v="BENGALURU"/>
    <x v="5"/>
    <n v="899"/>
    <n v="295"/>
    <n v="604"/>
    <n v="240"/>
    <n v="364"/>
  </r>
  <r>
    <s v="405-3722573-7784337"/>
    <s v="26/07/2022"/>
    <x v="0"/>
    <x v="98"/>
    <x v="25"/>
    <x v="3"/>
    <x v="0"/>
    <s v="Rajampet"/>
    <x v="2"/>
    <n v="899"/>
    <n v="295"/>
    <n v="604"/>
    <n v="240"/>
    <n v="364"/>
  </r>
  <r>
    <s v="408-8403777-6471518"/>
    <s v="25/07/2022"/>
    <x v="0"/>
    <x v="131"/>
    <x v="24"/>
    <x v="3"/>
    <x v="0"/>
    <s v="TADPATRI"/>
    <x v="2"/>
    <n v="799"/>
    <n v="205"/>
    <n v="594"/>
    <n v="240"/>
    <n v="354"/>
  </r>
  <r>
    <s v="407-5782182-3127568"/>
    <s v="25/07/2022"/>
    <x v="0"/>
    <x v="153"/>
    <x v="24"/>
    <x v="3"/>
    <x v="0"/>
    <s v="MADURAI"/>
    <x v="7"/>
    <n v="799"/>
    <n v="205"/>
    <n v="594"/>
    <n v="240"/>
    <n v="354"/>
  </r>
  <r>
    <s v="407-5782182-3127568"/>
    <s v="25/07/2022"/>
    <x v="0"/>
    <x v="143"/>
    <x v="24"/>
    <x v="3"/>
    <x v="0"/>
    <s v="MADURAI"/>
    <x v="7"/>
    <n v="849"/>
    <n v="250"/>
    <n v="599"/>
    <n v="240"/>
    <n v="359"/>
  </r>
  <r>
    <s v="404-8161616-7904320"/>
    <s v="25/07/2022"/>
    <x v="0"/>
    <x v="88"/>
    <x v="24"/>
    <x v="3"/>
    <x v="0"/>
    <s v="BENGALURU"/>
    <x v="5"/>
    <n v="899"/>
    <n v="295"/>
    <n v="604"/>
    <n v="240"/>
    <n v="364"/>
  </r>
  <r>
    <s v="407-3514345-7499500"/>
    <s v="26/07/2022"/>
    <x v="0"/>
    <x v="86"/>
    <x v="25"/>
    <x v="3"/>
    <x v="0"/>
    <s v="VAZHAKKALA"/>
    <x v="9"/>
    <n v="899"/>
    <n v="295"/>
    <n v="604"/>
    <n v="240"/>
    <n v="364"/>
  </r>
  <r>
    <s v="405-8226238-6475512"/>
    <s v="25/07/2022"/>
    <x v="0"/>
    <x v="170"/>
    <x v="24"/>
    <x v="3"/>
    <x v="0"/>
    <s v="AHMEDABAD"/>
    <x v="3"/>
    <n v="799"/>
    <n v="205"/>
    <n v="594"/>
    <n v="240"/>
    <n v="354"/>
  </r>
  <r>
    <s v="407-3157407-0600351"/>
    <s v="26/07/2022"/>
    <x v="0"/>
    <x v="25"/>
    <x v="25"/>
    <x v="3"/>
    <x v="0"/>
    <s v="NEW DELHI"/>
    <x v="16"/>
    <n v="799"/>
    <n v="205"/>
    <n v="594"/>
    <n v="240"/>
    <n v="354"/>
  </r>
  <r>
    <s v="403-7718231-8398723"/>
    <s v="26/07/2022"/>
    <x v="0"/>
    <x v="15"/>
    <x v="25"/>
    <x v="3"/>
    <x v="0"/>
    <s v="Hyderabad"/>
    <x v="8"/>
    <n v="849"/>
    <n v="250"/>
    <n v="599"/>
    <n v="240"/>
    <n v="359"/>
  </r>
  <r>
    <s v="402-6861383-7917932"/>
    <s v="26/07/2022"/>
    <x v="0"/>
    <x v="21"/>
    <x v="25"/>
    <x v="3"/>
    <x v="0"/>
    <s v="DHAR"/>
    <x v="13"/>
    <n v="899"/>
    <n v="295"/>
    <n v="604"/>
    <n v="240"/>
    <n v="364"/>
  </r>
  <r>
    <s v="405-3879542-0369169"/>
    <s v="26/07/2022"/>
    <x v="0"/>
    <x v="171"/>
    <x v="25"/>
    <x v="3"/>
    <x v="0"/>
    <s v="MUMBAI"/>
    <x v="6"/>
    <n v="799"/>
    <n v="205"/>
    <n v="594"/>
    <n v="240"/>
    <n v="354"/>
  </r>
  <r>
    <s v="408-7745801-6185134"/>
    <s v="26/07/2022"/>
    <x v="1"/>
    <x v="80"/>
    <x v="25"/>
    <x v="3"/>
    <x v="0"/>
    <s v="NAGPUR"/>
    <x v="6"/>
    <n v="0"/>
    <n v="0"/>
    <n v="0"/>
    <n v="0"/>
    <n v="0"/>
  </r>
  <r>
    <s v="407-5704453-9564350"/>
    <s v="26/07/2022"/>
    <x v="0"/>
    <x v="172"/>
    <x v="25"/>
    <x v="3"/>
    <x v="0"/>
    <s v="HYDERABAD"/>
    <x v="8"/>
    <n v="799"/>
    <n v="205"/>
    <n v="594"/>
    <n v="240"/>
    <n v="354"/>
  </r>
  <r>
    <s v="404-4680401-0169149"/>
    <s v="14/07/2022"/>
    <x v="3"/>
    <x v="127"/>
    <x v="13"/>
    <x v="3"/>
    <x v="0"/>
    <s v="HYDERABAD"/>
    <x v="8"/>
    <n v="-849"/>
    <n v="345"/>
    <n v="-504"/>
    <n v="240"/>
    <n v="-264"/>
  </r>
  <r>
    <s v="171-9103200-9477132"/>
    <s v="19/07/2022"/>
    <x v="3"/>
    <x v="156"/>
    <x v="17"/>
    <x v="3"/>
    <x v="0"/>
    <s v="BENGALURU"/>
    <x v="5"/>
    <n v="-799"/>
    <n v="320"/>
    <n v="-479"/>
    <n v="240"/>
    <n v="-239"/>
  </r>
  <r>
    <s v="171-9103200-9477132"/>
    <s v="19/07/2022"/>
    <x v="3"/>
    <x v="161"/>
    <x v="17"/>
    <x v="3"/>
    <x v="0"/>
    <s v="BENGALURU"/>
    <x v="5"/>
    <n v="-799"/>
    <n v="320"/>
    <n v="-479"/>
    <n v="240"/>
    <n v="-239"/>
  </r>
  <r>
    <s v="408-0238676-3905901"/>
    <s v="27/07/2022"/>
    <x v="2"/>
    <x v="153"/>
    <x v="26"/>
    <x v="3"/>
    <x v="0"/>
    <s v="Ranga Reddy"/>
    <x v="8"/>
    <n v="0"/>
    <n v="0"/>
    <n v="0"/>
    <n v="0"/>
    <n v="0"/>
  </r>
  <r>
    <s v="402-5816362-5393149"/>
    <s v="25/07/2022"/>
    <x v="3"/>
    <x v="79"/>
    <x v="24"/>
    <x v="3"/>
    <x v="0"/>
    <s v="BENGALURU"/>
    <x v="5"/>
    <n v="-899"/>
    <n v="375"/>
    <n v="-524"/>
    <n v="240"/>
    <n v="-284"/>
  </r>
  <r>
    <s v="407-6726898-9812320"/>
    <s v="28/07/2022"/>
    <x v="0"/>
    <x v="79"/>
    <x v="27"/>
    <x v="3"/>
    <x v="0"/>
    <s v="SHEVGAON"/>
    <x v="6"/>
    <n v="899"/>
    <n v="295"/>
    <n v="604"/>
    <n v="240"/>
    <n v="364"/>
  </r>
  <r>
    <s v="402-1029299-5508344"/>
    <s v="28/07/2022"/>
    <x v="0"/>
    <x v="173"/>
    <x v="27"/>
    <x v="3"/>
    <x v="0"/>
    <s v="NEYYATTINKARA"/>
    <x v="9"/>
    <n v="799"/>
    <n v="205"/>
    <n v="594"/>
    <n v="240"/>
    <n v="354"/>
  </r>
  <r>
    <s v="403-3790896-6649161"/>
    <s v="29/07/2022"/>
    <x v="0"/>
    <x v="174"/>
    <x v="28"/>
    <x v="3"/>
    <x v="0"/>
    <s v="NEW DELHI"/>
    <x v="16"/>
    <n v="799"/>
    <n v="205"/>
    <n v="594"/>
    <n v="240"/>
    <n v="354"/>
  </r>
  <r>
    <s v="407-7866735-8327546"/>
    <s v="28/07/2022"/>
    <x v="0"/>
    <x v="80"/>
    <x v="27"/>
    <x v="3"/>
    <x v="0"/>
    <s v="THIRUVANANTHAPURAM"/>
    <x v="9"/>
    <n v="899"/>
    <n v="295"/>
    <n v="604"/>
    <n v="240"/>
    <n v="364"/>
  </r>
  <r>
    <s v="171-2330280-9239548"/>
    <s v="28/07/2022"/>
    <x v="0"/>
    <x v="15"/>
    <x v="27"/>
    <x v="3"/>
    <x v="0"/>
    <s v="Thrissur"/>
    <x v="9"/>
    <n v="849"/>
    <n v="250"/>
    <n v="599"/>
    <n v="240"/>
    <n v="359"/>
  </r>
  <r>
    <s v="404-9265329-9820330"/>
    <s v="17/07/2022"/>
    <x v="3"/>
    <x v="160"/>
    <x v="16"/>
    <x v="3"/>
    <x v="0"/>
    <s v="HYDERABAD"/>
    <x v="8"/>
    <n v="-849"/>
    <n v="345"/>
    <n v="-504"/>
    <n v="240"/>
    <n v="-264"/>
  </r>
  <r>
    <s v="405-4128394-6969105"/>
    <s v="29/07/2022"/>
    <x v="0"/>
    <x v="175"/>
    <x v="28"/>
    <x v="3"/>
    <x v="0"/>
    <s v="Chennai"/>
    <x v="7"/>
    <n v="799"/>
    <n v="205"/>
    <n v="594"/>
    <n v="240"/>
    <n v="354"/>
  </r>
  <r>
    <s v="402-6047960-2317965"/>
    <s v="28/07/2022"/>
    <x v="0"/>
    <x v="165"/>
    <x v="27"/>
    <x v="3"/>
    <x v="0"/>
    <s v="MANDAIKADU"/>
    <x v="7"/>
    <n v="799"/>
    <n v="205"/>
    <n v="594"/>
    <n v="240"/>
    <n v="354"/>
  </r>
  <r>
    <s v="406-6797337-0981142"/>
    <s v="27/07/2022"/>
    <x v="0"/>
    <x v="149"/>
    <x v="26"/>
    <x v="3"/>
    <x v="0"/>
    <s v="Kashinabad"/>
    <x v="1"/>
    <n v="799"/>
    <n v="205"/>
    <n v="594"/>
    <n v="240"/>
    <n v="354"/>
  </r>
  <r>
    <s v="405-1756484-6716344"/>
    <s v="27/07/2022"/>
    <x v="0"/>
    <x v="15"/>
    <x v="26"/>
    <x v="3"/>
    <x v="0"/>
    <s v="PUNE"/>
    <x v="6"/>
    <n v="849"/>
    <n v="250"/>
    <n v="599"/>
    <n v="240"/>
    <n v="359"/>
  </r>
  <r>
    <s v="408-0270663-9639553"/>
    <s v="28/07/2022"/>
    <x v="1"/>
    <x v="176"/>
    <x v="27"/>
    <x v="3"/>
    <x v="0"/>
    <s v="Haldwani"/>
    <x v="24"/>
    <n v="0"/>
    <n v="0"/>
    <n v="0"/>
    <n v="0"/>
    <n v="0"/>
  </r>
  <r>
    <s v="171-3303080-4393908"/>
    <s v="27/07/2022"/>
    <x v="0"/>
    <x v="95"/>
    <x v="26"/>
    <x v="3"/>
    <x v="0"/>
    <s v="Goregaon  gondia"/>
    <x v="6"/>
    <n v="899"/>
    <n v="295"/>
    <n v="604"/>
    <n v="240"/>
    <n v="364"/>
  </r>
  <r>
    <s v="407-3990897-9428305"/>
    <s v="27/07/2022"/>
    <x v="0"/>
    <x v="153"/>
    <x v="26"/>
    <x v="3"/>
    <x v="0"/>
    <s v="TADEPALLIGUDEM"/>
    <x v="2"/>
    <n v="799"/>
    <n v="205"/>
    <n v="594"/>
    <n v="240"/>
    <n v="354"/>
  </r>
  <r>
    <s v="402-9411366-4549949"/>
    <s v="27/07/2022"/>
    <x v="0"/>
    <x v="95"/>
    <x v="26"/>
    <x v="3"/>
    <x v="0"/>
    <s v="RANCHI"/>
    <x v="11"/>
    <n v="899"/>
    <n v="295"/>
    <n v="604"/>
    <n v="240"/>
    <n v="364"/>
  </r>
  <r>
    <s v="408-9835398-4150745"/>
    <s v="27/07/2022"/>
    <x v="0"/>
    <x v="15"/>
    <x v="26"/>
    <x v="3"/>
    <x v="0"/>
    <s v="Dehradun"/>
    <x v="24"/>
    <n v="849"/>
    <n v="250"/>
    <n v="599"/>
    <n v="240"/>
    <n v="359"/>
  </r>
  <r>
    <s v="403-3518588-7604301"/>
    <s v="29/07/2022"/>
    <x v="0"/>
    <x v="15"/>
    <x v="28"/>
    <x v="3"/>
    <x v="0"/>
    <s v="KARAIKAL"/>
    <x v="27"/>
    <n v="849"/>
    <n v="250"/>
    <n v="599"/>
    <n v="240"/>
    <n v="359"/>
  </r>
  <r>
    <s v="402-4483933-2593902"/>
    <s v="26/07/2022"/>
    <x v="0"/>
    <x v="129"/>
    <x v="25"/>
    <x v="3"/>
    <x v="0"/>
    <s v="AHMEDABAD"/>
    <x v="3"/>
    <n v="799"/>
    <n v="205"/>
    <n v="594"/>
    <n v="240"/>
    <n v="354"/>
  </r>
  <r>
    <s v="405-0293738-8516331"/>
    <s v="27/07/2022"/>
    <x v="0"/>
    <x v="137"/>
    <x v="26"/>
    <x v="3"/>
    <x v="0"/>
    <s v="VADODARA"/>
    <x v="3"/>
    <n v="849"/>
    <n v="250"/>
    <n v="599"/>
    <n v="240"/>
    <n v="359"/>
  </r>
  <r>
    <s v="408-4561364-2887506"/>
    <s v="29/07/2022"/>
    <x v="0"/>
    <x v="80"/>
    <x v="28"/>
    <x v="3"/>
    <x v="0"/>
    <s v="THODUPUZHA"/>
    <x v="9"/>
    <n v="899"/>
    <n v="295"/>
    <n v="604"/>
    <n v="240"/>
    <n v="364"/>
  </r>
  <r>
    <s v="406-5529663-9233926"/>
    <s v="29/07/2022"/>
    <x v="0"/>
    <x v="15"/>
    <x v="28"/>
    <x v="3"/>
    <x v="0"/>
    <s v="Chittoor"/>
    <x v="2"/>
    <n v="849"/>
    <n v="250"/>
    <n v="599"/>
    <n v="240"/>
    <n v="359"/>
  </r>
  <r>
    <s v="171-0447386-4235552"/>
    <s v="27/07/2022"/>
    <x v="0"/>
    <x v="148"/>
    <x v="26"/>
    <x v="3"/>
    <x v="0"/>
    <s v="HYDERABAD"/>
    <x v="8"/>
    <n v="799"/>
    <n v="205"/>
    <n v="594"/>
    <n v="240"/>
    <n v="354"/>
  </r>
  <r>
    <s v="402-8555620-0421960"/>
    <s v="27/07/2022"/>
    <x v="0"/>
    <x v="147"/>
    <x v="26"/>
    <x v="3"/>
    <x v="0"/>
    <s v="Karaikal"/>
    <x v="27"/>
    <n v="799"/>
    <n v="205"/>
    <n v="594"/>
    <n v="240"/>
    <n v="354"/>
  </r>
  <r>
    <s v="403-6336225-5245951"/>
    <s v="29/07/2022"/>
    <x v="0"/>
    <x v="177"/>
    <x v="28"/>
    <x v="3"/>
    <x v="0"/>
    <s v="Perumbavoor"/>
    <x v="9"/>
    <n v="799"/>
    <n v="205"/>
    <n v="594"/>
    <n v="240"/>
    <n v="354"/>
  </r>
  <r>
    <s v="403-1187683-6737111"/>
    <s v="29/07/2022"/>
    <x v="0"/>
    <x v="178"/>
    <x v="28"/>
    <x v="3"/>
    <x v="0"/>
    <s v="UPLETA"/>
    <x v="3"/>
    <n v="799"/>
    <n v="205"/>
    <n v="594"/>
    <n v="240"/>
    <n v="354"/>
  </r>
  <r>
    <s v="404-5838461-1737158"/>
    <s v="26/07/2022"/>
    <x v="0"/>
    <x v="179"/>
    <x v="25"/>
    <x v="3"/>
    <x v="0"/>
    <s v="HAZARIBAGH"/>
    <x v="11"/>
    <n v="799"/>
    <n v="205"/>
    <n v="594"/>
    <n v="240"/>
    <n v="354"/>
  </r>
  <r>
    <s v="171-8215802-7702745"/>
    <s v="27/07/2022"/>
    <x v="0"/>
    <x v="124"/>
    <x v="26"/>
    <x v="3"/>
    <x v="0"/>
    <s v="UNGUTURU"/>
    <x v="2"/>
    <n v="999"/>
    <n v="325"/>
    <n v="674"/>
    <n v="240"/>
    <n v="434"/>
  </r>
  <r>
    <s v="408-6900790-4414713"/>
    <s v="27/07/2022"/>
    <x v="0"/>
    <x v="52"/>
    <x v="26"/>
    <x v="3"/>
    <x v="0"/>
    <s v="SECUNDERABAD"/>
    <x v="8"/>
    <n v="899"/>
    <n v="295"/>
    <n v="604"/>
    <n v="240"/>
    <n v="364"/>
  </r>
  <r>
    <s v="402-2901528-0842715"/>
    <s v="23/07/2022"/>
    <x v="3"/>
    <x v="150"/>
    <x v="23"/>
    <x v="3"/>
    <x v="0"/>
    <s v="MUMBAI"/>
    <x v="6"/>
    <n v="-799"/>
    <n v="320"/>
    <n v="-479"/>
    <n v="240"/>
    <n v="-239"/>
  </r>
  <r>
    <s v="407-6872616-9406708"/>
    <s v="23/07/2022"/>
    <x v="3"/>
    <x v="15"/>
    <x v="23"/>
    <x v="3"/>
    <x v="0"/>
    <s v="PUNE"/>
    <x v="6"/>
    <n v="-849"/>
    <n v="345"/>
    <n v="-504"/>
    <n v="240"/>
    <n v="-264"/>
  </r>
  <r>
    <s v="407-6988780-7237168"/>
    <s v="30/07/2022"/>
    <x v="0"/>
    <x v="115"/>
    <x v="29"/>
    <x v="3"/>
    <x v="0"/>
    <s v="TIRUPPUR"/>
    <x v="7"/>
    <n v="799"/>
    <n v="205"/>
    <n v="594"/>
    <n v="240"/>
    <n v="354"/>
  </r>
  <r>
    <s v="403-6448227-0561941"/>
    <s v="24/07/2022"/>
    <x v="3"/>
    <x v="132"/>
    <x v="22"/>
    <x v="3"/>
    <x v="0"/>
    <s v="Vadodara"/>
    <x v="3"/>
    <n v="-849"/>
    <n v="345"/>
    <n v="-504"/>
    <n v="240"/>
    <n v="-264"/>
  </r>
  <r>
    <s v="403-8314465-5046737"/>
    <s v="31/07/2022"/>
    <x v="2"/>
    <x v="180"/>
    <x v="30"/>
    <x v="3"/>
    <x v="0"/>
    <s v="MUMBAI"/>
    <x v="6"/>
    <n v="0"/>
    <n v="0"/>
    <n v="0"/>
    <n v="0"/>
    <n v="0"/>
  </r>
  <r>
    <s v="171-0226780-1771565"/>
    <s v="29/07/2022"/>
    <x v="0"/>
    <x v="84"/>
    <x v="28"/>
    <x v="3"/>
    <x v="0"/>
    <s v="NELLORE"/>
    <x v="2"/>
    <n v="799"/>
    <n v="205"/>
    <n v="594"/>
    <n v="240"/>
    <n v="354"/>
  </r>
  <r>
    <s v="403-3903203-1357160"/>
    <s v="30/07/2022"/>
    <x v="0"/>
    <x v="69"/>
    <x v="29"/>
    <x v="3"/>
    <x v="0"/>
    <s v="MANGALURU"/>
    <x v="5"/>
    <n v="849"/>
    <n v="250"/>
    <n v="599"/>
    <n v="240"/>
    <n v="359"/>
  </r>
  <r>
    <s v="407-6242150-8585117"/>
    <s v="29/07/2022"/>
    <x v="0"/>
    <x v="181"/>
    <x v="28"/>
    <x v="3"/>
    <x v="0"/>
    <s v="NOIDA"/>
    <x v="1"/>
    <n v="799"/>
    <n v="205"/>
    <n v="594"/>
    <n v="240"/>
    <n v="354"/>
  </r>
  <r>
    <s v="405-3159476-5784315"/>
    <s v="31/07/2022"/>
    <x v="0"/>
    <x v="68"/>
    <x v="30"/>
    <x v="3"/>
    <x v="0"/>
    <s v="KOZHIKODE"/>
    <x v="9"/>
    <n v="799"/>
    <n v="205"/>
    <n v="594"/>
    <n v="240"/>
    <n v="354"/>
  </r>
  <r>
    <s v="402-6593261-2365154"/>
    <s v="31/07/2022"/>
    <x v="0"/>
    <x v="165"/>
    <x v="30"/>
    <x v="3"/>
    <x v="0"/>
    <s v="BURDWAN"/>
    <x v="18"/>
    <n v="799"/>
    <n v="205"/>
    <n v="594"/>
    <n v="240"/>
    <n v="354"/>
  </r>
  <r>
    <s v="405-9094569-8248327"/>
    <s v="30/07/2022"/>
    <x v="0"/>
    <x v="151"/>
    <x v="29"/>
    <x v="3"/>
    <x v="0"/>
    <s v="THIRUVANANTHAPURAM"/>
    <x v="9"/>
    <n v="799"/>
    <n v="205"/>
    <n v="594"/>
    <n v="240"/>
    <n v="354"/>
  </r>
  <r>
    <s v="402-8428453-3489159"/>
    <s v="29/07/2022"/>
    <x v="0"/>
    <x v="15"/>
    <x v="28"/>
    <x v="3"/>
    <x v="0"/>
    <s v="VISAKHAPATNAM"/>
    <x v="2"/>
    <n v="849"/>
    <n v="250"/>
    <n v="599"/>
    <n v="240"/>
    <n v="359"/>
  </r>
  <r>
    <s v="408-3382476-3652336"/>
    <s v="30/07/2022"/>
    <x v="1"/>
    <x v="98"/>
    <x v="29"/>
    <x v="3"/>
    <x v="0"/>
    <s v="CHENNAI"/>
    <x v="7"/>
    <n v="0"/>
    <n v="0"/>
    <n v="0"/>
    <n v="0"/>
    <n v="0"/>
  </r>
  <r>
    <s v="408-0490489-0315514"/>
    <s v="30/07/2022"/>
    <x v="0"/>
    <x v="166"/>
    <x v="29"/>
    <x v="3"/>
    <x v="0"/>
    <s v="VILLUPURAM"/>
    <x v="7"/>
    <n v="849"/>
    <n v="250"/>
    <n v="599"/>
    <n v="240"/>
    <n v="359"/>
  </r>
  <r>
    <s v="406-0598395-3277917"/>
    <s v="31/07/2022"/>
    <x v="0"/>
    <x v="161"/>
    <x v="30"/>
    <x v="3"/>
    <x v="0"/>
    <s v="GURUGRAM"/>
    <x v="15"/>
    <n v="799"/>
    <n v="205"/>
    <n v="594"/>
    <n v="240"/>
    <n v="354"/>
  </r>
  <r>
    <s v="404-5866256-7307525"/>
    <s v="31/07/2022"/>
    <x v="0"/>
    <x v="182"/>
    <x v="30"/>
    <x v="3"/>
    <x v="0"/>
    <s v="MOHALI"/>
    <x v="26"/>
    <n v="849"/>
    <n v="250"/>
    <n v="599"/>
    <n v="240"/>
    <n v="359"/>
  </r>
  <r>
    <s v="405-3063079-1077118"/>
    <s v="31/07/2022"/>
    <x v="0"/>
    <x v="31"/>
    <x v="30"/>
    <x v="3"/>
    <x v="0"/>
    <s v="DIGRAS"/>
    <x v="6"/>
    <n v="799"/>
    <n v="205"/>
    <n v="594"/>
    <n v="240"/>
    <n v="354"/>
  </r>
  <r>
    <s v="403-0018583-4297127"/>
    <s v="30/07/2022"/>
    <x v="0"/>
    <x v="88"/>
    <x v="29"/>
    <x v="3"/>
    <x v="0"/>
    <s v="MACHERLA"/>
    <x v="2"/>
    <n v="899"/>
    <n v="295"/>
    <n v="604"/>
    <n v="240"/>
    <n v="364"/>
  </r>
  <r>
    <s v="402-7765145-6596352"/>
    <s v="31/07/2022"/>
    <x v="0"/>
    <x v="95"/>
    <x v="30"/>
    <x v="3"/>
    <x v="0"/>
    <s v="HYDERABAD"/>
    <x v="8"/>
    <n v="899"/>
    <n v="295"/>
    <n v="604"/>
    <n v="240"/>
    <n v="364"/>
  </r>
  <r>
    <s v="403-5423745-2274723"/>
    <s v="30/07/2022"/>
    <x v="0"/>
    <x v="80"/>
    <x v="29"/>
    <x v="3"/>
    <x v="0"/>
    <s v="PANDUAL"/>
    <x v="0"/>
    <n v="899"/>
    <n v="295"/>
    <n v="604"/>
    <n v="240"/>
    <n v="364"/>
  </r>
  <r>
    <s v="406-6079994-2987504"/>
    <s v="26/06/2022"/>
    <x v="3"/>
    <x v="59"/>
    <x v="25"/>
    <x v="2"/>
    <x v="0"/>
    <s v="GUNTUR"/>
    <x v="2"/>
    <n v="-999"/>
    <n v="395"/>
    <n v="-604"/>
    <n v="240"/>
    <n v="-364"/>
  </r>
  <r>
    <s v="407-9099662-9055524"/>
    <s v="29/06/2022"/>
    <x v="3"/>
    <x v="15"/>
    <x v="28"/>
    <x v="2"/>
    <x v="0"/>
    <s v="SHIMLA"/>
    <x v="22"/>
    <n v="-849"/>
    <n v="345"/>
    <n v="-504"/>
    <n v="240"/>
    <n v="-264"/>
  </r>
  <r>
    <s v="403-0246139-1034734"/>
    <s v="27/06/2022"/>
    <x v="3"/>
    <x v="95"/>
    <x v="26"/>
    <x v="2"/>
    <x v="0"/>
    <s v="VASAI East"/>
    <x v="6"/>
    <n v="-999"/>
    <n v="395"/>
    <n v="-604"/>
    <n v="240"/>
    <n v="-364"/>
  </r>
  <r>
    <s v="404-9616408-7345137"/>
    <s v="25/06/2022"/>
    <x v="3"/>
    <x v="124"/>
    <x v="24"/>
    <x v="2"/>
    <x v="0"/>
    <s v="UDAYAGIRI"/>
    <x v="2"/>
    <n v="-999"/>
    <n v="395"/>
    <n v="-604"/>
    <n v="240"/>
    <n v="-364"/>
  </r>
  <r>
    <s v="407-0322312-3533172"/>
    <s v="27/06/2022"/>
    <x v="3"/>
    <x v="15"/>
    <x v="26"/>
    <x v="2"/>
    <x v="0"/>
    <s v="KOLLAM"/>
    <x v="9"/>
    <n v="-849"/>
    <n v="345"/>
    <n v="-504"/>
    <n v="240"/>
    <n v="-264"/>
  </r>
  <r>
    <s v="403-7426512-1364317"/>
    <s v="01/08/2022"/>
    <x v="0"/>
    <x v="75"/>
    <x v="0"/>
    <x v="4"/>
    <x v="0"/>
    <s v="Saphale"/>
    <x v="6"/>
    <n v="799"/>
    <n v="205"/>
    <n v="594"/>
    <n v="240"/>
    <n v="354"/>
  </r>
  <r>
    <s v="171-2961320-7133951"/>
    <s v="01/08/2022"/>
    <x v="0"/>
    <x v="25"/>
    <x v="0"/>
    <x v="4"/>
    <x v="0"/>
    <s v="SILIGURI"/>
    <x v="18"/>
    <n v="799"/>
    <n v="205"/>
    <n v="594"/>
    <n v="240"/>
    <n v="354"/>
  </r>
  <r>
    <s v="408-2461076-8123514"/>
    <s v="01/08/2022"/>
    <x v="0"/>
    <x v="85"/>
    <x v="0"/>
    <x v="4"/>
    <x v="0"/>
    <s v="VIZIANAGARAM"/>
    <x v="2"/>
    <n v="799"/>
    <n v="205"/>
    <n v="594"/>
    <n v="240"/>
    <n v="354"/>
  </r>
  <r>
    <s v="405-5715989-7313966"/>
    <s v="01/08/2022"/>
    <x v="0"/>
    <x v="95"/>
    <x v="0"/>
    <x v="4"/>
    <x v="0"/>
    <s v="COIMBATORE"/>
    <x v="7"/>
    <n v="899"/>
    <n v="295"/>
    <n v="604"/>
    <n v="240"/>
    <n v="364"/>
  </r>
  <r>
    <s v="404-1986220-2682738"/>
    <s v="01/08/2022"/>
    <x v="0"/>
    <x v="183"/>
    <x v="0"/>
    <x v="4"/>
    <x v="0"/>
    <s v="AHMEDABAD"/>
    <x v="3"/>
    <n v="849"/>
    <n v="250"/>
    <n v="599"/>
    <n v="240"/>
    <n v="359"/>
  </r>
  <r>
    <s v="408-7395060-5748342"/>
    <s v="01/08/2022"/>
    <x v="1"/>
    <x v="119"/>
    <x v="0"/>
    <x v="4"/>
    <x v="0"/>
    <s v="MUMBAI"/>
    <x v="6"/>
    <n v="0"/>
    <n v="0"/>
    <n v="0"/>
    <n v="0"/>
    <n v="0"/>
  </r>
  <r>
    <s v="404-1585665-5497917"/>
    <s v="01/08/2022"/>
    <x v="0"/>
    <x v="59"/>
    <x v="0"/>
    <x v="4"/>
    <x v="0"/>
    <s v="UNA"/>
    <x v="22"/>
    <n v="899"/>
    <n v="295"/>
    <n v="604"/>
    <n v="240"/>
    <n v="364"/>
  </r>
  <r>
    <s v="402-1023357-4085958"/>
    <s v="01/08/2022"/>
    <x v="0"/>
    <x v="88"/>
    <x v="0"/>
    <x v="4"/>
    <x v="0"/>
    <s v="GYANPUR"/>
    <x v="1"/>
    <n v="899"/>
    <n v="295"/>
    <n v="604"/>
    <n v="240"/>
    <n v="364"/>
  </r>
  <r>
    <s v="402-3868529-9211556"/>
    <s v="01/08/2022"/>
    <x v="0"/>
    <x v="98"/>
    <x v="0"/>
    <x v="4"/>
    <x v="0"/>
    <s v="CHHINDWARA"/>
    <x v="13"/>
    <n v="899"/>
    <n v="295"/>
    <n v="604"/>
    <n v="240"/>
    <n v="364"/>
  </r>
  <r>
    <s v="407-1246287-1451508"/>
    <s v="02/08/2022"/>
    <x v="0"/>
    <x v="124"/>
    <x v="1"/>
    <x v="4"/>
    <x v="0"/>
    <s v="Kandivali  east  MUMBAI"/>
    <x v="6"/>
    <n v="999"/>
    <n v="325"/>
    <n v="674"/>
    <n v="240"/>
    <n v="434"/>
  </r>
  <r>
    <s v="408-0263915-6880343"/>
    <s v="02/08/2022"/>
    <x v="0"/>
    <x v="69"/>
    <x v="1"/>
    <x v="4"/>
    <x v="0"/>
    <s v="Bengaluru"/>
    <x v="5"/>
    <n v="849"/>
    <n v="250"/>
    <n v="599"/>
    <n v="240"/>
    <n v="359"/>
  </r>
  <r>
    <s v="402-8185387-3881141"/>
    <s v="03/08/2022"/>
    <x v="0"/>
    <x v="137"/>
    <x v="2"/>
    <x v="4"/>
    <x v="0"/>
    <s v="chennai"/>
    <x v="7"/>
    <n v="849"/>
    <n v="250"/>
    <n v="599"/>
    <n v="240"/>
    <n v="359"/>
  </r>
  <r>
    <s v="403-2999859-6444355"/>
    <s v="02/08/2022"/>
    <x v="0"/>
    <x v="123"/>
    <x v="1"/>
    <x v="4"/>
    <x v="0"/>
    <s v="Vadodara"/>
    <x v="3"/>
    <n v="999"/>
    <n v="325"/>
    <n v="674"/>
    <n v="240"/>
    <n v="434"/>
  </r>
  <r>
    <s v="171-3665100-4044307"/>
    <s v="02/08/2022"/>
    <x v="0"/>
    <x v="158"/>
    <x v="1"/>
    <x v="4"/>
    <x v="0"/>
    <s v="KOZHIKODE"/>
    <x v="9"/>
    <n v="849"/>
    <n v="250"/>
    <n v="599"/>
    <n v="240"/>
    <n v="359"/>
  </r>
  <r>
    <s v="406-6293436-7393947"/>
    <s v="03/08/2022"/>
    <x v="0"/>
    <x v="149"/>
    <x v="2"/>
    <x v="4"/>
    <x v="0"/>
    <s v="VALAVANUR"/>
    <x v="7"/>
    <n v="799"/>
    <n v="205"/>
    <n v="594"/>
    <n v="240"/>
    <n v="354"/>
  </r>
  <r>
    <s v="402-9209515-4506756"/>
    <s v="02/08/2022"/>
    <x v="0"/>
    <x v="88"/>
    <x v="1"/>
    <x v="4"/>
    <x v="0"/>
    <s v="JALANDHAR"/>
    <x v="26"/>
    <n v="899"/>
    <n v="295"/>
    <n v="604"/>
    <n v="240"/>
    <n v="364"/>
  </r>
  <r>
    <s v="407-8519812-9950724"/>
    <s v="03/08/2022"/>
    <x v="0"/>
    <x v="95"/>
    <x v="2"/>
    <x v="4"/>
    <x v="0"/>
    <s v="SRIPERUMBUDUR"/>
    <x v="7"/>
    <n v="899"/>
    <n v="295"/>
    <n v="604"/>
    <n v="240"/>
    <n v="364"/>
  </r>
  <r>
    <s v="404-7970030-6649920"/>
    <s v="02/08/2022"/>
    <x v="0"/>
    <x v="132"/>
    <x v="1"/>
    <x v="4"/>
    <x v="0"/>
    <s v="Chennai"/>
    <x v="7"/>
    <n v="849"/>
    <n v="250"/>
    <n v="599"/>
    <n v="240"/>
    <n v="359"/>
  </r>
  <r>
    <s v="406-6293436-7393947"/>
    <s v="03/08/2022"/>
    <x v="3"/>
    <x v="149"/>
    <x v="2"/>
    <x v="4"/>
    <x v="0"/>
    <s v="VALAVANUR"/>
    <x v="7"/>
    <n v="-799"/>
    <n v="320"/>
    <n v="-479"/>
    <n v="240"/>
    <n v="-239"/>
  </r>
  <r>
    <s v="405-7401763-2325151"/>
    <s v="03/08/2022"/>
    <x v="0"/>
    <x v="75"/>
    <x v="2"/>
    <x v="4"/>
    <x v="0"/>
    <s v="NOORPUR"/>
    <x v="1"/>
    <n v="799"/>
    <n v="205"/>
    <n v="594"/>
    <n v="240"/>
    <n v="354"/>
  </r>
  <r>
    <s v="408-4553666-4816342"/>
    <s v="03/08/2022"/>
    <x v="0"/>
    <x v="15"/>
    <x v="2"/>
    <x v="4"/>
    <x v="0"/>
    <s v="SRIKAKULAM"/>
    <x v="2"/>
    <n v="849"/>
    <n v="250"/>
    <n v="599"/>
    <n v="240"/>
    <n v="359"/>
  </r>
  <r>
    <s v="171-3010127-6818737"/>
    <s v="03/08/2022"/>
    <x v="0"/>
    <x v="133"/>
    <x v="2"/>
    <x v="4"/>
    <x v="0"/>
    <s v="HASSAN"/>
    <x v="5"/>
    <n v="799"/>
    <n v="205"/>
    <n v="594"/>
    <n v="240"/>
    <n v="354"/>
  </r>
  <r>
    <s v="405-0380197-6036354"/>
    <s v="03/08/2022"/>
    <x v="0"/>
    <x v="115"/>
    <x v="2"/>
    <x v="4"/>
    <x v="0"/>
    <s v="DEOGHAR"/>
    <x v="11"/>
    <n v="799"/>
    <n v="205"/>
    <n v="594"/>
    <n v="240"/>
    <n v="354"/>
  </r>
  <r>
    <s v="406-6294332-6405936"/>
    <s v="03/08/2022"/>
    <x v="0"/>
    <x v="25"/>
    <x v="2"/>
    <x v="4"/>
    <x v="0"/>
    <s v="MAREGAON"/>
    <x v="6"/>
    <n v="799"/>
    <n v="205"/>
    <n v="594"/>
    <n v="240"/>
    <n v="354"/>
  </r>
  <r>
    <s v="171-2073582-5582743"/>
    <s v="03/08/2022"/>
    <x v="0"/>
    <x v="164"/>
    <x v="2"/>
    <x v="4"/>
    <x v="0"/>
    <s v="KOLKATA"/>
    <x v="18"/>
    <n v="849"/>
    <n v="250"/>
    <n v="599"/>
    <n v="240"/>
    <n v="359"/>
  </r>
  <r>
    <s v="171-2803233-4239564"/>
    <s v="03/08/2022"/>
    <x v="0"/>
    <x v="15"/>
    <x v="2"/>
    <x v="4"/>
    <x v="0"/>
    <s v="NEW DELHI"/>
    <x v="16"/>
    <n v="849"/>
    <n v="250"/>
    <n v="599"/>
    <n v="240"/>
    <n v="359"/>
  </r>
  <r>
    <s v="171-7427692-1217929"/>
    <s v="03/08/2022"/>
    <x v="0"/>
    <x v="137"/>
    <x v="2"/>
    <x v="4"/>
    <x v="0"/>
    <s v="BHIWANDI"/>
    <x v="6"/>
    <n v="849"/>
    <n v="250"/>
    <n v="599"/>
    <n v="240"/>
    <n v="359"/>
  </r>
  <r>
    <s v="404-4947760-0797156"/>
    <s v="03/08/2022"/>
    <x v="0"/>
    <x v="168"/>
    <x v="2"/>
    <x v="4"/>
    <x v="0"/>
    <s v="THIRUVANANTHAPURAM"/>
    <x v="9"/>
    <n v="799"/>
    <n v="205"/>
    <n v="594"/>
    <n v="240"/>
    <n v="354"/>
  </r>
  <r>
    <s v="171-0032947-2347528"/>
    <s v="03/08/2022"/>
    <x v="0"/>
    <x v="147"/>
    <x v="2"/>
    <x v="4"/>
    <x v="0"/>
    <s v="HYDERABAD"/>
    <x v="8"/>
    <n v="799"/>
    <n v="205"/>
    <n v="594"/>
    <n v="240"/>
    <n v="354"/>
  </r>
  <r>
    <s v="406-5590294-9888333"/>
    <s v="02/08/2022"/>
    <x v="0"/>
    <x v="148"/>
    <x v="1"/>
    <x v="4"/>
    <x v="0"/>
    <s v="KOLKATA"/>
    <x v="18"/>
    <n v="799"/>
    <n v="205"/>
    <n v="594"/>
    <n v="240"/>
    <n v="354"/>
  </r>
  <r>
    <s v="407-7642738-3741112"/>
    <s v="04/08/2022"/>
    <x v="0"/>
    <x v="184"/>
    <x v="3"/>
    <x v="4"/>
    <x v="0"/>
    <s v="PUNE"/>
    <x v="6"/>
    <n v="849"/>
    <n v="250"/>
    <n v="599"/>
    <n v="240"/>
    <n v="359"/>
  </r>
  <r>
    <s v="171-9941792-8412311"/>
    <s v="04/08/2022"/>
    <x v="0"/>
    <x v="137"/>
    <x v="3"/>
    <x v="4"/>
    <x v="0"/>
    <s v="Nagpur"/>
    <x v="6"/>
    <n v="849"/>
    <n v="250"/>
    <n v="599"/>
    <n v="240"/>
    <n v="359"/>
  </r>
  <r>
    <s v="406-7538047-7671554"/>
    <s v="04/08/2022"/>
    <x v="0"/>
    <x v="135"/>
    <x v="3"/>
    <x v="4"/>
    <x v="0"/>
    <s v="PERINTHALMANNA"/>
    <x v="9"/>
    <n v="849"/>
    <n v="250"/>
    <n v="599"/>
    <n v="240"/>
    <n v="359"/>
  </r>
  <r>
    <s v="405-9519371-0127507"/>
    <s v="04/08/2022"/>
    <x v="0"/>
    <x v="80"/>
    <x v="3"/>
    <x v="4"/>
    <x v="0"/>
    <s v="HYDERABAD"/>
    <x v="8"/>
    <n v="899"/>
    <n v="295"/>
    <n v="604"/>
    <n v="240"/>
    <n v="364"/>
  </r>
  <r>
    <s v="406-9420479-4569144"/>
    <s v="04/08/2022"/>
    <x v="0"/>
    <x v="185"/>
    <x v="3"/>
    <x v="4"/>
    <x v="0"/>
    <s v="SINDHANUR"/>
    <x v="5"/>
    <n v="849"/>
    <n v="250"/>
    <n v="599"/>
    <n v="240"/>
    <n v="359"/>
  </r>
  <r>
    <s v="403-3899912-7261111"/>
    <s v="04/08/2022"/>
    <x v="0"/>
    <x v="137"/>
    <x v="3"/>
    <x v="4"/>
    <x v="0"/>
    <s v="CHENNAI"/>
    <x v="7"/>
    <n v="849"/>
    <n v="250"/>
    <n v="599"/>
    <n v="240"/>
    <n v="359"/>
  </r>
  <r>
    <s v="404-7226633-1289147"/>
    <s v="04/08/2022"/>
    <x v="0"/>
    <x v="158"/>
    <x v="3"/>
    <x v="4"/>
    <x v="0"/>
    <s v="SURAT"/>
    <x v="3"/>
    <n v="849"/>
    <n v="250"/>
    <n v="599"/>
    <n v="240"/>
    <n v="359"/>
  </r>
  <r>
    <s v="171-8199634-3101169"/>
    <s v="04/08/2022"/>
    <x v="0"/>
    <x v="15"/>
    <x v="3"/>
    <x v="4"/>
    <x v="0"/>
    <s v="KOLKATA"/>
    <x v="18"/>
    <n v="849"/>
    <n v="250"/>
    <n v="599"/>
    <n v="240"/>
    <n v="359"/>
  </r>
  <r>
    <s v="408-5840520-8876335"/>
    <s v="04/08/2022"/>
    <x v="1"/>
    <x v="68"/>
    <x v="3"/>
    <x v="4"/>
    <x v="0"/>
    <s v="AHMEDABAD"/>
    <x v="3"/>
    <n v="0"/>
    <n v="0"/>
    <n v="0"/>
    <n v="0"/>
    <n v="0"/>
  </r>
  <r>
    <s v="171-2232176-1464359"/>
    <s v="06/08/2022"/>
    <x v="2"/>
    <x v="127"/>
    <x v="5"/>
    <x v="4"/>
    <x v="0"/>
    <s v="SURAT"/>
    <x v="3"/>
    <n v="0"/>
    <n v="0"/>
    <n v="0"/>
    <n v="0"/>
    <n v="0"/>
  </r>
  <r>
    <s v="405-8206626-8358700"/>
    <s v="05/08/2022"/>
    <x v="0"/>
    <x v="80"/>
    <x v="4"/>
    <x v="4"/>
    <x v="0"/>
    <s v="NAGPUR"/>
    <x v="6"/>
    <n v="899"/>
    <n v="295"/>
    <n v="604"/>
    <n v="240"/>
    <n v="364"/>
  </r>
  <r>
    <s v="171-7258936-5165940"/>
    <s v="05/08/2022"/>
    <x v="0"/>
    <x v="15"/>
    <x v="4"/>
    <x v="4"/>
    <x v="0"/>
    <s v="BALLY"/>
    <x v="18"/>
    <n v="849"/>
    <n v="250"/>
    <n v="599"/>
    <n v="240"/>
    <n v="359"/>
  </r>
  <r>
    <s v="171-1880282-9742763"/>
    <s v="05/08/2022"/>
    <x v="0"/>
    <x v="23"/>
    <x v="4"/>
    <x v="4"/>
    <x v="0"/>
    <s v="Haddo"/>
    <x v="25"/>
    <n v="849"/>
    <n v="250"/>
    <n v="599"/>
    <n v="240"/>
    <n v="359"/>
  </r>
  <r>
    <s v="171-1880282-9742763"/>
    <s v="05/08/2022"/>
    <x v="0"/>
    <x v="186"/>
    <x v="4"/>
    <x v="4"/>
    <x v="0"/>
    <s v="Haddo"/>
    <x v="25"/>
    <n v="849"/>
    <n v="250"/>
    <n v="599"/>
    <n v="240"/>
    <n v="359"/>
  </r>
  <r>
    <s v="408-4724782-1689151"/>
    <s v="05/08/2022"/>
    <x v="0"/>
    <x v="125"/>
    <x v="4"/>
    <x v="4"/>
    <x v="0"/>
    <s v="CHENNAI"/>
    <x v="7"/>
    <n v="999"/>
    <n v="325"/>
    <n v="674"/>
    <n v="240"/>
    <n v="434"/>
  </r>
  <r>
    <s v="407-5975599-9541127"/>
    <s v="04/08/2022"/>
    <x v="0"/>
    <x v="164"/>
    <x v="3"/>
    <x v="4"/>
    <x v="0"/>
    <s v="PUNE"/>
    <x v="6"/>
    <n v="849"/>
    <n v="250"/>
    <n v="599"/>
    <n v="240"/>
    <n v="359"/>
  </r>
  <r>
    <s v="403-0059719-5534775"/>
    <s v="05/08/2022"/>
    <x v="0"/>
    <x v="127"/>
    <x v="4"/>
    <x v="4"/>
    <x v="0"/>
    <s v="PANAJI"/>
    <x v="21"/>
    <n v="849"/>
    <n v="250"/>
    <n v="599"/>
    <n v="240"/>
    <n v="359"/>
  </r>
  <r>
    <s v="403-4582357-5101106"/>
    <s v="05/08/2022"/>
    <x v="0"/>
    <x v="172"/>
    <x v="4"/>
    <x v="4"/>
    <x v="0"/>
    <s v="BURDWAN"/>
    <x v="18"/>
    <n v="799"/>
    <n v="205"/>
    <n v="594"/>
    <n v="240"/>
    <n v="354"/>
  </r>
  <r>
    <s v="407-0331273-4814738"/>
    <s v="05/08/2022"/>
    <x v="0"/>
    <x v="147"/>
    <x v="4"/>
    <x v="4"/>
    <x v="0"/>
    <s v="PATNA"/>
    <x v="0"/>
    <n v="799"/>
    <n v="205"/>
    <n v="594"/>
    <n v="240"/>
    <n v="354"/>
  </r>
  <r>
    <s v="408-7690571-8229122"/>
    <s v="05/08/2022"/>
    <x v="0"/>
    <x v="132"/>
    <x v="4"/>
    <x v="4"/>
    <x v="0"/>
    <s v="Kavali"/>
    <x v="2"/>
    <n v="849"/>
    <n v="250"/>
    <n v="599"/>
    <n v="240"/>
    <n v="359"/>
  </r>
  <r>
    <s v="171-1186845-9031529"/>
    <s v="06/08/2022"/>
    <x v="2"/>
    <x v="156"/>
    <x v="5"/>
    <x v="4"/>
    <x v="0"/>
    <s v="KOLKATA"/>
    <x v="18"/>
    <n v="0"/>
    <n v="0"/>
    <n v="0"/>
    <n v="0"/>
    <n v="0"/>
  </r>
  <r>
    <s v="171-8095537-7302765"/>
    <s v="06/08/2022"/>
    <x v="2"/>
    <x v="15"/>
    <x v="5"/>
    <x v="4"/>
    <x v="0"/>
    <s v="HYDERABAD"/>
    <x v="8"/>
    <n v="0"/>
    <n v="0"/>
    <n v="0"/>
    <n v="0"/>
    <n v="0"/>
  </r>
  <r>
    <s v="402-3868529-9211556"/>
    <s v="01/08/2022"/>
    <x v="3"/>
    <x v="98"/>
    <x v="0"/>
    <x v="4"/>
    <x v="0"/>
    <s v="CHHINDWARA"/>
    <x v="13"/>
    <n v="-899"/>
    <n v="375"/>
    <n v="-524"/>
    <n v="240"/>
    <n v="-284"/>
  </r>
  <r>
    <s v="171-3665100-4044307"/>
    <s v="02/08/2022"/>
    <x v="3"/>
    <x v="158"/>
    <x v="1"/>
    <x v="4"/>
    <x v="0"/>
    <s v="KOZHIKODE"/>
    <x v="9"/>
    <n v="-849"/>
    <n v="345"/>
    <n v="-504"/>
    <n v="240"/>
    <n v="-264"/>
  </r>
  <r>
    <s v="402-4136353-4681918"/>
    <s v="07/08/2022"/>
    <x v="2"/>
    <x v="137"/>
    <x v="7"/>
    <x v="4"/>
    <x v="0"/>
    <s v="Attapur   HYDERABAD"/>
    <x v="8"/>
    <n v="0"/>
    <n v="0"/>
    <n v="0"/>
    <n v="0"/>
    <n v="0"/>
  </r>
  <r>
    <s v="407-0331273-4814738"/>
    <s v="05/08/2022"/>
    <x v="3"/>
    <x v="147"/>
    <x v="4"/>
    <x v="4"/>
    <x v="0"/>
    <s v="PATNA"/>
    <x v="0"/>
    <n v="-799"/>
    <n v="320"/>
    <n v="-479"/>
    <n v="240"/>
    <n v="-239"/>
  </r>
  <r>
    <s v="406-9946172-0937109"/>
    <s v="07/08/2022"/>
    <x v="0"/>
    <x v="187"/>
    <x v="7"/>
    <x v="4"/>
    <x v="0"/>
    <s v="HISAR"/>
    <x v="15"/>
    <n v="799"/>
    <n v="205"/>
    <n v="594"/>
    <n v="240"/>
    <n v="354"/>
  </r>
  <r>
    <s v="171-2232176-1464359"/>
    <s v="06/08/2022"/>
    <x v="0"/>
    <x v="127"/>
    <x v="5"/>
    <x v="4"/>
    <x v="0"/>
    <s v="SURAT"/>
    <x v="3"/>
    <n v="849"/>
    <n v="250"/>
    <n v="599"/>
    <n v="240"/>
    <n v="359"/>
  </r>
  <r>
    <s v="408-4454458-2469951"/>
    <s v="07/08/2022"/>
    <x v="0"/>
    <x v="143"/>
    <x v="7"/>
    <x v="4"/>
    <x v="0"/>
    <s v="HYDERABAD"/>
    <x v="8"/>
    <n v="849"/>
    <n v="250"/>
    <n v="599"/>
    <n v="240"/>
    <n v="359"/>
  </r>
  <r>
    <s v="406-4032350-0004344"/>
    <s v="06/08/2022"/>
    <x v="0"/>
    <x v="107"/>
    <x v="5"/>
    <x v="4"/>
    <x v="0"/>
    <s v="CHENNAI"/>
    <x v="7"/>
    <n v="799"/>
    <n v="205"/>
    <n v="594"/>
    <n v="240"/>
    <n v="354"/>
  </r>
  <r>
    <s v="405-8728373-6977133"/>
    <s v="06/08/2022"/>
    <x v="0"/>
    <x v="148"/>
    <x v="5"/>
    <x v="4"/>
    <x v="0"/>
    <s v="PANAJI"/>
    <x v="21"/>
    <n v="799"/>
    <n v="205"/>
    <n v="594"/>
    <n v="240"/>
    <n v="354"/>
  </r>
  <r>
    <s v="404-9864112-5841104"/>
    <s v="07/08/2022"/>
    <x v="0"/>
    <x v="15"/>
    <x v="7"/>
    <x v="4"/>
    <x v="0"/>
    <s v="NEW DELHI"/>
    <x v="16"/>
    <n v="849"/>
    <n v="250"/>
    <n v="599"/>
    <n v="240"/>
    <n v="359"/>
  </r>
  <r>
    <s v="408-1131763-6345926"/>
    <s v="06/08/2022"/>
    <x v="1"/>
    <x v="69"/>
    <x v="5"/>
    <x v="4"/>
    <x v="0"/>
    <s v="MANGALURU"/>
    <x v="5"/>
    <n v="0"/>
    <n v="0"/>
    <n v="0"/>
    <n v="0"/>
    <n v="0"/>
  </r>
  <r>
    <s v="402-4136353-4681918"/>
    <s v="07/08/2022"/>
    <x v="0"/>
    <x v="137"/>
    <x v="7"/>
    <x v="4"/>
    <x v="0"/>
    <s v="Attapur   HYDERABAD"/>
    <x v="8"/>
    <n v="849"/>
    <n v="250"/>
    <n v="599"/>
    <n v="240"/>
    <n v="359"/>
  </r>
  <r>
    <s v="402-8038317-6899520"/>
    <s v="06/08/2022"/>
    <x v="0"/>
    <x v="15"/>
    <x v="5"/>
    <x v="4"/>
    <x v="0"/>
    <s v="Gurugram"/>
    <x v="15"/>
    <n v="849"/>
    <n v="250"/>
    <n v="599"/>
    <n v="240"/>
    <n v="359"/>
  </r>
  <r>
    <s v="406-4586312-1847567"/>
    <s v="06/08/2022"/>
    <x v="0"/>
    <x v="188"/>
    <x v="5"/>
    <x v="4"/>
    <x v="0"/>
    <s v="CHENNAI"/>
    <x v="7"/>
    <n v="799"/>
    <n v="205"/>
    <n v="594"/>
    <n v="240"/>
    <n v="354"/>
  </r>
  <r>
    <s v="408-4384576-3156366"/>
    <s v="07/08/2022"/>
    <x v="0"/>
    <x v="177"/>
    <x v="7"/>
    <x v="4"/>
    <x v="0"/>
    <s v="BENGALURU"/>
    <x v="5"/>
    <n v="799"/>
    <n v="205"/>
    <n v="594"/>
    <n v="240"/>
    <n v="354"/>
  </r>
  <r>
    <s v="408-3762654-3429938"/>
    <s v="06/08/2022"/>
    <x v="0"/>
    <x v="164"/>
    <x v="5"/>
    <x v="4"/>
    <x v="0"/>
    <s v="PUDUPAKKAM"/>
    <x v="7"/>
    <n v="849"/>
    <n v="250"/>
    <n v="599"/>
    <n v="240"/>
    <n v="359"/>
  </r>
  <r>
    <s v="408-3328468-4729913"/>
    <s v="07/08/2022"/>
    <x v="0"/>
    <x v="109"/>
    <x v="7"/>
    <x v="4"/>
    <x v="0"/>
    <s v="BENGALURU"/>
    <x v="5"/>
    <n v="799"/>
    <n v="205"/>
    <n v="594"/>
    <n v="240"/>
    <n v="354"/>
  </r>
  <r>
    <s v="171-4101192-4687531"/>
    <s v="06/08/2022"/>
    <x v="0"/>
    <x v="189"/>
    <x v="5"/>
    <x v="4"/>
    <x v="0"/>
    <s v="HYDERABAD"/>
    <x v="8"/>
    <n v="799"/>
    <n v="205"/>
    <n v="594"/>
    <n v="240"/>
    <n v="354"/>
  </r>
  <r>
    <s v="171-1186845-9031529"/>
    <s v="06/08/2022"/>
    <x v="0"/>
    <x v="156"/>
    <x v="5"/>
    <x v="4"/>
    <x v="0"/>
    <s v="KOLKATA"/>
    <x v="18"/>
    <n v="799"/>
    <n v="205"/>
    <n v="594"/>
    <n v="240"/>
    <n v="354"/>
  </r>
  <r>
    <s v="404-7470891-9265102"/>
    <s v="06/08/2022"/>
    <x v="0"/>
    <x v="119"/>
    <x v="5"/>
    <x v="4"/>
    <x v="0"/>
    <s v="INDORE"/>
    <x v="13"/>
    <n v="799"/>
    <n v="205"/>
    <n v="594"/>
    <n v="240"/>
    <n v="354"/>
  </r>
  <r>
    <s v="408-7296940-9909146"/>
    <s v="06/08/2022"/>
    <x v="1"/>
    <x v="137"/>
    <x v="5"/>
    <x v="4"/>
    <x v="0"/>
    <s v="Doomdooma TINSUKIA DISTRICT"/>
    <x v="4"/>
    <n v="0"/>
    <n v="0"/>
    <n v="0"/>
    <n v="0"/>
    <n v="0"/>
  </r>
  <r>
    <s v="405-8602876-9745138"/>
    <s v="08/08/2022"/>
    <x v="0"/>
    <x v="15"/>
    <x v="6"/>
    <x v="4"/>
    <x v="0"/>
    <s v="GURUGRAM"/>
    <x v="15"/>
    <n v="849"/>
    <n v="250"/>
    <n v="599"/>
    <n v="240"/>
    <n v="359"/>
  </r>
  <r>
    <s v="405-3865007-0277911"/>
    <s v="08/08/2022"/>
    <x v="0"/>
    <x v="127"/>
    <x v="6"/>
    <x v="4"/>
    <x v="0"/>
    <s v="BHONGIR"/>
    <x v="8"/>
    <n v="849"/>
    <n v="250"/>
    <n v="599"/>
    <n v="240"/>
    <n v="359"/>
  </r>
  <r>
    <s v="406-9740903-9354715"/>
    <s v="08/08/2022"/>
    <x v="0"/>
    <x v="15"/>
    <x v="6"/>
    <x v="4"/>
    <x v="0"/>
    <s v="NEW DELHI"/>
    <x v="16"/>
    <n v="849"/>
    <n v="250"/>
    <n v="599"/>
    <n v="240"/>
    <n v="359"/>
  </r>
  <r>
    <s v="405-8120348-7358713"/>
    <s v="08/08/2022"/>
    <x v="0"/>
    <x v="15"/>
    <x v="6"/>
    <x v="4"/>
    <x v="0"/>
    <s v="College"/>
    <x v="20"/>
    <n v="849"/>
    <n v="250"/>
    <n v="599"/>
    <n v="240"/>
    <n v="359"/>
  </r>
  <r>
    <s v="405-5263817-6305140"/>
    <s v="09/08/2022"/>
    <x v="0"/>
    <x v="164"/>
    <x v="8"/>
    <x v="4"/>
    <x v="0"/>
    <s v="VADGAON"/>
    <x v="6"/>
    <n v="849"/>
    <n v="250"/>
    <n v="599"/>
    <n v="240"/>
    <n v="359"/>
  </r>
  <r>
    <s v="408-4755222-9641137"/>
    <s v="08/08/2022"/>
    <x v="0"/>
    <x v="80"/>
    <x v="6"/>
    <x v="4"/>
    <x v="0"/>
    <s v="THODUPUZHA"/>
    <x v="9"/>
    <n v="899"/>
    <n v="295"/>
    <n v="604"/>
    <n v="240"/>
    <n v="364"/>
  </r>
  <r>
    <s v="408-1231419-7533165"/>
    <s v="09/08/2022"/>
    <x v="0"/>
    <x v="98"/>
    <x v="8"/>
    <x v="4"/>
    <x v="0"/>
    <s v="NEW DELHI"/>
    <x v="16"/>
    <n v="899"/>
    <n v="295"/>
    <n v="604"/>
    <n v="240"/>
    <n v="364"/>
  </r>
  <r>
    <s v="407-4266227-8134753"/>
    <s v="09/08/2022"/>
    <x v="0"/>
    <x v="190"/>
    <x v="8"/>
    <x v="4"/>
    <x v="0"/>
    <s v="Akole"/>
    <x v="6"/>
    <n v="799"/>
    <n v="205"/>
    <n v="594"/>
    <n v="240"/>
    <n v="354"/>
  </r>
  <r>
    <s v="171-0429225-4841956"/>
    <s v="09/08/2022"/>
    <x v="0"/>
    <x v="15"/>
    <x v="8"/>
    <x v="4"/>
    <x v="0"/>
    <s v="JAIPUR"/>
    <x v="10"/>
    <n v="849"/>
    <n v="250"/>
    <n v="599"/>
    <n v="240"/>
    <n v="359"/>
  </r>
  <r>
    <s v="404-1354022-8001125"/>
    <s v="09/08/2022"/>
    <x v="0"/>
    <x v="151"/>
    <x v="8"/>
    <x v="4"/>
    <x v="0"/>
    <s v="OSMANABAD"/>
    <x v="6"/>
    <n v="799"/>
    <n v="205"/>
    <n v="594"/>
    <n v="240"/>
    <n v="354"/>
  </r>
  <r>
    <s v="402-2876881-1899543"/>
    <s v="09/08/2022"/>
    <x v="0"/>
    <x v="88"/>
    <x v="8"/>
    <x v="4"/>
    <x v="0"/>
    <s v="BENGALURU"/>
    <x v="5"/>
    <n v="899"/>
    <n v="295"/>
    <n v="604"/>
    <n v="240"/>
    <n v="364"/>
  </r>
  <r>
    <s v="406-4510536-3623520"/>
    <s v="09/08/2022"/>
    <x v="0"/>
    <x v="191"/>
    <x v="8"/>
    <x v="4"/>
    <x v="0"/>
    <s v="PUNE"/>
    <x v="6"/>
    <n v="799"/>
    <n v="205"/>
    <n v="594"/>
    <n v="240"/>
    <n v="354"/>
  </r>
  <r>
    <s v="408-8688748-6106760"/>
    <s v="08/08/2022"/>
    <x v="0"/>
    <x v="68"/>
    <x v="6"/>
    <x v="4"/>
    <x v="0"/>
    <s v="Viluppuram"/>
    <x v="7"/>
    <n v="799"/>
    <n v="205"/>
    <n v="594"/>
    <n v="240"/>
    <n v="354"/>
  </r>
  <r>
    <s v="402-4581935-9629917"/>
    <s v="08/08/2022"/>
    <x v="0"/>
    <x v="95"/>
    <x v="6"/>
    <x v="4"/>
    <x v="0"/>
    <s v="Shahdara"/>
    <x v="16"/>
    <n v="899"/>
    <n v="295"/>
    <n v="604"/>
    <n v="240"/>
    <n v="364"/>
  </r>
  <r>
    <s v="404-3580342-4877101"/>
    <s v="09/08/2022"/>
    <x v="0"/>
    <x v="192"/>
    <x v="8"/>
    <x v="4"/>
    <x v="0"/>
    <s v="AMRELI"/>
    <x v="3"/>
    <n v="799"/>
    <n v="205"/>
    <n v="594"/>
    <n v="240"/>
    <n v="354"/>
  </r>
  <r>
    <s v="402-8185387-3881141"/>
    <s v="03/08/2022"/>
    <x v="3"/>
    <x v="137"/>
    <x v="2"/>
    <x v="4"/>
    <x v="0"/>
    <s v="chennai"/>
    <x v="7"/>
    <n v="-849"/>
    <n v="345"/>
    <n v="-504"/>
    <n v="240"/>
    <n v="-264"/>
  </r>
  <r>
    <s v="405-7707440-6661104"/>
    <s v="09/08/2022"/>
    <x v="0"/>
    <x v="193"/>
    <x v="8"/>
    <x v="4"/>
    <x v="0"/>
    <s v="GHAZIABAD"/>
    <x v="1"/>
    <n v="799"/>
    <n v="205"/>
    <n v="594"/>
    <n v="240"/>
    <n v="354"/>
  </r>
  <r>
    <s v="406-8569879-8905924"/>
    <s v="09/08/2022"/>
    <x v="0"/>
    <x v="162"/>
    <x v="8"/>
    <x v="4"/>
    <x v="0"/>
    <s v="MUMBAI"/>
    <x v="6"/>
    <n v="899"/>
    <n v="295"/>
    <n v="604"/>
    <n v="240"/>
    <n v="364"/>
  </r>
  <r>
    <s v="171-7258936-5165940"/>
    <s v="05/08/2022"/>
    <x v="3"/>
    <x v="15"/>
    <x v="4"/>
    <x v="4"/>
    <x v="0"/>
    <s v="BALLY"/>
    <x v="18"/>
    <n v="-849"/>
    <n v="345"/>
    <n v="-504"/>
    <n v="240"/>
    <n v="-264"/>
  </r>
  <r>
    <s v="406-8569879-8905924"/>
    <s v="09/08/2022"/>
    <x v="3"/>
    <x v="162"/>
    <x v="8"/>
    <x v="4"/>
    <x v="0"/>
    <s v="MUMBAI"/>
    <x v="6"/>
    <n v="-899"/>
    <n v="375"/>
    <n v="-524"/>
    <n v="240"/>
    <n v="-284"/>
  </r>
  <r>
    <s v="407-7453553-4023531"/>
    <s v="10/08/2022"/>
    <x v="0"/>
    <x v="69"/>
    <x v="10"/>
    <x v="4"/>
    <x v="0"/>
    <s v="JAIPUR"/>
    <x v="10"/>
    <n v="849"/>
    <n v="250"/>
    <n v="599"/>
    <n v="240"/>
    <n v="359"/>
  </r>
  <r>
    <s v="407-7510771-0749964"/>
    <s v="11/08/2022"/>
    <x v="0"/>
    <x v="123"/>
    <x v="9"/>
    <x v="4"/>
    <x v="0"/>
    <s v="PUNE"/>
    <x v="6"/>
    <n v="999"/>
    <n v="325"/>
    <n v="674"/>
    <n v="240"/>
    <n v="434"/>
  </r>
  <r>
    <s v="408-2502848-7322727"/>
    <s v="09/08/2022"/>
    <x v="0"/>
    <x v="164"/>
    <x v="8"/>
    <x v="4"/>
    <x v="0"/>
    <s v="LUCKNOW"/>
    <x v="1"/>
    <n v="849"/>
    <n v="250"/>
    <n v="599"/>
    <n v="240"/>
    <n v="359"/>
  </r>
  <r>
    <s v="404-2889888-3031523"/>
    <s v="11/08/2022"/>
    <x v="0"/>
    <x v="124"/>
    <x v="9"/>
    <x v="4"/>
    <x v="0"/>
    <s v="Hyderabad"/>
    <x v="8"/>
    <n v="999"/>
    <n v="325"/>
    <n v="674"/>
    <n v="240"/>
    <n v="434"/>
  </r>
  <r>
    <s v="171-6064943-5480368"/>
    <s v="10/08/2022"/>
    <x v="0"/>
    <x v="15"/>
    <x v="10"/>
    <x v="4"/>
    <x v="0"/>
    <s v="KOLKATA"/>
    <x v="18"/>
    <n v="849"/>
    <n v="250"/>
    <n v="599"/>
    <n v="240"/>
    <n v="359"/>
  </r>
  <r>
    <s v="402-9002162-0201102"/>
    <s v="09/08/2022"/>
    <x v="0"/>
    <x v="164"/>
    <x v="8"/>
    <x v="4"/>
    <x v="0"/>
    <s v="PUDUCHERRY"/>
    <x v="27"/>
    <n v="849"/>
    <n v="250"/>
    <n v="599"/>
    <n v="240"/>
    <n v="359"/>
  </r>
  <r>
    <s v="407-5690038-5923514"/>
    <s v="10/08/2022"/>
    <x v="0"/>
    <x v="123"/>
    <x v="10"/>
    <x v="4"/>
    <x v="0"/>
    <s v="GURUGRAM"/>
    <x v="15"/>
    <n v="999"/>
    <n v="325"/>
    <n v="674"/>
    <n v="240"/>
    <n v="434"/>
  </r>
  <r>
    <s v="405-6180628-1033107"/>
    <s v="10/08/2022"/>
    <x v="0"/>
    <x v="137"/>
    <x v="10"/>
    <x v="4"/>
    <x v="0"/>
    <s v="MUMBAI"/>
    <x v="6"/>
    <n v="849"/>
    <n v="250"/>
    <n v="599"/>
    <n v="240"/>
    <n v="359"/>
  </r>
  <r>
    <s v="407-0112347-6364371"/>
    <s v="10/08/2022"/>
    <x v="0"/>
    <x v="132"/>
    <x v="10"/>
    <x v="4"/>
    <x v="0"/>
    <s v="GANDEPALLI"/>
    <x v="2"/>
    <n v="849"/>
    <n v="250"/>
    <n v="599"/>
    <n v="240"/>
    <n v="359"/>
  </r>
  <r>
    <s v="405-2360273-2213948"/>
    <s v="09/08/2022"/>
    <x v="0"/>
    <x v="126"/>
    <x v="8"/>
    <x v="4"/>
    <x v="0"/>
    <s v="THIRUVANANTHAPURAM"/>
    <x v="9"/>
    <n v="849"/>
    <n v="250"/>
    <n v="599"/>
    <n v="240"/>
    <n v="359"/>
  </r>
  <r>
    <s v="404-3083765-3493142"/>
    <s v="10/08/2022"/>
    <x v="0"/>
    <x v="194"/>
    <x v="10"/>
    <x v="4"/>
    <x v="0"/>
    <s v="VISAKHAPATNAM"/>
    <x v="2"/>
    <n v="849"/>
    <n v="250"/>
    <n v="599"/>
    <n v="240"/>
    <n v="359"/>
  </r>
  <r>
    <s v="405-4148595-8866700"/>
    <s v="10/08/2022"/>
    <x v="0"/>
    <x v="79"/>
    <x v="10"/>
    <x v="4"/>
    <x v="0"/>
    <s v="MUMBAI"/>
    <x v="6"/>
    <n v="899"/>
    <n v="295"/>
    <n v="604"/>
    <n v="240"/>
    <n v="364"/>
  </r>
  <r>
    <s v="404-4947760-0797156"/>
    <s v="03/08/2022"/>
    <x v="3"/>
    <x v="168"/>
    <x v="2"/>
    <x v="4"/>
    <x v="0"/>
    <s v="THIRUVANANTHAPURAM"/>
    <x v="9"/>
    <n v="-799"/>
    <n v="320"/>
    <n v="-479"/>
    <n v="240"/>
    <n v="-239"/>
  </r>
  <r>
    <s v="407-5975599-9541127"/>
    <s v="04/08/2022"/>
    <x v="3"/>
    <x v="164"/>
    <x v="3"/>
    <x v="4"/>
    <x v="0"/>
    <s v="PUNE"/>
    <x v="6"/>
    <n v="-849"/>
    <n v="345"/>
    <n v="-504"/>
    <n v="240"/>
    <n v="-264"/>
  </r>
  <r>
    <s v="402-4581935-9629917"/>
    <s v="08/08/2022"/>
    <x v="3"/>
    <x v="95"/>
    <x v="6"/>
    <x v="4"/>
    <x v="0"/>
    <s v="Shahdara"/>
    <x v="16"/>
    <n v="-899"/>
    <n v="375"/>
    <n v="-524"/>
    <n v="240"/>
    <n v="-284"/>
  </r>
  <r>
    <s v="405-6179384-2694706"/>
    <s v="11/08/2022"/>
    <x v="0"/>
    <x v="75"/>
    <x v="9"/>
    <x v="4"/>
    <x v="0"/>
    <s v="Margao"/>
    <x v="21"/>
    <n v="799"/>
    <n v="205"/>
    <n v="594"/>
    <n v="240"/>
    <n v="354"/>
  </r>
  <r>
    <s v="404-7473731-0843527"/>
    <s v="11/08/2022"/>
    <x v="0"/>
    <x v="165"/>
    <x v="9"/>
    <x v="4"/>
    <x v="0"/>
    <s v="GURUGRAM"/>
    <x v="15"/>
    <n v="799"/>
    <n v="205"/>
    <n v="594"/>
    <n v="240"/>
    <n v="354"/>
  </r>
  <r>
    <s v="405-1171480-7013153"/>
    <s v="11/08/2022"/>
    <x v="0"/>
    <x v="133"/>
    <x v="9"/>
    <x v="4"/>
    <x v="0"/>
    <s v="MORADABAD"/>
    <x v="1"/>
    <n v="799"/>
    <n v="205"/>
    <n v="594"/>
    <n v="240"/>
    <n v="354"/>
  </r>
  <r>
    <s v="404-1466001-4173131"/>
    <s v="11/08/2022"/>
    <x v="0"/>
    <x v="161"/>
    <x v="9"/>
    <x v="4"/>
    <x v="0"/>
    <s v="SHILLONG"/>
    <x v="23"/>
    <n v="799"/>
    <n v="205"/>
    <n v="594"/>
    <n v="240"/>
    <n v="354"/>
  </r>
  <r>
    <s v="402-8244103-3426702"/>
    <s v="11/08/2022"/>
    <x v="0"/>
    <x v="149"/>
    <x v="9"/>
    <x v="4"/>
    <x v="0"/>
    <s v="PUNE"/>
    <x v="6"/>
    <n v="799"/>
    <n v="205"/>
    <n v="594"/>
    <n v="240"/>
    <n v="354"/>
  </r>
  <r>
    <s v="171-9941792-8412311"/>
    <s v="04/08/2022"/>
    <x v="3"/>
    <x v="137"/>
    <x v="3"/>
    <x v="4"/>
    <x v="0"/>
    <s v="Nagpur"/>
    <x v="6"/>
    <n v="-849"/>
    <n v="345"/>
    <n v="-504"/>
    <n v="240"/>
    <n v="-264"/>
  </r>
  <r>
    <s v="407-7453553-4023531"/>
    <s v="10/08/2022"/>
    <x v="3"/>
    <x v="69"/>
    <x v="10"/>
    <x v="4"/>
    <x v="0"/>
    <s v="JAIPUR"/>
    <x v="10"/>
    <n v="-849"/>
    <n v="345"/>
    <n v="-504"/>
    <n v="240"/>
    <n v="-264"/>
  </r>
  <r>
    <s v="171-0429225-4841956"/>
    <s v="09/08/2022"/>
    <x v="3"/>
    <x v="15"/>
    <x v="8"/>
    <x v="4"/>
    <x v="0"/>
    <s v="JAIPUR"/>
    <x v="10"/>
    <n v="-849"/>
    <n v="345"/>
    <n v="-504"/>
    <n v="240"/>
    <n v="-264"/>
  </r>
  <r>
    <s v="403-9433203-1965903"/>
    <s v="12/08/2022"/>
    <x v="0"/>
    <x v="136"/>
    <x v="11"/>
    <x v="4"/>
    <x v="0"/>
    <s v="HYDERABAD"/>
    <x v="8"/>
    <n v="849"/>
    <n v="250"/>
    <n v="599"/>
    <n v="240"/>
    <n v="359"/>
  </r>
  <r>
    <s v="403-5946164-2426737"/>
    <s v="12/08/2022"/>
    <x v="0"/>
    <x v="127"/>
    <x v="11"/>
    <x v="4"/>
    <x v="0"/>
    <s v="HYDERABAD"/>
    <x v="8"/>
    <n v="849"/>
    <n v="250"/>
    <n v="599"/>
    <n v="240"/>
    <n v="359"/>
  </r>
  <r>
    <s v="402-8038317-6899520"/>
    <s v="06/08/2022"/>
    <x v="3"/>
    <x v="15"/>
    <x v="5"/>
    <x v="4"/>
    <x v="0"/>
    <s v="Gurugram"/>
    <x v="15"/>
    <n v="-849"/>
    <n v="345"/>
    <n v="-504"/>
    <n v="240"/>
    <n v="-264"/>
  </r>
  <r>
    <s v="171-6064943-5480368"/>
    <s v="10/08/2022"/>
    <x v="3"/>
    <x v="15"/>
    <x v="10"/>
    <x v="4"/>
    <x v="0"/>
    <s v="KOLKATA"/>
    <x v="18"/>
    <n v="-849"/>
    <n v="345"/>
    <n v="-504"/>
    <n v="240"/>
    <n v="-264"/>
  </r>
  <r>
    <s v="404-7970030-6649920"/>
    <s v="02/08/2022"/>
    <x v="3"/>
    <x v="132"/>
    <x v="1"/>
    <x v="4"/>
    <x v="0"/>
    <s v="Chennai"/>
    <x v="7"/>
    <n v="-849"/>
    <n v="345"/>
    <n v="-504"/>
    <n v="240"/>
    <n v="-264"/>
  </r>
  <r>
    <s v="403-7426512-1364317"/>
    <s v="01/08/2022"/>
    <x v="3"/>
    <x v="75"/>
    <x v="0"/>
    <x v="4"/>
    <x v="0"/>
    <s v="Saphale"/>
    <x v="6"/>
    <n v="-799"/>
    <n v="320"/>
    <n v="-479"/>
    <n v="240"/>
    <n v="-239"/>
  </r>
  <r>
    <s v="408-4755222-9641137"/>
    <s v="08/08/2022"/>
    <x v="3"/>
    <x v="80"/>
    <x v="6"/>
    <x v="4"/>
    <x v="0"/>
    <s v="THODUPUZHA"/>
    <x v="9"/>
    <n v="-899"/>
    <n v="375"/>
    <n v="-524"/>
    <n v="240"/>
    <n v="-284"/>
  </r>
  <r>
    <s v="407-5690038-5923514"/>
    <s v="10/08/2022"/>
    <x v="3"/>
    <x v="123"/>
    <x v="10"/>
    <x v="4"/>
    <x v="0"/>
    <s v="GURUGRAM"/>
    <x v="15"/>
    <n v="-999"/>
    <n v="395"/>
    <n v="-604"/>
    <n v="240"/>
    <n v="-364"/>
  </r>
  <r>
    <s v="171-8199634-3101169"/>
    <s v="04/08/2022"/>
    <x v="3"/>
    <x v="15"/>
    <x v="3"/>
    <x v="4"/>
    <x v="0"/>
    <s v="KOLKATA"/>
    <x v="18"/>
    <n v="-849"/>
    <n v="345"/>
    <n v="-504"/>
    <n v="240"/>
    <n v="-264"/>
  </r>
  <r>
    <s v="407-2592359-9673167"/>
    <s v="14/08/2022"/>
    <x v="0"/>
    <x v="195"/>
    <x v="13"/>
    <x v="4"/>
    <x v="0"/>
    <s v="GUWAHATI"/>
    <x v="4"/>
    <n v="799"/>
    <n v="205"/>
    <n v="594"/>
    <n v="240"/>
    <n v="354"/>
  </r>
  <r>
    <s v="406-1207294-7997946"/>
    <s v="13/08/2022"/>
    <x v="0"/>
    <x v="80"/>
    <x v="12"/>
    <x v="4"/>
    <x v="0"/>
    <s v="PIMPRI CHINCHWAD"/>
    <x v="6"/>
    <n v="899"/>
    <n v="295"/>
    <n v="604"/>
    <n v="240"/>
    <n v="364"/>
  </r>
  <r>
    <s v="407-0204067-6312300"/>
    <s v="13/08/2022"/>
    <x v="0"/>
    <x v="69"/>
    <x v="12"/>
    <x v="4"/>
    <x v="0"/>
    <s v="JAIPUR"/>
    <x v="10"/>
    <n v="849"/>
    <n v="250"/>
    <n v="599"/>
    <n v="240"/>
    <n v="359"/>
  </r>
  <r>
    <s v="171-0956168-8708355"/>
    <s v="14/08/2022"/>
    <x v="0"/>
    <x v="148"/>
    <x v="13"/>
    <x v="4"/>
    <x v="0"/>
    <s v="HYDERABAD"/>
    <x v="8"/>
    <n v="799"/>
    <n v="205"/>
    <n v="594"/>
    <n v="240"/>
    <n v="354"/>
  </r>
  <r>
    <s v="171-0537313-5379504"/>
    <s v="13/08/2022"/>
    <x v="0"/>
    <x v="173"/>
    <x v="12"/>
    <x v="4"/>
    <x v="0"/>
    <s v="JOBNER"/>
    <x v="10"/>
    <n v="799"/>
    <n v="205"/>
    <n v="594"/>
    <n v="240"/>
    <n v="354"/>
  </r>
  <r>
    <s v="402-3020318-5453160"/>
    <s v="14/08/2022"/>
    <x v="0"/>
    <x v="128"/>
    <x v="13"/>
    <x v="4"/>
    <x v="0"/>
    <s v="DELHI"/>
    <x v="16"/>
    <n v="999"/>
    <n v="325"/>
    <n v="674"/>
    <n v="240"/>
    <n v="434"/>
  </r>
  <r>
    <s v="407-3752445-5270709"/>
    <s v="14/08/2022"/>
    <x v="0"/>
    <x v="68"/>
    <x v="13"/>
    <x v="4"/>
    <x v="0"/>
    <s v="RANCHI"/>
    <x v="11"/>
    <n v="799"/>
    <n v="205"/>
    <n v="594"/>
    <n v="240"/>
    <n v="354"/>
  </r>
  <r>
    <s v="404-0630398-4347514"/>
    <s v="14/08/2022"/>
    <x v="0"/>
    <x v="128"/>
    <x v="13"/>
    <x v="4"/>
    <x v="0"/>
    <s v="BENGALURU"/>
    <x v="5"/>
    <n v="999"/>
    <n v="325"/>
    <n v="674"/>
    <n v="240"/>
    <n v="434"/>
  </r>
  <r>
    <s v="405-7677175-2178710"/>
    <s v="13/08/2022"/>
    <x v="0"/>
    <x v="31"/>
    <x v="12"/>
    <x v="4"/>
    <x v="0"/>
    <s v="NOIDA"/>
    <x v="1"/>
    <n v="799"/>
    <n v="205"/>
    <n v="594"/>
    <n v="240"/>
    <n v="354"/>
  </r>
  <r>
    <s v="171-3088786-3817911"/>
    <s v="14/08/2022"/>
    <x v="0"/>
    <x v="169"/>
    <x v="13"/>
    <x v="4"/>
    <x v="0"/>
    <s v="HYDERABAD"/>
    <x v="8"/>
    <n v="799"/>
    <n v="205"/>
    <n v="594"/>
    <n v="240"/>
    <n v="354"/>
  </r>
  <r>
    <s v="406-4201991-5445116"/>
    <s v="15/08/2022"/>
    <x v="0"/>
    <x v="158"/>
    <x v="14"/>
    <x v="4"/>
    <x v="0"/>
    <s v="RAIPUR"/>
    <x v="20"/>
    <n v="849"/>
    <n v="250"/>
    <n v="599"/>
    <n v="240"/>
    <n v="359"/>
  </r>
  <r>
    <s v="407-7991143-4830711"/>
    <s v="16/08/2022"/>
    <x v="0"/>
    <x v="154"/>
    <x v="15"/>
    <x v="4"/>
    <x v="0"/>
    <s v="CHENNAI"/>
    <x v="7"/>
    <n v="799"/>
    <n v="205"/>
    <n v="594"/>
    <n v="240"/>
    <n v="354"/>
  </r>
  <r>
    <s v="406-2187796-3911503"/>
    <s v="15/08/2022"/>
    <x v="0"/>
    <x v="153"/>
    <x v="14"/>
    <x v="4"/>
    <x v="0"/>
    <s v="CHENNAI"/>
    <x v="7"/>
    <n v="799"/>
    <n v="205"/>
    <n v="594"/>
    <n v="240"/>
    <n v="354"/>
  </r>
  <r>
    <s v="405-8602876-9745138"/>
    <s v="08/08/2022"/>
    <x v="3"/>
    <x v="15"/>
    <x v="6"/>
    <x v="4"/>
    <x v="0"/>
    <s v="GURUGRAM"/>
    <x v="15"/>
    <n v="-849"/>
    <n v="345"/>
    <n v="-504"/>
    <n v="240"/>
    <n v="-264"/>
  </r>
  <r>
    <s v="408-3328468-4729913"/>
    <s v="07/08/2022"/>
    <x v="3"/>
    <x v="109"/>
    <x v="7"/>
    <x v="4"/>
    <x v="0"/>
    <s v="BENGALURU"/>
    <x v="5"/>
    <n v="-799"/>
    <n v="320"/>
    <n v="-479"/>
    <n v="240"/>
    <n v="-239"/>
  </r>
  <r>
    <s v="406-2187796-3911503"/>
    <s v="15/08/2022"/>
    <x v="3"/>
    <x v="153"/>
    <x v="14"/>
    <x v="4"/>
    <x v="0"/>
    <s v="CHENNAI"/>
    <x v="7"/>
    <n v="-799"/>
    <n v="320"/>
    <n v="-479"/>
    <n v="240"/>
    <n v="-239"/>
  </r>
  <r>
    <s v="171-2232176-1464359"/>
    <s v="06/08/2022"/>
    <x v="3"/>
    <x v="127"/>
    <x v="5"/>
    <x v="4"/>
    <x v="0"/>
    <s v="SURAT"/>
    <x v="3"/>
    <n v="-849"/>
    <n v="345"/>
    <n v="-504"/>
    <n v="240"/>
    <n v="-264"/>
  </r>
  <r>
    <s v="403-9441862-6353916"/>
    <s v="17/08/2022"/>
    <x v="0"/>
    <x v="164"/>
    <x v="16"/>
    <x v="4"/>
    <x v="0"/>
    <s v="madurai"/>
    <x v="7"/>
    <n v="849"/>
    <n v="250"/>
    <n v="599"/>
    <n v="240"/>
    <n v="359"/>
  </r>
  <r>
    <s v="403-6914174-1263551"/>
    <s v="17/08/2022"/>
    <x v="0"/>
    <x v="80"/>
    <x v="16"/>
    <x v="4"/>
    <x v="0"/>
    <s v="THODUPUZHA"/>
    <x v="9"/>
    <n v="899"/>
    <n v="295"/>
    <n v="604"/>
    <n v="240"/>
    <n v="364"/>
  </r>
  <r>
    <s v="171-8168391-0823556"/>
    <s v="16/08/2022"/>
    <x v="0"/>
    <x v="133"/>
    <x v="15"/>
    <x v="4"/>
    <x v="0"/>
    <s v="Bidadi  Ramnagar Taluk District"/>
    <x v="5"/>
    <n v="799"/>
    <n v="205"/>
    <n v="594"/>
    <n v="240"/>
    <n v="354"/>
  </r>
  <r>
    <s v="408-8747355-0217904"/>
    <s v="17/08/2022"/>
    <x v="0"/>
    <x v="196"/>
    <x v="16"/>
    <x v="4"/>
    <x v="0"/>
    <s v="PUNE"/>
    <x v="6"/>
    <n v="799"/>
    <n v="205"/>
    <n v="594"/>
    <n v="240"/>
    <n v="354"/>
  </r>
  <r>
    <s v="407-9104447-6209112"/>
    <s v="17/08/2022"/>
    <x v="0"/>
    <x v="148"/>
    <x v="16"/>
    <x v="4"/>
    <x v="0"/>
    <s v="TIRUCHEGODE"/>
    <x v="7"/>
    <n v="799"/>
    <n v="205"/>
    <n v="594"/>
    <n v="240"/>
    <n v="354"/>
  </r>
  <r>
    <s v="408-5154392-4841153"/>
    <s v="16/08/2022"/>
    <x v="0"/>
    <x v="15"/>
    <x v="15"/>
    <x v="4"/>
    <x v="0"/>
    <s v="MANGALURU"/>
    <x v="5"/>
    <n v="849"/>
    <n v="250"/>
    <n v="599"/>
    <n v="240"/>
    <n v="359"/>
  </r>
  <r>
    <s v="171-0032947-2347528"/>
    <s v="03/08/2022"/>
    <x v="3"/>
    <x v="147"/>
    <x v="2"/>
    <x v="4"/>
    <x v="0"/>
    <s v="HYDERABAD"/>
    <x v="8"/>
    <n v="-799"/>
    <n v="320"/>
    <n v="-479"/>
    <n v="240"/>
    <n v="-239"/>
  </r>
  <r>
    <s v="171-0537313-5379504"/>
    <s v="13/08/2022"/>
    <x v="3"/>
    <x v="173"/>
    <x v="12"/>
    <x v="4"/>
    <x v="0"/>
    <s v="JOBNER"/>
    <x v="10"/>
    <n v="-799"/>
    <n v="320"/>
    <n v="-479"/>
    <n v="240"/>
    <n v="-239"/>
  </r>
  <r>
    <s v="404-2775908-6261969"/>
    <s v="17/08/2022"/>
    <x v="0"/>
    <x v="158"/>
    <x v="16"/>
    <x v="4"/>
    <x v="0"/>
    <s v="SRIPERUMBUDUR"/>
    <x v="7"/>
    <n v="849"/>
    <n v="250"/>
    <n v="599"/>
    <n v="240"/>
    <n v="359"/>
  </r>
  <r>
    <s v="404-5062248-6932337"/>
    <s v="18/08/2022"/>
    <x v="0"/>
    <x v="197"/>
    <x v="18"/>
    <x v="4"/>
    <x v="0"/>
    <s v="HIMMATNAGAR"/>
    <x v="3"/>
    <n v="849"/>
    <n v="250"/>
    <n v="599"/>
    <n v="240"/>
    <n v="359"/>
  </r>
  <r>
    <s v="404-8464890-6968356"/>
    <s v="18/08/2022"/>
    <x v="0"/>
    <x v="15"/>
    <x v="18"/>
    <x v="4"/>
    <x v="0"/>
    <s v="NEW DELHI"/>
    <x v="16"/>
    <n v="849"/>
    <n v="250"/>
    <n v="599"/>
    <n v="240"/>
    <n v="359"/>
  </r>
  <r>
    <s v="408-6787555-1515516"/>
    <s v="18/08/2022"/>
    <x v="1"/>
    <x v="69"/>
    <x v="18"/>
    <x v="4"/>
    <x v="0"/>
    <s v="NOIDA"/>
    <x v="1"/>
    <n v="0"/>
    <n v="0"/>
    <n v="0"/>
    <n v="0"/>
    <n v="0"/>
  </r>
  <r>
    <s v="171-3945978-3140321"/>
    <s v="18/08/2022"/>
    <x v="0"/>
    <x v="148"/>
    <x v="18"/>
    <x v="4"/>
    <x v="0"/>
    <s v="FIROZPUR"/>
    <x v="26"/>
    <n v="799"/>
    <n v="205"/>
    <n v="594"/>
    <n v="240"/>
    <n v="354"/>
  </r>
  <r>
    <s v="402-3020318-5453160"/>
    <s v="14/08/2022"/>
    <x v="3"/>
    <x v="128"/>
    <x v="13"/>
    <x v="4"/>
    <x v="0"/>
    <s v="DELHI"/>
    <x v="16"/>
    <n v="-999"/>
    <n v="395"/>
    <n v="-604"/>
    <n v="240"/>
    <n v="-364"/>
  </r>
  <r>
    <s v="405-5044625-8393157"/>
    <s v="19/08/2022"/>
    <x v="0"/>
    <x v="145"/>
    <x v="17"/>
    <x v="4"/>
    <x v="0"/>
    <s v="BENGALURU"/>
    <x v="5"/>
    <n v="799"/>
    <n v="205"/>
    <n v="594"/>
    <n v="240"/>
    <n v="354"/>
  </r>
  <r>
    <s v="171-7824964-6511554"/>
    <s v="19/08/2022"/>
    <x v="0"/>
    <x v="168"/>
    <x v="17"/>
    <x v="4"/>
    <x v="0"/>
    <s v="THANE"/>
    <x v="6"/>
    <n v="799"/>
    <n v="205"/>
    <n v="594"/>
    <n v="240"/>
    <n v="354"/>
  </r>
  <r>
    <s v="171-4960074-4861962"/>
    <s v="19/08/2022"/>
    <x v="0"/>
    <x v="119"/>
    <x v="17"/>
    <x v="4"/>
    <x v="0"/>
    <s v="VISAKHAPATNAM"/>
    <x v="2"/>
    <n v="799"/>
    <n v="205"/>
    <n v="594"/>
    <n v="240"/>
    <n v="354"/>
  </r>
  <r>
    <s v="405-5727068-8453108"/>
    <s v="19/08/2022"/>
    <x v="0"/>
    <x v="153"/>
    <x v="17"/>
    <x v="4"/>
    <x v="0"/>
    <s v="raipur"/>
    <x v="20"/>
    <n v="799"/>
    <n v="205"/>
    <n v="594"/>
    <n v="240"/>
    <n v="354"/>
  </r>
  <r>
    <s v="407-0204067-6312300"/>
    <s v="13/08/2022"/>
    <x v="3"/>
    <x v="69"/>
    <x v="12"/>
    <x v="4"/>
    <x v="0"/>
    <s v="JAIPUR"/>
    <x v="10"/>
    <n v="-849"/>
    <n v="345"/>
    <n v="-504"/>
    <n v="240"/>
    <n v="-264"/>
  </r>
  <r>
    <s v="171-3010127-6818737"/>
    <s v="03/08/2022"/>
    <x v="3"/>
    <x v="133"/>
    <x v="2"/>
    <x v="4"/>
    <x v="0"/>
    <s v="HASSAN"/>
    <x v="5"/>
    <n v="-799"/>
    <n v="320"/>
    <n v="-479"/>
    <n v="240"/>
    <n v="-239"/>
  </r>
  <r>
    <s v="406-9740903-9354715"/>
    <s v="08/08/2022"/>
    <x v="3"/>
    <x v="15"/>
    <x v="6"/>
    <x v="4"/>
    <x v="0"/>
    <s v="NEW DELHI"/>
    <x v="16"/>
    <n v="-849"/>
    <n v="345"/>
    <n v="-504"/>
    <n v="240"/>
    <n v="-264"/>
  </r>
  <r>
    <s v="408-4553666-4816342"/>
    <s v="03/08/2022"/>
    <x v="3"/>
    <x v="15"/>
    <x v="2"/>
    <x v="4"/>
    <x v="0"/>
    <s v="SRIKAKULAM"/>
    <x v="2"/>
    <n v="-849"/>
    <n v="345"/>
    <n v="-504"/>
    <n v="240"/>
    <n v="-264"/>
  </r>
  <r>
    <s v="171-2073582-5582743"/>
    <s v="03/08/2022"/>
    <x v="3"/>
    <x v="164"/>
    <x v="2"/>
    <x v="4"/>
    <x v="0"/>
    <s v="KOLKATA"/>
    <x v="18"/>
    <n v="-849"/>
    <n v="345"/>
    <n v="-504"/>
    <n v="240"/>
    <n v="-264"/>
  </r>
  <r>
    <s v="406-8161576-8753966"/>
    <s v="22/08/2022"/>
    <x v="2"/>
    <x v="15"/>
    <x v="21"/>
    <x v="4"/>
    <x v="0"/>
    <s v="SURAT"/>
    <x v="3"/>
    <n v="0"/>
    <n v="0"/>
    <n v="0"/>
    <n v="0"/>
    <n v="0"/>
  </r>
  <r>
    <s v="171-5935701-8987523"/>
    <s v="20/08/2022"/>
    <x v="0"/>
    <x v="12"/>
    <x v="19"/>
    <x v="4"/>
    <x v="0"/>
    <s v="SATARA"/>
    <x v="6"/>
    <n v="849"/>
    <n v="250"/>
    <n v="599"/>
    <n v="240"/>
    <n v="359"/>
  </r>
  <r>
    <s v="171-6098045-1777117"/>
    <s v="20/08/2022"/>
    <x v="0"/>
    <x v="126"/>
    <x v="19"/>
    <x v="4"/>
    <x v="0"/>
    <s v="Madakasira"/>
    <x v="2"/>
    <n v="849"/>
    <n v="250"/>
    <n v="599"/>
    <n v="240"/>
    <n v="359"/>
  </r>
  <r>
    <s v="403-5065535-9806720"/>
    <s v="21/08/2022"/>
    <x v="0"/>
    <x v="154"/>
    <x v="20"/>
    <x v="4"/>
    <x v="0"/>
    <s v="RANCHI"/>
    <x v="11"/>
    <n v="799"/>
    <n v="205"/>
    <n v="594"/>
    <n v="240"/>
    <n v="354"/>
  </r>
  <r>
    <s v="406-7912044-6371506"/>
    <s v="20/08/2022"/>
    <x v="0"/>
    <x v="81"/>
    <x v="19"/>
    <x v="4"/>
    <x v="0"/>
    <s v="VADODARA"/>
    <x v="3"/>
    <n v="799"/>
    <n v="205"/>
    <n v="594"/>
    <n v="240"/>
    <n v="354"/>
  </r>
  <r>
    <s v="407-6137861-1244335"/>
    <s v="21/08/2022"/>
    <x v="0"/>
    <x v="88"/>
    <x v="20"/>
    <x v="4"/>
    <x v="0"/>
    <s v="Muktsar"/>
    <x v="26"/>
    <n v="899"/>
    <n v="295"/>
    <n v="604"/>
    <n v="240"/>
    <n v="364"/>
  </r>
  <r>
    <s v="405-2501002-3889102"/>
    <s v="21/08/2022"/>
    <x v="0"/>
    <x v="198"/>
    <x v="20"/>
    <x v="4"/>
    <x v="0"/>
    <s v="HYDERABAD"/>
    <x v="8"/>
    <n v="799"/>
    <n v="205"/>
    <n v="594"/>
    <n v="240"/>
    <n v="354"/>
  </r>
  <r>
    <s v="408-9774907-6601953"/>
    <s v="20/08/2022"/>
    <x v="0"/>
    <x v="189"/>
    <x v="19"/>
    <x v="4"/>
    <x v="0"/>
    <s v="Yavatmal"/>
    <x v="6"/>
    <n v="799"/>
    <n v="205"/>
    <n v="594"/>
    <n v="240"/>
    <n v="354"/>
  </r>
  <r>
    <s v="403-6932361-4545967"/>
    <s v="21/08/2022"/>
    <x v="0"/>
    <x v="15"/>
    <x v="20"/>
    <x v="4"/>
    <x v="0"/>
    <s v="PALAKKADPALAKKAD"/>
    <x v="9"/>
    <n v="849"/>
    <n v="250"/>
    <n v="599"/>
    <n v="240"/>
    <n v="359"/>
  </r>
  <r>
    <s v="404-8180506-8060334"/>
    <s v="20/08/2022"/>
    <x v="0"/>
    <x v="12"/>
    <x v="19"/>
    <x v="4"/>
    <x v="0"/>
    <s v="Chandili"/>
    <x v="14"/>
    <n v="849"/>
    <n v="250"/>
    <n v="599"/>
    <n v="240"/>
    <n v="359"/>
  </r>
  <r>
    <s v="171-2744155-7798744"/>
    <s v="20/08/2022"/>
    <x v="0"/>
    <x v="168"/>
    <x v="19"/>
    <x v="4"/>
    <x v="0"/>
    <s v="Ottappalam"/>
    <x v="9"/>
    <n v="799"/>
    <n v="205"/>
    <n v="594"/>
    <n v="240"/>
    <n v="354"/>
  </r>
  <r>
    <s v="404-5321658-0297914"/>
    <s v="20/08/2022"/>
    <x v="0"/>
    <x v="156"/>
    <x v="19"/>
    <x v="4"/>
    <x v="0"/>
    <s v="VISAKHAPATNAM"/>
    <x v="2"/>
    <n v="799"/>
    <n v="205"/>
    <n v="594"/>
    <n v="240"/>
    <n v="354"/>
  </r>
  <r>
    <s v="402-6439000-2865148"/>
    <s v="21/08/2022"/>
    <x v="0"/>
    <x v="134"/>
    <x v="20"/>
    <x v="4"/>
    <x v="0"/>
    <s v="DELHI"/>
    <x v="16"/>
    <n v="849"/>
    <n v="250"/>
    <n v="599"/>
    <n v="240"/>
    <n v="359"/>
  </r>
  <r>
    <s v="408-2068185-3718707"/>
    <s v="21/08/2022"/>
    <x v="1"/>
    <x v="199"/>
    <x v="20"/>
    <x v="4"/>
    <x v="0"/>
    <s v="PUNE"/>
    <x v="6"/>
    <n v="0"/>
    <n v="0"/>
    <n v="0"/>
    <n v="0"/>
    <n v="0"/>
  </r>
  <r>
    <s v="405-6885947-7319512"/>
    <s v="21/08/2022"/>
    <x v="0"/>
    <x v="200"/>
    <x v="20"/>
    <x v="4"/>
    <x v="0"/>
    <s v="MUMBAI"/>
    <x v="6"/>
    <n v="999"/>
    <n v="325"/>
    <n v="674"/>
    <n v="240"/>
    <n v="434"/>
  </r>
  <r>
    <s v="171-9586860-2187535"/>
    <s v="21/08/2022"/>
    <x v="0"/>
    <x v="161"/>
    <x v="20"/>
    <x v="4"/>
    <x v="0"/>
    <s v="KOTA"/>
    <x v="10"/>
    <n v="799"/>
    <n v="205"/>
    <n v="594"/>
    <n v="240"/>
    <n v="354"/>
  </r>
  <r>
    <s v="407-1610896-3550727"/>
    <s v="21/08/2022"/>
    <x v="0"/>
    <x v="146"/>
    <x v="20"/>
    <x v="4"/>
    <x v="0"/>
    <s v="RANCHI"/>
    <x v="11"/>
    <n v="799"/>
    <n v="205"/>
    <n v="594"/>
    <n v="240"/>
    <n v="354"/>
  </r>
  <r>
    <s v="403-8401478-3613934"/>
    <s v="21/08/2022"/>
    <x v="0"/>
    <x v="190"/>
    <x v="20"/>
    <x v="4"/>
    <x v="0"/>
    <s v="WARANGAL"/>
    <x v="8"/>
    <n v="799"/>
    <n v="205"/>
    <n v="594"/>
    <n v="240"/>
    <n v="354"/>
  </r>
  <r>
    <s v="402-2167536-5193156"/>
    <s v="21/08/2022"/>
    <x v="0"/>
    <x v="194"/>
    <x v="20"/>
    <x v="4"/>
    <x v="0"/>
    <s v="GUNTUR"/>
    <x v="2"/>
    <n v="849"/>
    <n v="250"/>
    <n v="599"/>
    <n v="240"/>
    <n v="359"/>
  </r>
  <r>
    <s v="406-6834984-5193144"/>
    <s v="21/08/2022"/>
    <x v="0"/>
    <x v="15"/>
    <x v="20"/>
    <x v="4"/>
    <x v="0"/>
    <s v="LALKUAN"/>
    <x v="24"/>
    <n v="849"/>
    <n v="250"/>
    <n v="599"/>
    <n v="240"/>
    <n v="359"/>
  </r>
  <r>
    <s v="405-8755243-4454759"/>
    <s v="20/08/2022"/>
    <x v="0"/>
    <x v="201"/>
    <x v="19"/>
    <x v="4"/>
    <x v="0"/>
    <s v="KHAMMAM"/>
    <x v="8"/>
    <n v="799"/>
    <n v="205"/>
    <n v="594"/>
    <n v="240"/>
    <n v="354"/>
  </r>
  <r>
    <s v="404-2034517-2570730"/>
    <s v="22/08/2022"/>
    <x v="0"/>
    <x v="15"/>
    <x v="21"/>
    <x v="4"/>
    <x v="0"/>
    <s v="Kolkata"/>
    <x v="18"/>
    <n v="849"/>
    <n v="250"/>
    <n v="599"/>
    <n v="240"/>
    <n v="359"/>
  </r>
  <r>
    <s v="171-6321078-3072348"/>
    <s v="22/08/2022"/>
    <x v="0"/>
    <x v="156"/>
    <x v="21"/>
    <x v="4"/>
    <x v="0"/>
    <s v="LAWNGTLAI"/>
    <x v="28"/>
    <n v="799"/>
    <n v="205"/>
    <n v="594"/>
    <n v="240"/>
    <n v="354"/>
  </r>
  <r>
    <s v="171-7145717-6713910"/>
    <s v="22/08/2022"/>
    <x v="0"/>
    <x v="132"/>
    <x v="21"/>
    <x v="4"/>
    <x v="0"/>
    <s v="DINDIGUL"/>
    <x v="7"/>
    <n v="849"/>
    <n v="250"/>
    <n v="599"/>
    <n v="240"/>
    <n v="359"/>
  </r>
  <r>
    <s v="406-2786335-1021117"/>
    <s v="22/08/2022"/>
    <x v="0"/>
    <x v="133"/>
    <x v="21"/>
    <x v="4"/>
    <x v="0"/>
    <s v="JUTOGH"/>
    <x v="22"/>
    <n v="799"/>
    <n v="205"/>
    <n v="594"/>
    <n v="240"/>
    <n v="354"/>
  </r>
  <r>
    <s v="404-3719087-9207542"/>
    <s v="22/08/2022"/>
    <x v="0"/>
    <x v="15"/>
    <x v="21"/>
    <x v="4"/>
    <x v="0"/>
    <s v="SURAT"/>
    <x v="3"/>
    <n v="849"/>
    <n v="250"/>
    <n v="599"/>
    <n v="240"/>
    <n v="359"/>
  </r>
  <r>
    <s v="403-1124156-9957168"/>
    <s v="22/08/2022"/>
    <x v="0"/>
    <x v="75"/>
    <x v="21"/>
    <x v="4"/>
    <x v="0"/>
    <s v="NEW DELHI"/>
    <x v="16"/>
    <n v="799"/>
    <n v="205"/>
    <n v="594"/>
    <n v="240"/>
    <n v="354"/>
  </r>
  <r>
    <s v="406-8161576-8753966"/>
    <s v="22/08/2022"/>
    <x v="0"/>
    <x v="15"/>
    <x v="21"/>
    <x v="4"/>
    <x v="0"/>
    <s v="SURAT"/>
    <x v="3"/>
    <n v="849"/>
    <n v="250"/>
    <n v="599"/>
    <n v="240"/>
    <n v="359"/>
  </r>
  <r>
    <s v="408-2122026-4704351"/>
    <s v="23/08/2022"/>
    <x v="0"/>
    <x v="202"/>
    <x v="23"/>
    <x v="4"/>
    <x v="0"/>
    <s v="THIRUVANANTHAPURAM"/>
    <x v="9"/>
    <n v="999"/>
    <n v="325"/>
    <n v="674"/>
    <n v="240"/>
    <n v="434"/>
  </r>
  <r>
    <s v="402-4648202-5615540"/>
    <s v="23/08/2022"/>
    <x v="0"/>
    <x v="202"/>
    <x v="23"/>
    <x v="4"/>
    <x v="0"/>
    <s v="MADURAI"/>
    <x v="7"/>
    <n v="999"/>
    <n v="325"/>
    <n v="674"/>
    <n v="240"/>
    <n v="434"/>
  </r>
  <r>
    <s v="406-9684523-7721928"/>
    <s v="23/08/2022"/>
    <x v="0"/>
    <x v="203"/>
    <x v="23"/>
    <x v="4"/>
    <x v="0"/>
    <s v="THANJAVUR"/>
    <x v="7"/>
    <n v="799"/>
    <n v="205"/>
    <n v="594"/>
    <n v="240"/>
    <n v="354"/>
  </r>
  <r>
    <s v="407-2651211-5646715"/>
    <s v="23/08/2022"/>
    <x v="0"/>
    <x v="44"/>
    <x v="23"/>
    <x v="4"/>
    <x v="0"/>
    <s v="NASHIK"/>
    <x v="6"/>
    <n v="899"/>
    <n v="295"/>
    <n v="604"/>
    <n v="240"/>
    <n v="364"/>
  </r>
  <r>
    <s v="406-1621660-7989932"/>
    <s v="23/08/2022"/>
    <x v="0"/>
    <x v="15"/>
    <x v="23"/>
    <x v="4"/>
    <x v="0"/>
    <s v="JALANDHAR"/>
    <x v="26"/>
    <n v="849"/>
    <n v="250"/>
    <n v="599"/>
    <n v="240"/>
    <n v="359"/>
  </r>
  <r>
    <s v="407-7991143-4830711"/>
    <s v="16/08/2022"/>
    <x v="3"/>
    <x v="154"/>
    <x v="15"/>
    <x v="4"/>
    <x v="0"/>
    <s v="CHENNAI"/>
    <x v="7"/>
    <n v="-799"/>
    <n v="320"/>
    <n v="-479"/>
    <n v="240"/>
    <n v="-239"/>
  </r>
  <r>
    <s v="404-8046979-2288359"/>
    <s v="24/08/2022"/>
    <x v="0"/>
    <x v="95"/>
    <x v="22"/>
    <x v="4"/>
    <x v="0"/>
    <s v="BANGALORE"/>
    <x v="5"/>
    <n v="899"/>
    <n v="295"/>
    <n v="604"/>
    <n v="240"/>
    <n v="364"/>
  </r>
  <r>
    <s v="408-0773577-4290739"/>
    <s v="24/08/2022"/>
    <x v="0"/>
    <x v="15"/>
    <x v="22"/>
    <x v="4"/>
    <x v="0"/>
    <s v="MAHESANA"/>
    <x v="3"/>
    <n v="849"/>
    <n v="250"/>
    <n v="599"/>
    <n v="240"/>
    <n v="359"/>
  </r>
  <r>
    <s v="405-7357817-1640322"/>
    <s v="24/08/2022"/>
    <x v="0"/>
    <x v="124"/>
    <x v="22"/>
    <x v="4"/>
    <x v="0"/>
    <s v="CHENNAI"/>
    <x v="7"/>
    <n v="999"/>
    <n v="325"/>
    <n v="674"/>
    <n v="240"/>
    <n v="434"/>
  </r>
  <r>
    <s v="404-9260349-8229918"/>
    <s v="24/08/2022"/>
    <x v="0"/>
    <x v="115"/>
    <x v="22"/>
    <x v="4"/>
    <x v="0"/>
    <s v="THRISSUR"/>
    <x v="9"/>
    <n v="799"/>
    <n v="205"/>
    <n v="594"/>
    <n v="240"/>
    <n v="354"/>
  </r>
  <r>
    <s v="405-3474664-8590752"/>
    <s v="25/08/2022"/>
    <x v="0"/>
    <x v="155"/>
    <x v="24"/>
    <x v="4"/>
    <x v="0"/>
    <s v="PUDUCHERRY"/>
    <x v="27"/>
    <n v="849"/>
    <n v="250"/>
    <n v="599"/>
    <n v="240"/>
    <n v="359"/>
  </r>
  <r>
    <s v="402-1374623-9921152"/>
    <s v="25/08/2022"/>
    <x v="0"/>
    <x v="164"/>
    <x v="24"/>
    <x v="4"/>
    <x v="0"/>
    <s v="VELLORE"/>
    <x v="7"/>
    <n v="849"/>
    <n v="250"/>
    <n v="599"/>
    <n v="240"/>
    <n v="359"/>
  </r>
  <r>
    <s v="402-9294954-3425967"/>
    <s v="25/08/2022"/>
    <x v="0"/>
    <x v="124"/>
    <x v="24"/>
    <x v="4"/>
    <x v="0"/>
    <s v="Tallarevu"/>
    <x v="2"/>
    <n v="999"/>
    <n v="325"/>
    <n v="674"/>
    <n v="240"/>
    <n v="434"/>
  </r>
  <r>
    <s v="402-7888367-6893135"/>
    <s v="25/08/2022"/>
    <x v="0"/>
    <x v="68"/>
    <x v="24"/>
    <x v="4"/>
    <x v="0"/>
    <s v="QUEPEM"/>
    <x v="21"/>
    <n v="799"/>
    <n v="205"/>
    <n v="594"/>
    <n v="240"/>
    <n v="354"/>
  </r>
  <r>
    <s v="171-0616186-9711528"/>
    <s v="25/08/2022"/>
    <x v="0"/>
    <x v="148"/>
    <x v="24"/>
    <x v="4"/>
    <x v="0"/>
    <s v="PALEJ"/>
    <x v="3"/>
    <n v="799"/>
    <n v="205"/>
    <n v="594"/>
    <n v="240"/>
    <n v="354"/>
  </r>
  <r>
    <s v="403-7452164-0713162"/>
    <s v="25/08/2022"/>
    <x v="0"/>
    <x v="201"/>
    <x v="24"/>
    <x v="4"/>
    <x v="0"/>
    <s v="AMRITSAR"/>
    <x v="26"/>
    <n v="799"/>
    <n v="205"/>
    <n v="594"/>
    <n v="240"/>
    <n v="354"/>
  </r>
  <r>
    <s v="406-6834984-5193144"/>
    <s v="21/08/2022"/>
    <x v="3"/>
    <x v="15"/>
    <x v="20"/>
    <x v="4"/>
    <x v="0"/>
    <s v="LALKUAN"/>
    <x v="24"/>
    <n v="-849"/>
    <n v="345"/>
    <n v="-504"/>
    <n v="240"/>
    <n v="-264"/>
  </r>
  <r>
    <s v="171-3226929-1220300"/>
    <s v="26/08/2022"/>
    <x v="2"/>
    <x v="140"/>
    <x v="25"/>
    <x v="4"/>
    <x v="0"/>
    <s v="New Town"/>
    <x v="18"/>
    <n v="0"/>
    <n v="0"/>
    <n v="0"/>
    <n v="0"/>
    <n v="0"/>
  </r>
  <r>
    <s v="403-7676525-7109951"/>
    <s v="26/08/2022"/>
    <x v="2"/>
    <x v="134"/>
    <x v="25"/>
    <x v="4"/>
    <x v="0"/>
    <s v="NEW DELHI"/>
    <x v="16"/>
    <n v="0"/>
    <n v="0"/>
    <n v="0"/>
    <n v="0"/>
    <n v="0"/>
  </r>
  <r>
    <s v="403-1024111-3657951"/>
    <s v="26/08/2022"/>
    <x v="0"/>
    <x v="123"/>
    <x v="25"/>
    <x v="4"/>
    <x v="0"/>
    <s v="ALAPPUZHA"/>
    <x v="9"/>
    <n v="999"/>
    <n v="325"/>
    <n v="674"/>
    <n v="240"/>
    <n v="434"/>
  </r>
  <r>
    <s v="406-4432688-2285957"/>
    <s v="26/08/2022"/>
    <x v="0"/>
    <x v="204"/>
    <x v="25"/>
    <x v="4"/>
    <x v="0"/>
    <s v="KUMILY"/>
    <x v="9"/>
    <n v="799"/>
    <n v="205"/>
    <n v="594"/>
    <n v="240"/>
    <n v="354"/>
  </r>
  <r>
    <s v="407-5880781-1901153"/>
    <s v="26/08/2022"/>
    <x v="0"/>
    <x v="98"/>
    <x v="25"/>
    <x v="4"/>
    <x v="0"/>
    <s v="Muktsar"/>
    <x v="26"/>
    <n v="899"/>
    <n v="295"/>
    <n v="604"/>
    <n v="240"/>
    <n v="364"/>
  </r>
  <r>
    <s v="408-8015812-4924352"/>
    <s v="26/08/2022"/>
    <x v="0"/>
    <x v="127"/>
    <x v="25"/>
    <x v="4"/>
    <x v="0"/>
    <s v="SATNA"/>
    <x v="13"/>
    <n v="849"/>
    <n v="250"/>
    <n v="599"/>
    <n v="240"/>
    <n v="359"/>
  </r>
  <r>
    <s v="402-0742408-2370736"/>
    <s v="26/08/2022"/>
    <x v="0"/>
    <x v="15"/>
    <x v="25"/>
    <x v="4"/>
    <x v="0"/>
    <s v="KARUR"/>
    <x v="7"/>
    <n v="849"/>
    <n v="250"/>
    <n v="599"/>
    <n v="240"/>
    <n v="359"/>
  </r>
  <r>
    <s v="403-7676525-7109951"/>
    <s v="27/08/2022"/>
    <x v="0"/>
    <x v="134"/>
    <x v="26"/>
    <x v="4"/>
    <x v="0"/>
    <s v="NEW DELHI"/>
    <x v="16"/>
    <n v="849"/>
    <n v="250"/>
    <n v="599"/>
    <n v="240"/>
    <n v="359"/>
  </r>
  <r>
    <s v="403-5691495-0421945"/>
    <s v="26/08/2022"/>
    <x v="0"/>
    <x v="205"/>
    <x v="25"/>
    <x v="4"/>
    <x v="0"/>
    <s v="WARANGAL"/>
    <x v="8"/>
    <n v="799"/>
    <n v="205"/>
    <n v="594"/>
    <n v="240"/>
    <n v="354"/>
  </r>
  <r>
    <s v="408-9774907-6601953"/>
    <s v="20/08/2022"/>
    <x v="3"/>
    <x v="189"/>
    <x v="19"/>
    <x v="4"/>
    <x v="0"/>
    <s v="Yavatmal"/>
    <x v="6"/>
    <n v="-799"/>
    <n v="320"/>
    <n v="-479"/>
    <n v="240"/>
    <n v="-239"/>
  </r>
  <r>
    <s v="402-1023357-4085958"/>
    <s v="01/08/2022"/>
    <x v="3"/>
    <x v="88"/>
    <x v="0"/>
    <x v="4"/>
    <x v="0"/>
    <s v="GYANPUR"/>
    <x v="1"/>
    <n v="-899"/>
    <n v="375"/>
    <n v="-524"/>
    <n v="240"/>
    <n v="-284"/>
  </r>
  <r>
    <s v="171-6048099-6269132"/>
    <s v="28/08/2022"/>
    <x v="2"/>
    <x v="172"/>
    <x v="27"/>
    <x v="4"/>
    <x v="0"/>
    <s v="KADAYANALLUR"/>
    <x v="7"/>
    <n v="0"/>
    <n v="0"/>
    <n v="0"/>
    <n v="0"/>
    <n v="0"/>
  </r>
  <r>
    <s v="404-2034517-2570730"/>
    <s v="22/08/2022"/>
    <x v="3"/>
    <x v="15"/>
    <x v="21"/>
    <x v="4"/>
    <x v="0"/>
    <s v="Kolkata"/>
    <x v="18"/>
    <n v="-849"/>
    <n v="345"/>
    <n v="-504"/>
    <n v="240"/>
    <n v="-264"/>
  </r>
  <r>
    <s v="408-3836486-3853164"/>
    <s v="28/08/2022"/>
    <x v="0"/>
    <x v="127"/>
    <x v="27"/>
    <x v="4"/>
    <x v="0"/>
    <s v="Konavattam  vellore"/>
    <x v="7"/>
    <n v="849"/>
    <n v="250"/>
    <n v="599"/>
    <n v="240"/>
    <n v="359"/>
  </r>
  <r>
    <s v="408-0781553-4901923"/>
    <s v="26/08/2022"/>
    <x v="1"/>
    <x v="202"/>
    <x v="25"/>
    <x v="4"/>
    <x v="0"/>
    <s v="MUMBAI"/>
    <x v="6"/>
    <n v="0"/>
    <n v="0"/>
    <n v="0"/>
    <n v="0"/>
    <n v="0"/>
  </r>
  <r>
    <s v="408-0704524-6950700"/>
    <s v="27/08/2022"/>
    <x v="0"/>
    <x v="206"/>
    <x v="26"/>
    <x v="4"/>
    <x v="0"/>
    <s v="ARANI TIRUVANNAMALAI DISTRICT"/>
    <x v="7"/>
    <n v="899"/>
    <n v="295"/>
    <n v="604"/>
    <n v="240"/>
    <n v="364"/>
  </r>
  <r>
    <s v="407-9582155-8450707"/>
    <s v="27/08/2022"/>
    <x v="0"/>
    <x v="15"/>
    <x v="26"/>
    <x v="4"/>
    <x v="0"/>
    <s v="MUMBAI"/>
    <x v="6"/>
    <n v="849"/>
    <n v="250"/>
    <n v="599"/>
    <n v="240"/>
    <n v="359"/>
  </r>
  <r>
    <s v="406-4105944-9562765"/>
    <s v="26/08/2022"/>
    <x v="0"/>
    <x v="207"/>
    <x v="25"/>
    <x v="4"/>
    <x v="0"/>
    <s v="Yavatmal"/>
    <x v="6"/>
    <n v="799"/>
    <n v="205"/>
    <n v="594"/>
    <n v="240"/>
    <n v="354"/>
  </r>
  <r>
    <s v="405-8000254-2108353"/>
    <s v="28/08/2022"/>
    <x v="0"/>
    <x v="25"/>
    <x v="27"/>
    <x v="4"/>
    <x v="0"/>
    <s v="KHERLI"/>
    <x v="10"/>
    <n v="799"/>
    <n v="205"/>
    <n v="594"/>
    <n v="240"/>
    <n v="354"/>
  </r>
  <r>
    <s v="403-7715423-5887507"/>
    <s v="28/08/2022"/>
    <x v="0"/>
    <x v="15"/>
    <x v="27"/>
    <x v="4"/>
    <x v="0"/>
    <s v="THANE"/>
    <x v="6"/>
    <n v="849"/>
    <n v="250"/>
    <n v="599"/>
    <n v="240"/>
    <n v="359"/>
  </r>
  <r>
    <s v="403-8320955-3211528"/>
    <s v="28/08/2022"/>
    <x v="0"/>
    <x v="164"/>
    <x v="27"/>
    <x v="4"/>
    <x v="0"/>
    <s v="BENGALURU"/>
    <x v="5"/>
    <n v="849"/>
    <n v="250"/>
    <n v="599"/>
    <n v="240"/>
    <n v="359"/>
  </r>
  <r>
    <s v="171-1457729-6474736"/>
    <s v="27/08/2022"/>
    <x v="0"/>
    <x v="15"/>
    <x v="26"/>
    <x v="4"/>
    <x v="0"/>
    <s v="HYDERABAD"/>
    <x v="8"/>
    <n v="849"/>
    <n v="250"/>
    <n v="599"/>
    <n v="240"/>
    <n v="359"/>
  </r>
  <r>
    <s v="403-1870547-8524313"/>
    <s v="28/08/2022"/>
    <x v="0"/>
    <x v="208"/>
    <x v="27"/>
    <x v="4"/>
    <x v="0"/>
    <s v="KUMILY"/>
    <x v="9"/>
    <n v="849"/>
    <n v="250"/>
    <n v="599"/>
    <n v="240"/>
    <n v="359"/>
  </r>
  <r>
    <s v="171-2184722-7828307"/>
    <s v="28/08/2022"/>
    <x v="0"/>
    <x v="80"/>
    <x v="27"/>
    <x v="4"/>
    <x v="0"/>
    <s v="FARIDABAD"/>
    <x v="15"/>
    <n v="899"/>
    <n v="295"/>
    <n v="604"/>
    <n v="240"/>
    <n v="364"/>
  </r>
  <r>
    <s v="406-3027208-6449152"/>
    <s v="27/08/2022"/>
    <x v="0"/>
    <x v="69"/>
    <x v="26"/>
    <x v="4"/>
    <x v="0"/>
    <s v="TRICHY"/>
    <x v="7"/>
    <n v="849"/>
    <n v="250"/>
    <n v="599"/>
    <n v="240"/>
    <n v="359"/>
  </r>
  <r>
    <s v="404-5676944-2098718"/>
    <s v="27/08/2022"/>
    <x v="0"/>
    <x v="98"/>
    <x v="26"/>
    <x v="4"/>
    <x v="0"/>
    <s v="VINDHYA NAGAR NTPC TOWNSHIP"/>
    <x v="13"/>
    <n v="899"/>
    <n v="295"/>
    <n v="604"/>
    <n v="240"/>
    <n v="364"/>
  </r>
  <r>
    <s v="404-7433798-2957120"/>
    <s v="27/08/2022"/>
    <x v="0"/>
    <x v="202"/>
    <x v="26"/>
    <x v="4"/>
    <x v="0"/>
    <s v="malkajgiri"/>
    <x v="8"/>
    <n v="999"/>
    <n v="325"/>
    <n v="674"/>
    <n v="240"/>
    <n v="434"/>
  </r>
  <r>
    <s v="405-7650173-8153907"/>
    <s v="28/08/2022"/>
    <x v="0"/>
    <x v="59"/>
    <x v="27"/>
    <x v="4"/>
    <x v="0"/>
    <s v="Deoria"/>
    <x v="1"/>
    <n v="899"/>
    <n v="295"/>
    <n v="604"/>
    <n v="240"/>
    <n v="364"/>
  </r>
  <r>
    <s v="404-0630398-4347514"/>
    <s v="14/08/2022"/>
    <x v="3"/>
    <x v="128"/>
    <x v="13"/>
    <x v="4"/>
    <x v="0"/>
    <s v="BENGALURU"/>
    <x v="5"/>
    <n v="-999"/>
    <n v="395"/>
    <n v="-604"/>
    <n v="240"/>
    <n v="-364"/>
  </r>
  <r>
    <s v="407-6137861-1244335"/>
    <s v="21/08/2022"/>
    <x v="3"/>
    <x v="88"/>
    <x v="20"/>
    <x v="4"/>
    <x v="0"/>
    <s v="Muktsar"/>
    <x v="26"/>
    <n v="-899"/>
    <n v="375"/>
    <n v="-524"/>
    <n v="240"/>
    <n v="-284"/>
  </r>
  <r>
    <s v="403-8401478-3613934"/>
    <s v="21/08/2022"/>
    <x v="3"/>
    <x v="190"/>
    <x v="20"/>
    <x v="4"/>
    <x v="0"/>
    <s v="WARANGAL"/>
    <x v="8"/>
    <n v="-799"/>
    <n v="320"/>
    <n v="-479"/>
    <n v="240"/>
    <n v="-239"/>
  </r>
  <r>
    <s v="171-6098045-1777117"/>
    <s v="20/08/2022"/>
    <x v="3"/>
    <x v="126"/>
    <x v="19"/>
    <x v="4"/>
    <x v="0"/>
    <s v="Madakasira"/>
    <x v="2"/>
    <n v="-849"/>
    <n v="345"/>
    <n v="-504"/>
    <n v="240"/>
    <n v="-264"/>
  </r>
  <r>
    <s v="408-0773577-4290739"/>
    <s v="24/08/2022"/>
    <x v="3"/>
    <x v="15"/>
    <x v="22"/>
    <x v="4"/>
    <x v="0"/>
    <s v="MAHESANA"/>
    <x v="3"/>
    <n v="-849"/>
    <n v="345"/>
    <n v="-504"/>
    <n v="240"/>
    <n v="-264"/>
  </r>
  <r>
    <s v="404-7576999-5491551"/>
    <s v="30/08/2022"/>
    <x v="2"/>
    <x v="176"/>
    <x v="29"/>
    <x v="4"/>
    <x v="0"/>
    <s v="Pala"/>
    <x v="9"/>
    <n v="0"/>
    <n v="0"/>
    <n v="0"/>
    <n v="0"/>
    <n v="0"/>
  </r>
  <r>
    <s v="408-8698608-2527536"/>
    <s v="29/08/2022"/>
    <x v="0"/>
    <x v="187"/>
    <x v="28"/>
    <x v="4"/>
    <x v="0"/>
    <s v="NEW DELHI"/>
    <x v="16"/>
    <n v="799"/>
    <n v="205"/>
    <n v="594"/>
    <n v="240"/>
    <n v="354"/>
  </r>
  <r>
    <s v="403-8231558-5522741"/>
    <s v="29/08/2022"/>
    <x v="0"/>
    <x v="137"/>
    <x v="28"/>
    <x v="4"/>
    <x v="0"/>
    <s v="MUMBAI"/>
    <x v="6"/>
    <n v="849"/>
    <n v="250"/>
    <n v="599"/>
    <n v="240"/>
    <n v="359"/>
  </r>
  <r>
    <s v="403-8231558-5522741"/>
    <s v="29/08/2022"/>
    <x v="0"/>
    <x v="136"/>
    <x v="28"/>
    <x v="4"/>
    <x v="0"/>
    <s v="MUMBAI"/>
    <x v="6"/>
    <n v="849"/>
    <n v="250"/>
    <n v="599"/>
    <n v="240"/>
    <n v="359"/>
  </r>
  <r>
    <s v="408-8747355-0217904"/>
    <s v="17/08/2022"/>
    <x v="3"/>
    <x v="196"/>
    <x v="16"/>
    <x v="4"/>
    <x v="0"/>
    <s v="PUNE"/>
    <x v="6"/>
    <n v="-799"/>
    <n v="320"/>
    <n v="-479"/>
    <n v="240"/>
    <n v="-239"/>
  </r>
  <r>
    <s v="406-8754803-1314736"/>
    <s v="30/08/2022"/>
    <x v="2"/>
    <x v="81"/>
    <x v="29"/>
    <x v="4"/>
    <x v="0"/>
    <s v="AGARTALA"/>
    <x v="30"/>
    <n v="0"/>
    <n v="0"/>
    <n v="0"/>
    <n v="0"/>
    <n v="0"/>
  </r>
  <r>
    <s v="407-5805350-1445118"/>
    <s v="30/08/2022"/>
    <x v="0"/>
    <x v="69"/>
    <x v="29"/>
    <x v="4"/>
    <x v="0"/>
    <s v="PIMPRI CHINCHWAD"/>
    <x v="6"/>
    <n v="849"/>
    <n v="250"/>
    <n v="599"/>
    <n v="240"/>
    <n v="359"/>
  </r>
  <r>
    <s v="404-8793251-7281127"/>
    <s v="30/08/2022"/>
    <x v="0"/>
    <x v="131"/>
    <x v="29"/>
    <x v="4"/>
    <x v="0"/>
    <s v="TUMAKURU"/>
    <x v="5"/>
    <n v="799"/>
    <n v="205"/>
    <n v="594"/>
    <n v="240"/>
    <n v="354"/>
  </r>
  <r>
    <s v="171-2623016-6379520"/>
    <s v="29/08/2022"/>
    <x v="0"/>
    <x v="209"/>
    <x v="28"/>
    <x v="4"/>
    <x v="0"/>
    <s v="New Town"/>
    <x v="18"/>
    <n v="999"/>
    <n v="325"/>
    <n v="674"/>
    <n v="240"/>
    <n v="434"/>
  </r>
  <r>
    <s v="404-7576999-5491551"/>
    <s v="30/08/2022"/>
    <x v="0"/>
    <x v="176"/>
    <x v="29"/>
    <x v="4"/>
    <x v="0"/>
    <s v="Pala"/>
    <x v="9"/>
    <n v="899"/>
    <n v="295"/>
    <n v="604"/>
    <n v="240"/>
    <n v="364"/>
  </r>
  <r>
    <s v="404-0689771-5928368"/>
    <s v="30/08/2022"/>
    <x v="0"/>
    <x v="15"/>
    <x v="29"/>
    <x v="4"/>
    <x v="0"/>
    <s v="JAIPUR"/>
    <x v="10"/>
    <n v="849"/>
    <n v="250"/>
    <n v="599"/>
    <n v="240"/>
    <n v="359"/>
  </r>
  <r>
    <s v="403-0268632-3613920"/>
    <s v="30/08/2022"/>
    <x v="0"/>
    <x v="15"/>
    <x v="29"/>
    <x v="4"/>
    <x v="0"/>
    <s v="RAIPUR"/>
    <x v="20"/>
    <n v="849"/>
    <n v="250"/>
    <n v="599"/>
    <n v="240"/>
    <n v="359"/>
  </r>
  <r>
    <s v="405-2129009-7180313"/>
    <s v="30/08/2022"/>
    <x v="0"/>
    <x v="202"/>
    <x v="29"/>
    <x v="4"/>
    <x v="0"/>
    <s v="PALACODERU"/>
    <x v="2"/>
    <n v="999"/>
    <n v="325"/>
    <n v="674"/>
    <n v="240"/>
    <n v="434"/>
  </r>
  <r>
    <s v="407-4804959-5345969"/>
    <s v="31/08/2022"/>
    <x v="0"/>
    <x v="172"/>
    <x v="30"/>
    <x v="4"/>
    <x v="0"/>
    <s v="HYDERABAD"/>
    <x v="8"/>
    <n v="799"/>
    <n v="205"/>
    <n v="594"/>
    <n v="240"/>
    <n v="354"/>
  </r>
  <r>
    <s v="406-3650517-2736356"/>
    <s v="31/08/2022"/>
    <x v="0"/>
    <x v="202"/>
    <x v="30"/>
    <x v="4"/>
    <x v="0"/>
    <s v="VASAI VIRAR"/>
    <x v="6"/>
    <n v="999"/>
    <n v="325"/>
    <n v="674"/>
    <n v="240"/>
    <n v="434"/>
  </r>
  <r>
    <s v="402-4747688-0665969"/>
    <s v="31/08/2022"/>
    <x v="0"/>
    <x v="132"/>
    <x v="30"/>
    <x v="4"/>
    <x v="0"/>
    <s v="GUNTUR"/>
    <x v="2"/>
    <n v="849"/>
    <n v="250"/>
    <n v="599"/>
    <n v="240"/>
    <n v="359"/>
  </r>
  <r>
    <s v="407-2668492-5677957"/>
    <s v="31/08/2022"/>
    <x v="0"/>
    <x v="135"/>
    <x v="30"/>
    <x v="4"/>
    <x v="0"/>
    <s v="JAIPUR"/>
    <x v="10"/>
    <n v="849"/>
    <n v="250"/>
    <n v="599"/>
    <n v="240"/>
    <n v="359"/>
  </r>
  <r>
    <s v="404-8204588-4525949"/>
    <s v="31/08/2022"/>
    <x v="0"/>
    <x v="191"/>
    <x v="30"/>
    <x v="4"/>
    <x v="0"/>
    <s v="HYDERABAD"/>
    <x v="8"/>
    <n v="799"/>
    <n v="205"/>
    <n v="594"/>
    <n v="240"/>
    <n v="354"/>
  </r>
  <r>
    <s v="405-5821432-9782714"/>
    <s v="31/08/2022"/>
    <x v="0"/>
    <x v="126"/>
    <x v="30"/>
    <x v="4"/>
    <x v="0"/>
    <s v="HYDERABAD"/>
    <x v="8"/>
    <n v="849"/>
    <n v="250"/>
    <n v="599"/>
    <n v="240"/>
    <n v="359"/>
  </r>
  <r>
    <s v="406-3540109-0713155"/>
    <s v="31/08/2022"/>
    <x v="0"/>
    <x v="165"/>
    <x v="30"/>
    <x v="4"/>
    <x v="0"/>
    <s v="NEW DELHI"/>
    <x v="16"/>
    <n v="799"/>
    <n v="205"/>
    <n v="594"/>
    <n v="240"/>
    <n v="354"/>
  </r>
  <r>
    <s v="404-7068694-2704311"/>
    <s v="31/08/2022"/>
    <x v="0"/>
    <x v="15"/>
    <x v="30"/>
    <x v="4"/>
    <x v="0"/>
    <s v="MUMBAI"/>
    <x v="6"/>
    <n v="849"/>
    <n v="250"/>
    <n v="599"/>
    <n v="240"/>
    <n v="359"/>
  </r>
  <r>
    <s v="171-3303080-4393908"/>
    <s v="27/07/2022"/>
    <x v="3"/>
    <x v="95"/>
    <x v="26"/>
    <x v="3"/>
    <x v="0"/>
    <s v="Goregaon  gondia"/>
    <x v="6"/>
    <n v="-899"/>
    <n v="375"/>
    <n v="-524"/>
    <n v="240"/>
    <n v="-284"/>
  </r>
  <r>
    <s v="406-6691830-6848321"/>
    <s v="24/07/2022"/>
    <x v="3"/>
    <x v="135"/>
    <x v="22"/>
    <x v="3"/>
    <x v="0"/>
    <s v="KOTA"/>
    <x v="10"/>
    <n v="-849"/>
    <n v="345"/>
    <n v="-504"/>
    <n v="240"/>
    <n v="-264"/>
  </r>
  <r>
    <s v="407-1563832-5279569"/>
    <s v="24/07/2022"/>
    <x v="3"/>
    <x v="15"/>
    <x v="22"/>
    <x v="3"/>
    <x v="0"/>
    <s v="PUNE"/>
    <x v="6"/>
    <n v="-849"/>
    <n v="345"/>
    <n v="-504"/>
    <n v="240"/>
    <n v="-264"/>
  </r>
  <r>
    <s v="171-0226780-1771565"/>
    <s v="29/07/2022"/>
    <x v="3"/>
    <x v="84"/>
    <x v="28"/>
    <x v="3"/>
    <x v="0"/>
    <s v="NELLORE"/>
    <x v="2"/>
    <n v="-799"/>
    <n v="320"/>
    <n v="-479"/>
    <n v="240"/>
    <n v="-239"/>
  </r>
  <r>
    <s v="403-3790896-6649161"/>
    <s v="29/07/2022"/>
    <x v="3"/>
    <x v="174"/>
    <x v="28"/>
    <x v="3"/>
    <x v="0"/>
    <s v="NEW DELHI"/>
    <x v="16"/>
    <n v="-799"/>
    <n v="320"/>
    <n v="-479"/>
    <n v="240"/>
    <n v="-239"/>
  </r>
  <r>
    <s v="406-5282234-6885161"/>
    <s v="24/07/2022"/>
    <x v="3"/>
    <x v="125"/>
    <x v="22"/>
    <x v="3"/>
    <x v="0"/>
    <s v="AHMEDABAD"/>
    <x v="3"/>
    <n v="-999"/>
    <n v="395"/>
    <n v="-604"/>
    <n v="240"/>
    <n v="-364"/>
  </r>
  <r>
    <s v="404-5702471-8301157"/>
    <s v="24/07/2022"/>
    <x v="3"/>
    <x v="168"/>
    <x v="22"/>
    <x v="3"/>
    <x v="0"/>
    <s v="Gurgaon"/>
    <x v="15"/>
    <n v="-799"/>
    <n v="320"/>
    <n v="-479"/>
    <n v="240"/>
    <n v="-239"/>
  </r>
  <r>
    <s v="407-5704453-9564350"/>
    <s v="26/07/2022"/>
    <x v="3"/>
    <x v="172"/>
    <x v="25"/>
    <x v="3"/>
    <x v="0"/>
    <s v="HYDERABAD"/>
    <x v="8"/>
    <n v="-799"/>
    <n v="320"/>
    <n v="-479"/>
    <n v="240"/>
    <n v="-239"/>
  </r>
  <r>
    <s v="402-3207382-4415530"/>
    <s v="24/07/2022"/>
    <x v="3"/>
    <x v="128"/>
    <x v="22"/>
    <x v="3"/>
    <x v="0"/>
    <s v="BAREILLY"/>
    <x v="1"/>
    <n v="-999"/>
    <n v="395"/>
    <n v="-604"/>
    <n v="240"/>
    <n v="-364"/>
  </r>
  <r>
    <s v="405-0466721-5121940"/>
    <s v="25/07/2022"/>
    <x v="3"/>
    <x v="15"/>
    <x v="24"/>
    <x v="3"/>
    <x v="0"/>
    <s v="PALAKONDA"/>
    <x v="2"/>
    <n v="-849"/>
    <n v="345"/>
    <n v="-504"/>
    <n v="240"/>
    <n v="-264"/>
  </r>
  <r>
    <s v="403-1187683-6737111"/>
    <s v="29/07/2022"/>
    <x v="3"/>
    <x v="178"/>
    <x v="28"/>
    <x v="3"/>
    <x v="0"/>
    <s v="UPLETA"/>
    <x v="3"/>
    <n v="-799"/>
    <n v="320"/>
    <n v="-479"/>
    <n v="240"/>
    <n v="-239"/>
  </r>
  <r>
    <s v="407-8438834-0537143"/>
    <s v="24/07/2022"/>
    <x v="3"/>
    <x v="21"/>
    <x v="22"/>
    <x v="3"/>
    <x v="0"/>
    <s v="MALAPPURAM"/>
    <x v="9"/>
    <n v="-899"/>
    <n v="375"/>
    <n v="-524"/>
    <n v="240"/>
    <n v="-284"/>
  </r>
  <r>
    <s v="406-2779923-8245119"/>
    <s v="24/07/2022"/>
    <x v="3"/>
    <x v="123"/>
    <x v="22"/>
    <x v="3"/>
    <x v="0"/>
    <s v="Bengaluru"/>
    <x v="5"/>
    <n v="-999"/>
    <n v="395"/>
    <n v="-604"/>
    <n v="240"/>
    <n v="-364"/>
  </r>
  <r>
    <s v="402-8559037-0362712"/>
    <s v="24/07/2022"/>
    <x v="3"/>
    <x v="122"/>
    <x v="22"/>
    <x v="3"/>
    <x v="0"/>
    <s v="PUNE"/>
    <x v="6"/>
    <n v="-849"/>
    <n v="345"/>
    <n v="-504"/>
    <n v="240"/>
    <n v="-264"/>
  </r>
  <r>
    <s v="407-6242150-8585117"/>
    <s v="29/07/2022"/>
    <x v="3"/>
    <x v="181"/>
    <x v="28"/>
    <x v="3"/>
    <x v="0"/>
    <s v="NOIDA"/>
    <x v="1"/>
    <n v="-799"/>
    <n v="320"/>
    <n v="-479"/>
    <n v="240"/>
    <n v="-239"/>
  </r>
  <r>
    <s v="404-8161616-7904320"/>
    <s v="25/07/2022"/>
    <x v="3"/>
    <x v="88"/>
    <x v="24"/>
    <x v="3"/>
    <x v="0"/>
    <s v="BENGALURU"/>
    <x v="5"/>
    <n v="-899"/>
    <n v="375"/>
    <n v="-524"/>
    <n v="240"/>
    <n v="-284"/>
  </r>
  <r>
    <s v="402-8428453-3489159"/>
    <s v="29/07/2022"/>
    <x v="3"/>
    <x v="15"/>
    <x v="28"/>
    <x v="3"/>
    <x v="0"/>
    <s v="VISAKHAPATNAM"/>
    <x v="2"/>
    <n v="-849"/>
    <n v="345"/>
    <n v="-504"/>
    <n v="240"/>
    <n v="-264"/>
  </r>
  <r>
    <s v="404-8883453-7300320"/>
    <s v="24/07/2022"/>
    <x v="3"/>
    <x v="136"/>
    <x v="22"/>
    <x v="3"/>
    <x v="0"/>
    <s v="HYDERABAD"/>
    <x v="8"/>
    <n v="-849"/>
    <n v="345"/>
    <n v="-504"/>
    <n v="240"/>
    <n v="-264"/>
  </r>
  <r>
    <s v="402-6593261-2365154"/>
    <s v="31/07/2022"/>
    <x v="3"/>
    <x v="165"/>
    <x v="30"/>
    <x v="3"/>
    <x v="0"/>
    <s v="BURDWAN"/>
    <x v="18"/>
    <n v="-799"/>
    <n v="320"/>
    <n v="-479"/>
    <n v="240"/>
    <n v="-239"/>
  </r>
  <r>
    <s v="408-6900790-4414713"/>
    <s v="27/07/2022"/>
    <x v="3"/>
    <x v="52"/>
    <x v="26"/>
    <x v="3"/>
    <x v="0"/>
    <s v="SECUNDERABAD"/>
    <x v="8"/>
    <n v="-899"/>
    <n v="375"/>
    <n v="-524"/>
    <n v="240"/>
    <n v="-284"/>
  </r>
  <r>
    <s v="404-6623329-8665916"/>
    <s v="24/07/2022"/>
    <x v="3"/>
    <x v="95"/>
    <x v="22"/>
    <x v="3"/>
    <x v="0"/>
    <s v="BENGALURU"/>
    <x v="5"/>
    <n v="-899"/>
    <n v="375"/>
    <n v="-524"/>
    <n v="240"/>
    <n v="-284"/>
  </r>
  <r>
    <s v="408-4561364-2887506"/>
    <s v="29/07/2022"/>
    <x v="3"/>
    <x v="80"/>
    <x v="28"/>
    <x v="3"/>
    <x v="0"/>
    <s v="THODUPUZHA"/>
    <x v="9"/>
    <n v="-899"/>
    <n v="375"/>
    <n v="-524"/>
    <n v="240"/>
    <n v="-284"/>
  </r>
  <r>
    <s v="171-8215802-7702745"/>
    <s v="27/07/2022"/>
    <x v="3"/>
    <x v="124"/>
    <x v="26"/>
    <x v="3"/>
    <x v="0"/>
    <s v="UNGUTURU"/>
    <x v="2"/>
    <n v="-999"/>
    <n v="395"/>
    <n v="-604"/>
    <n v="240"/>
    <n v="-364"/>
  </r>
  <r>
    <s v="405-3063079-1077118"/>
    <s v="31/07/2022"/>
    <x v="3"/>
    <x v="31"/>
    <x v="30"/>
    <x v="3"/>
    <x v="0"/>
    <s v="DIGRAS"/>
    <x v="6"/>
    <n v="-799"/>
    <n v="320"/>
    <n v="-479"/>
    <n v="240"/>
    <n v="-239"/>
  </r>
  <r>
    <s v="171-0447386-4235552"/>
    <s v="27/07/2022"/>
    <x v="3"/>
    <x v="148"/>
    <x v="26"/>
    <x v="3"/>
    <x v="0"/>
    <s v="HYDERABAD"/>
    <x v="8"/>
    <n v="-799"/>
    <n v="320"/>
    <n v="-479"/>
    <n v="240"/>
    <n v="-239"/>
  </r>
  <r>
    <s v="407-3990897-9428305"/>
    <s v="27/07/2022"/>
    <x v="3"/>
    <x v="153"/>
    <x v="26"/>
    <x v="3"/>
    <x v="0"/>
    <s v="TADEPALLIGUDEM"/>
    <x v="2"/>
    <n v="-799"/>
    <n v="320"/>
    <n v="-479"/>
    <n v="240"/>
    <n v="-239"/>
  </r>
  <r>
    <s v="403-0404763-1915565"/>
    <s v="18/07/2022"/>
    <x v="3"/>
    <x v="15"/>
    <x v="18"/>
    <x v="3"/>
    <x v="0"/>
    <s v="MUMBAI"/>
    <x v="6"/>
    <n v="-849"/>
    <n v="345"/>
    <n v="-504"/>
    <n v="240"/>
    <n v="-264"/>
  </r>
  <r>
    <s v="404-2418534-8901952"/>
    <s v="23/07/2022"/>
    <x v="3"/>
    <x v="79"/>
    <x v="23"/>
    <x v="3"/>
    <x v="0"/>
    <s v="Haldwani"/>
    <x v="24"/>
    <n v="-999"/>
    <n v="395"/>
    <n v="-604"/>
    <n v="240"/>
    <n v="-364"/>
  </r>
  <r>
    <s v="403-3903203-1357160"/>
    <s v="30/07/2022"/>
    <x v="3"/>
    <x v="69"/>
    <x v="29"/>
    <x v="3"/>
    <x v="0"/>
    <s v="MANGALURU"/>
    <x v="5"/>
    <n v="-849"/>
    <n v="345"/>
    <n v="-504"/>
    <n v="240"/>
    <n v="-264"/>
  </r>
  <r>
    <s v="403-7676525-7109951"/>
    <s v="27/08/2022"/>
    <x v="3"/>
    <x v="134"/>
    <x v="26"/>
    <x v="4"/>
    <x v="0"/>
    <s v="NEW DELHI"/>
    <x v="16"/>
    <n v="-849"/>
    <n v="345"/>
    <n v="-504"/>
    <n v="240"/>
    <n v="-264"/>
  </r>
  <r>
    <s v="402-2167536-5193156"/>
    <s v="21/08/2022"/>
    <x v="3"/>
    <x v="194"/>
    <x v="20"/>
    <x v="4"/>
    <x v="0"/>
    <s v="GUNTUR"/>
    <x v="2"/>
    <n v="-849"/>
    <n v="345"/>
    <n v="-504"/>
    <n v="240"/>
    <n v="-264"/>
  </r>
  <r>
    <s v="402-0742408-2370736"/>
    <s v="26/08/2022"/>
    <x v="3"/>
    <x v="15"/>
    <x v="25"/>
    <x v="4"/>
    <x v="0"/>
    <s v="KARUR"/>
    <x v="7"/>
    <n v="-849"/>
    <n v="345"/>
    <n v="-504"/>
    <n v="240"/>
    <n v="-264"/>
  </r>
  <r>
    <s v="408-8015812-4924352"/>
    <s v="26/08/2022"/>
    <x v="3"/>
    <x v="127"/>
    <x v="25"/>
    <x v="4"/>
    <x v="0"/>
    <s v="SATNA"/>
    <x v="13"/>
    <n v="-849"/>
    <n v="345"/>
    <n v="-504"/>
    <n v="240"/>
    <n v="-264"/>
  </r>
  <r>
    <s v="171-1457729-6474736"/>
    <s v="27/08/2022"/>
    <x v="3"/>
    <x v="15"/>
    <x v="26"/>
    <x v="4"/>
    <x v="0"/>
    <s v="HYDERABAD"/>
    <x v="8"/>
    <n v="-849"/>
    <n v="345"/>
    <n v="-504"/>
    <n v="240"/>
    <n v="-264"/>
  </r>
  <r>
    <s v="403-3899912-7261111"/>
    <s v="04/08/2022"/>
    <x v="3"/>
    <x v="137"/>
    <x v="3"/>
    <x v="4"/>
    <x v="0"/>
    <s v="CHENNAI"/>
    <x v="7"/>
    <n v="-849"/>
    <n v="345"/>
    <n v="-504"/>
    <n v="240"/>
    <n v="-264"/>
  </r>
  <r>
    <s v="405-8000254-2108353"/>
    <s v="28/08/2022"/>
    <x v="3"/>
    <x v="25"/>
    <x v="27"/>
    <x v="4"/>
    <x v="0"/>
    <s v="KHERLI"/>
    <x v="10"/>
    <n v="-799"/>
    <n v="320"/>
    <n v="-479"/>
    <n v="240"/>
    <n v="-239"/>
  </r>
  <r>
    <s v="403-5691495-0421945"/>
    <s v="26/08/2022"/>
    <x v="3"/>
    <x v="205"/>
    <x v="25"/>
    <x v="4"/>
    <x v="0"/>
    <s v="WARANGAL"/>
    <x v="8"/>
    <n v="-799"/>
    <n v="320"/>
    <n v="-479"/>
    <n v="240"/>
    <n v="-239"/>
  </r>
  <r>
    <s v="406-4105944-9562765"/>
    <s v="26/08/2022"/>
    <x v="3"/>
    <x v="207"/>
    <x v="25"/>
    <x v="4"/>
    <x v="0"/>
    <s v="Yavatmal"/>
    <x v="6"/>
    <n v="-799"/>
    <n v="320"/>
    <n v="-479"/>
    <n v="240"/>
    <n v="-239"/>
  </r>
  <r>
    <s v="406-3540109-0713155"/>
    <s v="31/08/2022"/>
    <x v="3"/>
    <x v="165"/>
    <x v="30"/>
    <x v="4"/>
    <x v="0"/>
    <s v="NEW DELHI"/>
    <x v="16"/>
    <n v="-799"/>
    <n v="320"/>
    <n v="-479"/>
    <n v="240"/>
    <n v="-239"/>
  </r>
  <r>
    <s v="403-7715423-5887507"/>
    <s v="28/08/2022"/>
    <x v="3"/>
    <x v="15"/>
    <x v="27"/>
    <x v="4"/>
    <x v="0"/>
    <s v="THANE"/>
    <x v="6"/>
    <n v="-849"/>
    <n v="345"/>
    <n v="-504"/>
    <n v="240"/>
    <n v="-264"/>
  </r>
  <r>
    <s v="404-0689771-5928368"/>
    <s v="30/08/2022"/>
    <x v="3"/>
    <x v="15"/>
    <x v="29"/>
    <x v="4"/>
    <x v="0"/>
    <s v="JAIPUR"/>
    <x v="10"/>
    <n v="-849"/>
    <n v="345"/>
    <n v="-504"/>
    <n v="240"/>
    <n v="-264"/>
  </r>
  <r>
    <s v="402-9209515-4506756"/>
    <s v="02/08/2022"/>
    <x v="3"/>
    <x v="88"/>
    <x v="1"/>
    <x v="4"/>
    <x v="0"/>
    <s v="JALANDHAR"/>
    <x v="26"/>
    <n v="-899"/>
    <n v="375"/>
    <n v="-524"/>
    <n v="240"/>
    <n v="-284"/>
  </r>
  <r>
    <s v="402-4747688-0665969"/>
    <s v="31/08/2022"/>
    <x v="3"/>
    <x v="132"/>
    <x v="30"/>
    <x v="4"/>
    <x v="0"/>
    <s v="GUNTUR"/>
    <x v="2"/>
    <n v="-849"/>
    <n v="345"/>
    <n v="-504"/>
    <n v="240"/>
    <n v="-264"/>
  </r>
  <r>
    <s v="406-3650517-2736356"/>
    <s v="31/08/2022"/>
    <x v="3"/>
    <x v="202"/>
    <x v="30"/>
    <x v="4"/>
    <x v="0"/>
    <s v="VASAI VIRAR"/>
    <x v="6"/>
    <n v="-999"/>
    <n v="395"/>
    <n v="-604"/>
    <n v="240"/>
    <n v="-364"/>
  </r>
  <r>
    <s v="171-2623016-6379520"/>
    <s v="29/08/2022"/>
    <x v="3"/>
    <x v="209"/>
    <x v="28"/>
    <x v="4"/>
    <x v="0"/>
    <s v="New Town"/>
    <x v="18"/>
    <n v="-999"/>
    <n v="395"/>
    <n v="-604"/>
    <n v="240"/>
    <n v="-364"/>
  </r>
  <r>
    <s v="407-5805350-1445118"/>
    <s v="30/08/2022"/>
    <x v="3"/>
    <x v="69"/>
    <x v="29"/>
    <x v="4"/>
    <x v="0"/>
    <s v="PIMPRI CHINCHWAD"/>
    <x v="6"/>
    <n v="-849"/>
    <n v="345"/>
    <n v="-504"/>
    <n v="240"/>
    <n v="-264"/>
  </r>
  <r>
    <s v="405-2501002-3889102"/>
    <s v="21/08/2022"/>
    <x v="3"/>
    <x v="198"/>
    <x v="20"/>
    <x v="4"/>
    <x v="0"/>
    <s v="HYDERABAD"/>
    <x v="8"/>
    <n v="-799"/>
    <n v="320"/>
    <n v="-479"/>
    <n v="240"/>
    <n v="-239"/>
  </r>
  <r>
    <s v="402-6437044-0057126"/>
    <s v="01/09/2022"/>
    <x v="2"/>
    <x v="134"/>
    <x v="0"/>
    <x v="5"/>
    <x v="0"/>
    <s v="PALANI"/>
    <x v="7"/>
    <n v="0"/>
    <n v="0"/>
    <n v="0"/>
    <n v="0"/>
    <n v="0"/>
  </r>
  <r>
    <s v="404-0619089-7877965"/>
    <s v="01/09/2022"/>
    <x v="0"/>
    <x v="98"/>
    <x v="0"/>
    <x v="5"/>
    <x v="0"/>
    <s v="Burdwan"/>
    <x v="18"/>
    <n v="899"/>
    <n v="295"/>
    <n v="604"/>
    <n v="240"/>
    <n v="364"/>
  </r>
  <r>
    <s v="402-6437044-0057126"/>
    <s v="01/09/2022"/>
    <x v="0"/>
    <x v="134"/>
    <x v="0"/>
    <x v="5"/>
    <x v="0"/>
    <s v="PALANI"/>
    <x v="7"/>
    <n v="849"/>
    <n v="250"/>
    <n v="599"/>
    <n v="240"/>
    <n v="359"/>
  </r>
  <r>
    <s v="404-1859632-2981124"/>
    <s v="02/09/2022"/>
    <x v="0"/>
    <x v="15"/>
    <x v="1"/>
    <x v="5"/>
    <x v="0"/>
    <s v="HYDERABAD"/>
    <x v="8"/>
    <n v="849"/>
    <n v="250"/>
    <n v="599"/>
    <n v="240"/>
    <n v="359"/>
  </r>
  <r>
    <s v="402-2640729-9745152"/>
    <s v="02/09/2022"/>
    <x v="0"/>
    <x v="15"/>
    <x v="1"/>
    <x v="5"/>
    <x v="0"/>
    <s v="Kallakurichi"/>
    <x v="7"/>
    <n v="849"/>
    <n v="250"/>
    <n v="599"/>
    <n v="240"/>
    <n v="359"/>
  </r>
  <r>
    <s v="408-4763493-6059553"/>
    <s v="02/09/2022"/>
    <x v="0"/>
    <x v="210"/>
    <x v="1"/>
    <x v="5"/>
    <x v="0"/>
    <s v="BAHRAICH"/>
    <x v="1"/>
    <n v="799"/>
    <n v="205"/>
    <n v="594"/>
    <n v="240"/>
    <n v="354"/>
  </r>
  <r>
    <s v="403-7356626-4523536"/>
    <s v="03/09/2022"/>
    <x v="2"/>
    <x v="166"/>
    <x v="2"/>
    <x v="5"/>
    <x v="0"/>
    <s v="Chennai"/>
    <x v="7"/>
    <n v="0"/>
    <n v="0"/>
    <n v="0"/>
    <n v="0"/>
    <n v="0"/>
  </r>
  <r>
    <s v="405-2075855-2121133"/>
    <s v="05/09/2022"/>
    <x v="2"/>
    <x v="178"/>
    <x v="4"/>
    <x v="5"/>
    <x v="0"/>
    <s v="RAE BARELI"/>
    <x v="1"/>
    <n v="0"/>
    <n v="0"/>
    <n v="0"/>
    <n v="0"/>
    <n v="0"/>
  </r>
  <r>
    <s v="171-7245689-5649111"/>
    <s v="03/09/2022"/>
    <x v="0"/>
    <x v="137"/>
    <x v="2"/>
    <x v="5"/>
    <x v="0"/>
    <s v="BENGALURU"/>
    <x v="5"/>
    <n v="849"/>
    <n v="250"/>
    <n v="599"/>
    <n v="240"/>
    <n v="359"/>
  </r>
  <r>
    <s v="404-8050203-6445913"/>
    <s v="02/09/2022"/>
    <x v="0"/>
    <x v="187"/>
    <x v="1"/>
    <x v="5"/>
    <x v="0"/>
    <s v="Thrissur"/>
    <x v="9"/>
    <n v="799"/>
    <n v="205"/>
    <n v="594"/>
    <n v="240"/>
    <n v="354"/>
  </r>
  <r>
    <s v="171-8926942-1913103"/>
    <s v="03/09/2022"/>
    <x v="0"/>
    <x v="148"/>
    <x v="2"/>
    <x v="5"/>
    <x v="0"/>
    <s v="Ernakulam"/>
    <x v="9"/>
    <n v="799"/>
    <n v="205"/>
    <n v="594"/>
    <n v="240"/>
    <n v="354"/>
  </r>
  <r>
    <s v="403-9135971-4380362"/>
    <s v="03/09/2022"/>
    <x v="0"/>
    <x v="76"/>
    <x v="2"/>
    <x v="5"/>
    <x v="0"/>
    <s v="NEW DELHI"/>
    <x v="16"/>
    <n v="799"/>
    <n v="205"/>
    <n v="594"/>
    <n v="240"/>
    <n v="354"/>
  </r>
  <r>
    <s v="171-9639948-2122747"/>
    <s v="04/09/2022"/>
    <x v="0"/>
    <x v="124"/>
    <x v="3"/>
    <x v="5"/>
    <x v="0"/>
    <s v="AHMEDABAD"/>
    <x v="3"/>
    <n v="999"/>
    <n v="325"/>
    <n v="674"/>
    <n v="240"/>
    <n v="434"/>
  </r>
  <r>
    <s v="402-9249864-4940311"/>
    <s v="04/09/2022"/>
    <x v="0"/>
    <x v="68"/>
    <x v="3"/>
    <x v="5"/>
    <x v="0"/>
    <s v="JAIPUR"/>
    <x v="10"/>
    <n v="799"/>
    <n v="205"/>
    <n v="594"/>
    <n v="240"/>
    <n v="354"/>
  </r>
  <r>
    <s v="407-3477276-8622704"/>
    <s v="03/09/2022"/>
    <x v="0"/>
    <x v="211"/>
    <x v="2"/>
    <x v="5"/>
    <x v="0"/>
    <s v="HYDERABAD"/>
    <x v="8"/>
    <n v="799"/>
    <n v="205"/>
    <n v="594"/>
    <n v="240"/>
    <n v="354"/>
  </r>
  <r>
    <s v="408-8622276-2813924"/>
    <s v="04/09/2022"/>
    <x v="0"/>
    <x v="15"/>
    <x v="3"/>
    <x v="5"/>
    <x v="0"/>
    <s v="BHOPAL"/>
    <x v="13"/>
    <n v="849"/>
    <n v="250"/>
    <n v="599"/>
    <n v="240"/>
    <n v="359"/>
  </r>
  <r>
    <s v="171-0406671-5346701"/>
    <s v="04/09/2022"/>
    <x v="0"/>
    <x v="154"/>
    <x v="3"/>
    <x v="5"/>
    <x v="0"/>
    <s v="AMBALA"/>
    <x v="15"/>
    <n v="799"/>
    <n v="205"/>
    <n v="594"/>
    <n v="240"/>
    <n v="354"/>
  </r>
  <r>
    <s v="406-9581838-4695509"/>
    <s v="03/09/2022"/>
    <x v="0"/>
    <x v="151"/>
    <x v="2"/>
    <x v="5"/>
    <x v="0"/>
    <s v="NEW DELHI"/>
    <x v="16"/>
    <n v="799"/>
    <n v="205"/>
    <n v="594"/>
    <n v="240"/>
    <n v="354"/>
  </r>
  <r>
    <s v="171-0406671-5346701"/>
    <s v="04/09/2022"/>
    <x v="3"/>
    <x v="154"/>
    <x v="3"/>
    <x v="5"/>
    <x v="0"/>
    <s v="AMBALA"/>
    <x v="15"/>
    <n v="-799"/>
    <n v="320"/>
    <n v="-479"/>
    <n v="240"/>
    <n v="-239"/>
  </r>
  <r>
    <s v="405-2075855-2121133"/>
    <s v="05/09/2022"/>
    <x v="0"/>
    <x v="178"/>
    <x v="4"/>
    <x v="5"/>
    <x v="0"/>
    <s v="RAE BARELI"/>
    <x v="1"/>
    <n v="799"/>
    <n v="205"/>
    <n v="594"/>
    <n v="240"/>
    <n v="354"/>
  </r>
  <r>
    <s v="404-6596612-8007544"/>
    <s v="05/09/2022"/>
    <x v="0"/>
    <x v="69"/>
    <x v="4"/>
    <x v="5"/>
    <x v="0"/>
    <s v="MUMBAI"/>
    <x v="6"/>
    <n v="849"/>
    <n v="250"/>
    <n v="599"/>
    <n v="240"/>
    <n v="359"/>
  </r>
  <r>
    <s v="406-5351400-3209966"/>
    <s v="05/09/2022"/>
    <x v="0"/>
    <x v="15"/>
    <x v="4"/>
    <x v="5"/>
    <x v="0"/>
    <s v="BANGALORE"/>
    <x v="5"/>
    <n v="849"/>
    <n v="250"/>
    <n v="599"/>
    <n v="240"/>
    <n v="359"/>
  </r>
  <r>
    <s v="402-1128948-2246716"/>
    <s v="05/09/2022"/>
    <x v="0"/>
    <x v="69"/>
    <x v="4"/>
    <x v="5"/>
    <x v="0"/>
    <s v="SRIKAKULAM"/>
    <x v="2"/>
    <n v="849"/>
    <n v="250"/>
    <n v="599"/>
    <n v="240"/>
    <n v="359"/>
  </r>
  <r>
    <s v="402-2396771-0067531"/>
    <s v="06/09/2022"/>
    <x v="0"/>
    <x v="169"/>
    <x v="5"/>
    <x v="5"/>
    <x v="0"/>
    <s v="GUNTUR"/>
    <x v="2"/>
    <n v="799"/>
    <n v="205"/>
    <n v="594"/>
    <n v="240"/>
    <n v="354"/>
  </r>
  <r>
    <s v="406-2165792-4877151"/>
    <s v="06/09/2022"/>
    <x v="0"/>
    <x v="95"/>
    <x v="5"/>
    <x v="5"/>
    <x v="0"/>
    <s v="KHERLI"/>
    <x v="10"/>
    <n v="899"/>
    <n v="295"/>
    <n v="604"/>
    <n v="240"/>
    <n v="364"/>
  </r>
  <r>
    <s v="407-1864909-3647558"/>
    <s v="04/09/2022"/>
    <x v="0"/>
    <x v="86"/>
    <x v="3"/>
    <x v="5"/>
    <x v="0"/>
    <s v="NAGPUR"/>
    <x v="6"/>
    <n v="899"/>
    <n v="295"/>
    <n v="604"/>
    <n v="240"/>
    <n v="364"/>
  </r>
  <r>
    <s v="403-0689269-9625156"/>
    <s v="04/09/2022"/>
    <x v="0"/>
    <x v="164"/>
    <x v="3"/>
    <x v="5"/>
    <x v="0"/>
    <s v="pimpri chinchwad"/>
    <x v="6"/>
    <n v="849"/>
    <n v="250"/>
    <n v="599"/>
    <n v="240"/>
    <n v="359"/>
  </r>
  <r>
    <s v="171-6186511-5865916"/>
    <s v="04/09/2022"/>
    <x v="0"/>
    <x v="15"/>
    <x v="3"/>
    <x v="5"/>
    <x v="0"/>
    <s v="PUNE"/>
    <x v="6"/>
    <n v="849"/>
    <n v="250"/>
    <n v="599"/>
    <n v="240"/>
    <n v="359"/>
  </r>
  <r>
    <s v="402-2970798-7264363"/>
    <s v="06/09/2022"/>
    <x v="0"/>
    <x v="133"/>
    <x v="5"/>
    <x v="5"/>
    <x v="0"/>
    <s v="BHIWANDI"/>
    <x v="6"/>
    <n v="799"/>
    <n v="205"/>
    <n v="594"/>
    <n v="240"/>
    <n v="354"/>
  </r>
  <r>
    <s v="404-9565199-5641928"/>
    <s v="06/09/2022"/>
    <x v="0"/>
    <x v="44"/>
    <x v="5"/>
    <x v="5"/>
    <x v="0"/>
    <s v="TUMKUR"/>
    <x v="5"/>
    <n v="899"/>
    <n v="295"/>
    <n v="604"/>
    <n v="240"/>
    <n v="364"/>
  </r>
  <r>
    <s v="408-2882784-1339564"/>
    <s v="07/09/2022"/>
    <x v="1"/>
    <x v="15"/>
    <x v="7"/>
    <x v="5"/>
    <x v="0"/>
    <s v="HYDERABAD"/>
    <x v="8"/>
    <n v="0"/>
    <n v="0"/>
    <n v="0"/>
    <n v="0"/>
    <n v="0"/>
  </r>
  <r>
    <s v="404-7224845-3071518"/>
    <s v="07/09/2022"/>
    <x v="0"/>
    <x v="15"/>
    <x v="7"/>
    <x v="5"/>
    <x v="0"/>
    <s v="THANE"/>
    <x v="6"/>
    <n v="849"/>
    <n v="250"/>
    <n v="599"/>
    <n v="240"/>
    <n v="359"/>
  </r>
  <r>
    <s v="402-8616854-3153120"/>
    <s v="07/09/2022"/>
    <x v="0"/>
    <x v="151"/>
    <x v="7"/>
    <x v="5"/>
    <x v="0"/>
    <s v="PERAMBALUR"/>
    <x v="7"/>
    <n v="799"/>
    <n v="205"/>
    <n v="594"/>
    <n v="240"/>
    <n v="354"/>
  </r>
  <r>
    <s v="402-9497385-0943542"/>
    <s v="08/09/2022"/>
    <x v="2"/>
    <x v="15"/>
    <x v="6"/>
    <x v="5"/>
    <x v="0"/>
    <s v="CHENNAI"/>
    <x v="7"/>
    <n v="0"/>
    <n v="0"/>
    <n v="0"/>
    <n v="0"/>
    <n v="0"/>
  </r>
  <r>
    <s v="407-7682387-1932314"/>
    <s v="08/09/2022"/>
    <x v="0"/>
    <x v="124"/>
    <x v="6"/>
    <x v="5"/>
    <x v="0"/>
    <s v="BENGALURU"/>
    <x v="5"/>
    <n v="999"/>
    <n v="325"/>
    <n v="674"/>
    <n v="240"/>
    <n v="434"/>
  </r>
  <r>
    <s v="402-9497385-0943542"/>
    <s v="08/09/2022"/>
    <x v="0"/>
    <x v="15"/>
    <x v="6"/>
    <x v="5"/>
    <x v="0"/>
    <s v="CHENNAI"/>
    <x v="7"/>
    <n v="849"/>
    <n v="250"/>
    <n v="599"/>
    <n v="240"/>
    <n v="359"/>
  </r>
  <r>
    <s v="171-6617158-7849125"/>
    <s v="08/09/2022"/>
    <x v="0"/>
    <x v="164"/>
    <x v="6"/>
    <x v="5"/>
    <x v="0"/>
    <s v="COIMBATORE"/>
    <x v="7"/>
    <n v="849"/>
    <n v="250"/>
    <n v="599"/>
    <n v="240"/>
    <n v="359"/>
  </r>
  <r>
    <s v="403-7991015-0287508"/>
    <s v="08/09/2022"/>
    <x v="0"/>
    <x v="15"/>
    <x v="6"/>
    <x v="5"/>
    <x v="0"/>
    <s v="Sonipat"/>
    <x v="15"/>
    <n v="849"/>
    <n v="250"/>
    <n v="599"/>
    <n v="240"/>
    <n v="359"/>
  </r>
  <r>
    <s v="171-8633426-6154714"/>
    <s v="09/09/2022"/>
    <x v="0"/>
    <x v="79"/>
    <x v="8"/>
    <x v="5"/>
    <x v="0"/>
    <s v="KUCHAMAN CITY"/>
    <x v="10"/>
    <n v="899"/>
    <n v="295"/>
    <n v="604"/>
    <n v="240"/>
    <n v="364"/>
  </r>
  <r>
    <s v="171-1364147-7700321"/>
    <s v="09/09/2022"/>
    <x v="0"/>
    <x v="134"/>
    <x v="8"/>
    <x v="5"/>
    <x v="0"/>
    <s v="CHENNAI"/>
    <x v="7"/>
    <n v="849"/>
    <n v="250"/>
    <n v="599"/>
    <n v="240"/>
    <n v="359"/>
  </r>
  <r>
    <s v="408-8188647-1323529"/>
    <s v="09/09/2022"/>
    <x v="0"/>
    <x v="212"/>
    <x v="8"/>
    <x v="5"/>
    <x v="0"/>
    <s v="HYDERABAD"/>
    <x v="8"/>
    <n v="999"/>
    <n v="325"/>
    <n v="674"/>
    <n v="240"/>
    <n v="434"/>
  </r>
  <r>
    <s v="402-0039612-7685161"/>
    <s v="09/09/2022"/>
    <x v="0"/>
    <x v="68"/>
    <x v="8"/>
    <x v="5"/>
    <x v="0"/>
    <s v="HYDERABAD"/>
    <x v="8"/>
    <n v="799"/>
    <n v="205"/>
    <n v="594"/>
    <n v="240"/>
    <n v="354"/>
  </r>
  <r>
    <s v="407-3477276-8622704"/>
    <s v="03/09/2022"/>
    <x v="3"/>
    <x v="211"/>
    <x v="2"/>
    <x v="5"/>
    <x v="0"/>
    <s v="HYDERABAD"/>
    <x v="8"/>
    <n v="-799"/>
    <n v="320"/>
    <n v="-479"/>
    <n v="240"/>
    <n v="-239"/>
  </r>
  <r>
    <s v="402-2640729-9745152"/>
    <s v="02/09/2022"/>
    <x v="3"/>
    <x v="15"/>
    <x v="1"/>
    <x v="5"/>
    <x v="0"/>
    <s v="Kallakurichi"/>
    <x v="7"/>
    <n v="-849"/>
    <n v="345"/>
    <n v="-504"/>
    <n v="240"/>
    <n v="-264"/>
  </r>
  <r>
    <s v="403-9013296-3169165"/>
    <s v="10/09/2022"/>
    <x v="2"/>
    <x v="135"/>
    <x v="10"/>
    <x v="5"/>
    <x v="0"/>
    <s v="JAIPUR"/>
    <x v="10"/>
    <n v="0"/>
    <n v="0"/>
    <n v="0"/>
    <n v="0"/>
    <n v="0"/>
  </r>
  <r>
    <s v="403-9013296-3169165"/>
    <s v="10/09/2022"/>
    <x v="2"/>
    <x v="15"/>
    <x v="10"/>
    <x v="5"/>
    <x v="0"/>
    <s v="JAIPUR"/>
    <x v="10"/>
    <n v="0"/>
    <n v="0"/>
    <n v="0"/>
    <n v="0"/>
    <n v="0"/>
  </r>
  <r>
    <s v="408-8622276-2813924"/>
    <s v="04/09/2022"/>
    <x v="3"/>
    <x v="15"/>
    <x v="3"/>
    <x v="5"/>
    <x v="0"/>
    <s v="BHOPAL"/>
    <x v="13"/>
    <n v="-849"/>
    <n v="345"/>
    <n v="-504"/>
    <n v="240"/>
    <n v="-264"/>
  </r>
  <r>
    <s v="406-2165792-4877151"/>
    <s v="06/09/2022"/>
    <x v="3"/>
    <x v="95"/>
    <x v="5"/>
    <x v="5"/>
    <x v="0"/>
    <s v="KHERLI"/>
    <x v="10"/>
    <n v="-899"/>
    <n v="375"/>
    <n v="-524"/>
    <n v="240"/>
    <n v="-284"/>
  </r>
  <r>
    <s v="404-6596612-8007544"/>
    <s v="05/09/2022"/>
    <x v="3"/>
    <x v="69"/>
    <x v="4"/>
    <x v="5"/>
    <x v="0"/>
    <s v="MUMBAI"/>
    <x v="6"/>
    <n v="-849"/>
    <n v="345"/>
    <n v="-504"/>
    <n v="240"/>
    <n v="-264"/>
  </r>
  <r>
    <s v="408-0008957-7757933"/>
    <s v="11/09/2022"/>
    <x v="1"/>
    <x v="31"/>
    <x v="9"/>
    <x v="5"/>
    <x v="0"/>
    <s v="JAIPUR"/>
    <x v="10"/>
    <n v="0"/>
    <n v="0"/>
    <n v="0"/>
    <n v="0"/>
    <n v="0"/>
  </r>
  <r>
    <s v="402-7771583-0189147"/>
    <s v="10/09/2022"/>
    <x v="0"/>
    <x v="25"/>
    <x v="10"/>
    <x v="5"/>
    <x v="0"/>
    <s v="PUNE"/>
    <x v="6"/>
    <n v="799"/>
    <n v="205"/>
    <n v="594"/>
    <n v="240"/>
    <n v="354"/>
  </r>
  <r>
    <s v="403-9013296-3169165"/>
    <s v="10/09/2022"/>
    <x v="0"/>
    <x v="135"/>
    <x v="10"/>
    <x v="5"/>
    <x v="0"/>
    <s v="JAIPUR"/>
    <x v="10"/>
    <n v="849"/>
    <n v="250"/>
    <n v="599"/>
    <n v="240"/>
    <n v="359"/>
  </r>
  <r>
    <s v="403-9013296-3169165"/>
    <s v="10/09/2022"/>
    <x v="0"/>
    <x v="15"/>
    <x v="10"/>
    <x v="5"/>
    <x v="0"/>
    <s v="JAIPUR"/>
    <x v="10"/>
    <n v="849"/>
    <n v="250"/>
    <n v="599"/>
    <n v="240"/>
    <n v="359"/>
  </r>
  <r>
    <s v="406-8341736-5335555"/>
    <s v="11/09/2022"/>
    <x v="0"/>
    <x v="213"/>
    <x v="9"/>
    <x v="5"/>
    <x v="0"/>
    <s v="HINDUPUR"/>
    <x v="2"/>
    <n v="799"/>
    <n v="205"/>
    <n v="594"/>
    <n v="240"/>
    <n v="354"/>
  </r>
  <r>
    <s v="404-9691827-4594700"/>
    <s v="10/09/2022"/>
    <x v="0"/>
    <x v="154"/>
    <x v="10"/>
    <x v="5"/>
    <x v="0"/>
    <s v="MUMBAI"/>
    <x v="6"/>
    <n v="799"/>
    <n v="205"/>
    <n v="594"/>
    <n v="240"/>
    <n v="354"/>
  </r>
  <r>
    <s v="406-6182101-1913929"/>
    <s v="11/09/2022"/>
    <x v="0"/>
    <x v="214"/>
    <x v="9"/>
    <x v="5"/>
    <x v="0"/>
    <s v="KODUNGALLUR"/>
    <x v="9"/>
    <n v="849"/>
    <n v="250"/>
    <n v="599"/>
    <n v="240"/>
    <n v="359"/>
  </r>
  <r>
    <s v="403-7739443-0108369"/>
    <s v="11/09/2022"/>
    <x v="0"/>
    <x v="193"/>
    <x v="9"/>
    <x v="5"/>
    <x v="0"/>
    <s v="BENGALURU"/>
    <x v="5"/>
    <n v="799"/>
    <n v="205"/>
    <n v="594"/>
    <n v="240"/>
    <n v="354"/>
  </r>
  <r>
    <s v="404-9345496-1933133"/>
    <s v="12/09/2022"/>
    <x v="2"/>
    <x v="169"/>
    <x v="11"/>
    <x v="5"/>
    <x v="0"/>
    <s v="BENGALURU"/>
    <x v="5"/>
    <n v="0"/>
    <n v="0"/>
    <n v="0"/>
    <n v="0"/>
    <n v="0"/>
  </r>
  <r>
    <s v="406-5862075-9581950"/>
    <s v="12/09/2022"/>
    <x v="0"/>
    <x v="132"/>
    <x v="11"/>
    <x v="5"/>
    <x v="0"/>
    <s v="CHENNAI"/>
    <x v="7"/>
    <n v="849"/>
    <n v="250"/>
    <n v="599"/>
    <n v="240"/>
    <n v="359"/>
  </r>
  <r>
    <s v="407-6916472-0934744"/>
    <s v="12/09/2022"/>
    <x v="0"/>
    <x v="15"/>
    <x v="11"/>
    <x v="5"/>
    <x v="0"/>
    <s v="THRISSUR"/>
    <x v="9"/>
    <n v="849"/>
    <n v="250"/>
    <n v="599"/>
    <n v="240"/>
    <n v="359"/>
  </r>
  <r>
    <s v="402-7330369-4297111"/>
    <s v="12/09/2022"/>
    <x v="0"/>
    <x v="142"/>
    <x v="11"/>
    <x v="5"/>
    <x v="0"/>
    <s v="KARUR"/>
    <x v="7"/>
    <n v="799"/>
    <n v="205"/>
    <n v="594"/>
    <n v="240"/>
    <n v="354"/>
  </r>
  <r>
    <s v="402-8822084-1752351"/>
    <s v="12/09/2022"/>
    <x v="0"/>
    <x v="133"/>
    <x v="11"/>
    <x v="5"/>
    <x v="0"/>
    <s v="BHOPAL m p"/>
    <x v="13"/>
    <n v="799"/>
    <n v="205"/>
    <n v="594"/>
    <n v="240"/>
    <n v="354"/>
  </r>
  <r>
    <s v="405-9300120-4336340"/>
    <s v="12/09/2022"/>
    <x v="0"/>
    <x v="215"/>
    <x v="11"/>
    <x v="5"/>
    <x v="0"/>
    <s v="THIRUVANANTHAPURAM"/>
    <x v="9"/>
    <n v="799"/>
    <n v="205"/>
    <n v="594"/>
    <n v="240"/>
    <n v="354"/>
  </r>
  <r>
    <s v="408-1461356-8684356"/>
    <s v="13/09/2022"/>
    <x v="0"/>
    <x v="15"/>
    <x v="12"/>
    <x v="5"/>
    <x v="0"/>
    <s v="CHENNAI"/>
    <x v="7"/>
    <n v="849"/>
    <n v="250"/>
    <n v="599"/>
    <n v="240"/>
    <n v="359"/>
  </r>
  <r>
    <s v="406-1521183-7545920"/>
    <s v="14/09/2022"/>
    <x v="2"/>
    <x v="25"/>
    <x v="13"/>
    <x v="5"/>
    <x v="0"/>
    <s v="GHAZIABAD"/>
    <x v="1"/>
    <n v="0"/>
    <n v="0"/>
    <n v="0"/>
    <n v="0"/>
    <n v="0"/>
  </r>
  <r>
    <s v="402-8616854-3153120"/>
    <s v="07/09/2022"/>
    <x v="3"/>
    <x v="151"/>
    <x v="7"/>
    <x v="5"/>
    <x v="0"/>
    <s v="PERAMBALUR"/>
    <x v="7"/>
    <n v="-799"/>
    <n v="320"/>
    <n v="-479"/>
    <n v="240"/>
    <n v="-239"/>
  </r>
  <r>
    <s v="171-6175710-4287520"/>
    <s v="14/09/2022"/>
    <x v="0"/>
    <x v="31"/>
    <x v="13"/>
    <x v="5"/>
    <x v="0"/>
    <s v="NAGPUR"/>
    <x v="6"/>
    <n v="799"/>
    <n v="205"/>
    <n v="594"/>
    <n v="240"/>
    <n v="354"/>
  </r>
  <r>
    <s v="405-6791689-0693928"/>
    <s v="14/09/2022"/>
    <x v="0"/>
    <x v="213"/>
    <x v="13"/>
    <x v="5"/>
    <x v="0"/>
    <s v="HYDERABAD"/>
    <x v="8"/>
    <n v="799"/>
    <n v="205"/>
    <n v="594"/>
    <n v="240"/>
    <n v="354"/>
  </r>
  <r>
    <s v="408-7083614-2129905"/>
    <s v="14/09/2022"/>
    <x v="0"/>
    <x v="139"/>
    <x v="13"/>
    <x v="5"/>
    <x v="0"/>
    <s v="Kovilpatti"/>
    <x v="7"/>
    <n v="799"/>
    <n v="205"/>
    <n v="594"/>
    <n v="240"/>
    <n v="354"/>
  </r>
  <r>
    <s v="406-7561443-2873111"/>
    <s v="14/09/2022"/>
    <x v="0"/>
    <x v="68"/>
    <x v="13"/>
    <x v="5"/>
    <x v="0"/>
    <s v="MUZAFFARNAGAR"/>
    <x v="1"/>
    <n v="799"/>
    <n v="205"/>
    <n v="594"/>
    <n v="240"/>
    <n v="354"/>
  </r>
  <r>
    <s v="171-7245689-5649111"/>
    <s v="03/09/2022"/>
    <x v="3"/>
    <x v="137"/>
    <x v="2"/>
    <x v="5"/>
    <x v="0"/>
    <s v="BENGALURU"/>
    <x v="5"/>
    <n v="-849"/>
    <n v="345"/>
    <n v="-504"/>
    <n v="240"/>
    <n v="-264"/>
  </r>
  <r>
    <s v="171-5701242-3113109"/>
    <s v="15/09/2022"/>
    <x v="2"/>
    <x v="216"/>
    <x v="14"/>
    <x v="5"/>
    <x v="0"/>
    <s v="PIMPRI CHINCHWAD"/>
    <x v="6"/>
    <n v="0"/>
    <n v="0"/>
    <n v="0"/>
    <n v="0"/>
    <n v="0"/>
  </r>
  <r>
    <s v="171-6186511-5865916"/>
    <s v="04/09/2022"/>
    <x v="3"/>
    <x v="15"/>
    <x v="3"/>
    <x v="5"/>
    <x v="0"/>
    <s v="PUNE"/>
    <x v="6"/>
    <n v="-849"/>
    <n v="345"/>
    <n v="-504"/>
    <n v="240"/>
    <n v="-264"/>
  </r>
  <r>
    <s v="171-5701242-3113109"/>
    <s v="15/09/2022"/>
    <x v="0"/>
    <x v="216"/>
    <x v="14"/>
    <x v="5"/>
    <x v="0"/>
    <s v="PIMPRI CHINCHWAD"/>
    <x v="6"/>
    <n v="799"/>
    <n v="205"/>
    <n v="594"/>
    <n v="240"/>
    <n v="354"/>
  </r>
  <r>
    <s v="171-9885466-2085110"/>
    <s v="15/09/2022"/>
    <x v="0"/>
    <x v="15"/>
    <x v="14"/>
    <x v="5"/>
    <x v="0"/>
    <s v="PUNE"/>
    <x v="6"/>
    <n v="849"/>
    <n v="250"/>
    <n v="599"/>
    <n v="240"/>
    <n v="359"/>
  </r>
  <r>
    <s v="171-6617158-7849125"/>
    <s v="08/09/2022"/>
    <x v="3"/>
    <x v="164"/>
    <x v="6"/>
    <x v="5"/>
    <x v="0"/>
    <s v="COIMBATORE"/>
    <x v="7"/>
    <n v="-849"/>
    <n v="345"/>
    <n v="-504"/>
    <n v="240"/>
    <n v="-264"/>
  </r>
  <r>
    <s v="404-9691827-4594700"/>
    <s v="10/09/2022"/>
    <x v="3"/>
    <x v="154"/>
    <x v="10"/>
    <x v="5"/>
    <x v="0"/>
    <s v="MUMBAI"/>
    <x v="6"/>
    <n v="-799"/>
    <n v="320"/>
    <n v="-479"/>
    <n v="240"/>
    <n v="-239"/>
  </r>
  <r>
    <s v="407-6768790-7432334"/>
    <s v="16/09/2022"/>
    <x v="0"/>
    <x v="69"/>
    <x v="15"/>
    <x v="5"/>
    <x v="0"/>
    <s v="THANE"/>
    <x v="6"/>
    <n v="849"/>
    <n v="250"/>
    <n v="599"/>
    <n v="240"/>
    <n v="359"/>
  </r>
  <r>
    <s v="404-1577421-7135567"/>
    <s v="16/09/2022"/>
    <x v="0"/>
    <x v="88"/>
    <x v="15"/>
    <x v="5"/>
    <x v="0"/>
    <s v="CHENNAI"/>
    <x v="7"/>
    <n v="899"/>
    <n v="295"/>
    <n v="604"/>
    <n v="240"/>
    <n v="364"/>
  </r>
  <r>
    <s v="403-4034370-3956351"/>
    <s v="16/09/2022"/>
    <x v="0"/>
    <x v="132"/>
    <x v="15"/>
    <x v="5"/>
    <x v="0"/>
    <s v="NEW DELHI"/>
    <x v="16"/>
    <n v="849"/>
    <n v="250"/>
    <n v="599"/>
    <n v="240"/>
    <n v="359"/>
  </r>
  <r>
    <s v="408-7654980-5161962"/>
    <s v="16/09/2022"/>
    <x v="0"/>
    <x v="131"/>
    <x v="15"/>
    <x v="5"/>
    <x v="0"/>
    <s v="GURUGRAM"/>
    <x v="15"/>
    <n v="799"/>
    <n v="205"/>
    <n v="594"/>
    <n v="240"/>
    <n v="354"/>
  </r>
  <r>
    <s v="407-9309652-5916318"/>
    <s v="16/09/2022"/>
    <x v="0"/>
    <x v="169"/>
    <x v="15"/>
    <x v="5"/>
    <x v="0"/>
    <s v="GUWAHATI"/>
    <x v="4"/>
    <n v="799"/>
    <n v="205"/>
    <n v="594"/>
    <n v="240"/>
    <n v="354"/>
  </r>
  <r>
    <s v="171-1364147-7700321"/>
    <s v="09/09/2022"/>
    <x v="3"/>
    <x v="134"/>
    <x v="8"/>
    <x v="5"/>
    <x v="0"/>
    <s v="CHENNAI"/>
    <x v="7"/>
    <n v="-849"/>
    <n v="345"/>
    <n v="-504"/>
    <n v="240"/>
    <n v="-264"/>
  </r>
  <r>
    <s v="404-2026933-3965142"/>
    <s v="18/09/2022"/>
    <x v="2"/>
    <x v="149"/>
    <x v="18"/>
    <x v="5"/>
    <x v="0"/>
    <s v="HYDERABAD"/>
    <x v="8"/>
    <n v="0"/>
    <n v="0"/>
    <n v="0"/>
    <n v="0"/>
    <n v="0"/>
  </r>
  <r>
    <s v="404-2026933-3965142"/>
    <s v="18/09/2022"/>
    <x v="2"/>
    <x v="193"/>
    <x v="18"/>
    <x v="5"/>
    <x v="0"/>
    <s v="HYDERABAD"/>
    <x v="8"/>
    <n v="0"/>
    <n v="0"/>
    <n v="0"/>
    <n v="0"/>
    <n v="0"/>
  </r>
  <r>
    <s v="403-9013296-3169165"/>
    <s v="10/09/2022"/>
    <x v="3"/>
    <x v="15"/>
    <x v="10"/>
    <x v="5"/>
    <x v="0"/>
    <s v="JAIPUR"/>
    <x v="10"/>
    <n v="-849"/>
    <n v="345"/>
    <n v="-504"/>
    <n v="240"/>
    <n v="-264"/>
  </r>
  <r>
    <s v="408-4478475-5725929"/>
    <s v="18/09/2022"/>
    <x v="1"/>
    <x v="167"/>
    <x v="18"/>
    <x v="5"/>
    <x v="0"/>
    <s v="HYDERABAD"/>
    <x v="8"/>
    <n v="0"/>
    <n v="0"/>
    <n v="0"/>
    <n v="0"/>
    <n v="0"/>
  </r>
  <r>
    <s v="404-0121090-1470712"/>
    <s v="18/09/2022"/>
    <x v="0"/>
    <x v="25"/>
    <x v="18"/>
    <x v="5"/>
    <x v="0"/>
    <s v="KALYAN"/>
    <x v="6"/>
    <n v="799"/>
    <n v="205"/>
    <n v="594"/>
    <n v="240"/>
    <n v="354"/>
  </r>
  <r>
    <s v="408-6603322-4341110"/>
    <s v="17/09/2022"/>
    <x v="1"/>
    <x v="198"/>
    <x v="16"/>
    <x v="5"/>
    <x v="0"/>
    <s v="HINDUPUR"/>
    <x v="2"/>
    <n v="0"/>
    <n v="0"/>
    <n v="0"/>
    <n v="0"/>
    <n v="0"/>
  </r>
  <r>
    <s v="406-9740025-9920352"/>
    <s v="17/09/2022"/>
    <x v="0"/>
    <x v="217"/>
    <x v="16"/>
    <x v="5"/>
    <x v="0"/>
    <s v="HINDUPUR"/>
    <x v="2"/>
    <n v="799"/>
    <n v="205"/>
    <n v="594"/>
    <n v="240"/>
    <n v="354"/>
  </r>
  <r>
    <s v="408-9524958-8129937"/>
    <s v="18/09/2022"/>
    <x v="1"/>
    <x v="156"/>
    <x v="18"/>
    <x v="5"/>
    <x v="0"/>
    <s v="BENGALURU"/>
    <x v="5"/>
    <n v="0"/>
    <n v="0"/>
    <n v="0"/>
    <n v="0"/>
    <n v="0"/>
  </r>
  <r>
    <s v="403-3774582-1113949"/>
    <s v="18/09/2022"/>
    <x v="0"/>
    <x v="68"/>
    <x v="18"/>
    <x v="5"/>
    <x v="0"/>
    <s v="KHAMMAM"/>
    <x v="8"/>
    <n v="799"/>
    <n v="205"/>
    <n v="594"/>
    <n v="240"/>
    <n v="354"/>
  </r>
  <r>
    <s v="407-9963680-2614702"/>
    <s v="17/09/2022"/>
    <x v="0"/>
    <x v="15"/>
    <x v="16"/>
    <x v="5"/>
    <x v="0"/>
    <s v="NORTH GUWAHATI"/>
    <x v="4"/>
    <n v="849"/>
    <n v="250"/>
    <n v="599"/>
    <n v="240"/>
    <n v="359"/>
  </r>
  <r>
    <s v="403-6305056-7857919"/>
    <s v="18/09/2022"/>
    <x v="0"/>
    <x v="218"/>
    <x v="18"/>
    <x v="5"/>
    <x v="0"/>
    <s v="MANGALYA INDORE"/>
    <x v="13"/>
    <n v="799"/>
    <n v="205"/>
    <n v="594"/>
    <n v="240"/>
    <n v="354"/>
  </r>
  <r>
    <s v="402-4912768-9849112"/>
    <s v="18/09/2022"/>
    <x v="0"/>
    <x v="137"/>
    <x v="18"/>
    <x v="5"/>
    <x v="0"/>
    <s v="SRIPERUMBUDUR"/>
    <x v="7"/>
    <n v="849"/>
    <n v="250"/>
    <n v="599"/>
    <n v="240"/>
    <n v="359"/>
  </r>
  <r>
    <s v="171-9162822-9295544"/>
    <s v="17/09/2022"/>
    <x v="0"/>
    <x v="200"/>
    <x v="16"/>
    <x v="5"/>
    <x v="0"/>
    <s v="HAMIRPUR"/>
    <x v="22"/>
    <n v="999"/>
    <n v="325"/>
    <n v="674"/>
    <n v="240"/>
    <n v="434"/>
  </r>
  <r>
    <s v="171-9162822-9295544"/>
    <s v="17/09/2022"/>
    <x v="0"/>
    <x v="98"/>
    <x v="16"/>
    <x v="5"/>
    <x v="0"/>
    <s v="HAMIRPUR"/>
    <x v="22"/>
    <n v="899"/>
    <n v="295"/>
    <n v="604"/>
    <n v="240"/>
    <n v="364"/>
  </r>
  <r>
    <s v="403-9135971-4380362"/>
    <s v="03/09/2022"/>
    <x v="3"/>
    <x v="76"/>
    <x v="2"/>
    <x v="5"/>
    <x v="0"/>
    <s v="NEW DELHI"/>
    <x v="16"/>
    <n v="-799"/>
    <n v="320"/>
    <n v="-479"/>
    <n v="240"/>
    <n v="-239"/>
  </r>
  <r>
    <s v="404-2686986-3802755"/>
    <s v="19/09/2022"/>
    <x v="0"/>
    <x v="193"/>
    <x v="17"/>
    <x v="5"/>
    <x v="0"/>
    <s v="HYDERABAD"/>
    <x v="8"/>
    <n v="799"/>
    <n v="205"/>
    <n v="594"/>
    <n v="240"/>
    <n v="354"/>
  </r>
  <r>
    <s v="403-3069429-9670743"/>
    <s v="19/09/2022"/>
    <x v="0"/>
    <x v="115"/>
    <x v="17"/>
    <x v="5"/>
    <x v="0"/>
    <s v="GURUGRAM"/>
    <x v="15"/>
    <n v="799"/>
    <n v="205"/>
    <n v="594"/>
    <n v="240"/>
    <n v="354"/>
  </r>
  <r>
    <s v="402-2228042-4581953"/>
    <s v="19/09/2022"/>
    <x v="0"/>
    <x v="81"/>
    <x v="17"/>
    <x v="5"/>
    <x v="0"/>
    <s v="KOTLA NIHANG"/>
    <x v="26"/>
    <n v="799"/>
    <n v="205"/>
    <n v="594"/>
    <n v="240"/>
    <n v="354"/>
  </r>
  <r>
    <s v="402-3976212-1463555"/>
    <s v="19/09/2022"/>
    <x v="0"/>
    <x v="59"/>
    <x v="17"/>
    <x v="5"/>
    <x v="0"/>
    <s v="HOSHIARPUR"/>
    <x v="26"/>
    <n v="899"/>
    <n v="295"/>
    <n v="604"/>
    <n v="240"/>
    <n v="364"/>
  </r>
  <r>
    <s v="406-3658348-9025945"/>
    <s v="19/09/2022"/>
    <x v="0"/>
    <x v="129"/>
    <x v="17"/>
    <x v="5"/>
    <x v="0"/>
    <s v="LONI"/>
    <x v="1"/>
    <n v="799"/>
    <n v="205"/>
    <n v="594"/>
    <n v="240"/>
    <n v="354"/>
  </r>
  <r>
    <s v="408-1461356-8684356"/>
    <s v="13/09/2022"/>
    <x v="3"/>
    <x v="15"/>
    <x v="12"/>
    <x v="5"/>
    <x v="0"/>
    <s v="CHENNAI"/>
    <x v="7"/>
    <n v="-849"/>
    <n v="345"/>
    <n v="-504"/>
    <n v="240"/>
    <n v="-264"/>
  </r>
  <r>
    <s v="405-7565445-9149956"/>
    <s v="20/09/2022"/>
    <x v="2"/>
    <x v="164"/>
    <x v="19"/>
    <x v="5"/>
    <x v="0"/>
    <s v="Bengaluru"/>
    <x v="5"/>
    <n v="0"/>
    <n v="0"/>
    <n v="0"/>
    <n v="0"/>
    <n v="0"/>
  </r>
  <r>
    <s v="402-0032762-9245952"/>
    <s v="20/09/2022"/>
    <x v="0"/>
    <x v="15"/>
    <x v="19"/>
    <x v="5"/>
    <x v="0"/>
    <s v="PILKHUWA"/>
    <x v="1"/>
    <n v="849"/>
    <n v="250"/>
    <n v="599"/>
    <n v="240"/>
    <n v="359"/>
  </r>
  <r>
    <s v="403-3725974-5072345"/>
    <s v="20/09/2022"/>
    <x v="0"/>
    <x v="68"/>
    <x v="19"/>
    <x v="5"/>
    <x v="0"/>
    <s v="BAREILLY"/>
    <x v="1"/>
    <n v="799"/>
    <n v="205"/>
    <n v="594"/>
    <n v="240"/>
    <n v="354"/>
  </r>
  <r>
    <s v="405-7565445-9149956"/>
    <s v="20/09/2022"/>
    <x v="0"/>
    <x v="164"/>
    <x v="19"/>
    <x v="5"/>
    <x v="0"/>
    <s v="Bengaluru"/>
    <x v="5"/>
    <n v="849"/>
    <n v="250"/>
    <n v="599"/>
    <n v="240"/>
    <n v="359"/>
  </r>
  <r>
    <s v="406-0231547-2422731"/>
    <s v="20/09/2022"/>
    <x v="0"/>
    <x v="15"/>
    <x v="19"/>
    <x v="5"/>
    <x v="0"/>
    <s v="DELHI"/>
    <x v="16"/>
    <n v="849"/>
    <n v="250"/>
    <n v="599"/>
    <n v="240"/>
    <n v="359"/>
  </r>
  <r>
    <s v="405-2866637-3949955"/>
    <s v="20/09/2022"/>
    <x v="0"/>
    <x v="152"/>
    <x v="19"/>
    <x v="5"/>
    <x v="0"/>
    <s v="KATRA"/>
    <x v="31"/>
    <n v="799"/>
    <n v="205"/>
    <n v="594"/>
    <n v="240"/>
    <n v="354"/>
  </r>
  <r>
    <s v="406-0282879-2629928"/>
    <s v="20/09/2022"/>
    <x v="0"/>
    <x v="98"/>
    <x v="19"/>
    <x v="5"/>
    <x v="0"/>
    <s v="KOZHIKODE"/>
    <x v="9"/>
    <n v="899"/>
    <n v="295"/>
    <n v="604"/>
    <n v="240"/>
    <n v="364"/>
  </r>
  <r>
    <s v="408-8766798-5257967"/>
    <s v="20/09/2022"/>
    <x v="0"/>
    <x v="148"/>
    <x v="19"/>
    <x v="5"/>
    <x v="0"/>
    <s v="BENGALURU"/>
    <x v="5"/>
    <n v="799"/>
    <n v="205"/>
    <n v="594"/>
    <n v="240"/>
    <n v="354"/>
  </r>
  <r>
    <s v="171-6175710-4287520"/>
    <s v="14/09/2022"/>
    <x v="3"/>
    <x v="31"/>
    <x v="13"/>
    <x v="5"/>
    <x v="0"/>
    <s v="NAGPUR"/>
    <x v="6"/>
    <n v="-799"/>
    <n v="320"/>
    <n v="-479"/>
    <n v="240"/>
    <n v="-239"/>
  </r>
  <r>
    <s v="407-6768790-7432334"/>
    <s v="16/09/2022"/>
    <x v="3"/>
    <x v="69"/>
    <x v="15"/>
    <x v="5"/>
    <x v="0"/>
    <s v="THANE"/>
    <x v="6"/>
    <n v="-849"/>
    <n v="345"/>
    <n v="-504"/>
    <n v="240"/>
    <n v="-264"/>
  </r>
  <r>
    <s v="402-7439699-0295558"/>
    <s v="21/09/2022"/>
    <x v="2"/>
    <x v="219"/>
    <x v="20"/>
    <x v="5"/>
    <x v="0"/>
    <s v="MUMBAI"/>
    <x v="6"/>
    <n v="0"/>
    <n v="0"/>
    <n v="0"/>
    <n v="0"/>
    <n v="0"/>
  </r>
  <r>
    <s v="408-9209639-4829903"/>
    <s v="22/09/2022"/>
    <x v="2"/>
    <x v="200"/>
    <x v="21"/>
    <x v="5"/>
    <x v="0"/>
    <s v="HAMIRPUR"/>
    <x v="22"/>
    <n v="0"/>
    <n v="0"/>
    <n v="0"/>
    <n v="0"/>
    <n v="0"/>
  </r>
  <r>
    <s v="405-4189778-2001148"/>
    <s v="21/09/2022"/>
    <x v="0"/>
    <x v="124"/>
    <x v="20"/>
    <x v="5"/>
    <x v="0"/>
    <s v="DANKUNI"/>
    <x v="18"/>
    <n v="999"/>
    <n v="325"/>
    <n v="674"/>
    <n v="240"/>
    <n v="434"/>
  </r>
  <r>
    <s v="402-7782664-7975564"/>
    <s v="21/09/2022"/>
    <x v="0"/>
    <x v="31"/>
    <x v="20"/>
    <x v="5"/>
    <x v="0"/>
    <s v="PALAKKAD"/>
    <x v="9"/>
    <n v="799"/>
    <n v="205"/>
    <n v="594"/>
    <n v="240"/>
    <n v="354"/>
  </r>
  <r>
    <s v="406-4966171-5733900"/>
    <s v="21/09/2022"/>
    <x v="0"/>
    <x v="15"/>
    <x v="20"/>
    <x v="5"/>
    <x v="0"/>
    <s v="Junagadh"/>
    <x v="3"/>
    <n v="849"/>
    <n v="250"/>
    <n v="599"/>
    <n v="240"/>
    <n v="359"/>
  </r>
  <r>
    <s v="402-7439699-0295558"/>
    <s v="21/09/2022"/>
    <x v="0"/>
    <x v="219"/>
    <x v="20"/>
    <x v="5"/>
    <x v="0"/>
    <s v="MUMBAI"/>
    <x v="6"/>
    <n v="799"/>
    <n v="205"/>
    <n v="594"/>
    <n v="240"/>
    <n v="354"/>
  </r>
  <r>
    <s v="406-0231547-2422731"/>
    <s v="20/09/2022"/>
    <x v="3"/>
    <x v="15"/>
    <x v="19"/>
    <x v="5"/>
    <x v="0"/>
    <s v="DELHI"/>
    <x v="16"/>
    <n v="-849"/>
    <n v="345"/>
    <n v="-504"/>
    <n v="240"/>
    <n v="-264"/>
  </r>
  <r>
    <s v="402-7439699-0295558"/>
    <s v="21/09/2022"/>
    <x v="3"/>
    <x v="219"/>
    <x v="20"/>
    <x v="5"/>
    <x v="0"/>
    <s v="MUMBAI"/>
    <x v="6"/>
    <n v="-799"/>
    <n v="320"/>
    <n v="-479"/>
    <n v="240"/>
    <n v="-239"/>
  </r>
  <r>
    <s v="407-7553580-9962767"/>
    <s v="23/09/2022"/>
    <x v="2"/>
    <x v="147"/>
    <x v="23"/>
    <x v="5"/>
    <x v="0"/>
    <s v="DOMBIVALI"/>
    <x v="6"/>
    <n v="0"/>
    <n v="0"/>
    <n v="0"/>
    <n v="0"/>
    <n v="0"/>
  </r>
  <r>
    <s v="406-7896538-1962700"/>
    <s v="22/09/2022"/>
    <x v="0"/>
    <x v="155"/>
    <x v="21"/>
    <x v="5"/>
    <x v="0"/>
    <s v="MUMBAI"/>
    <x v="6"/>
    <n v="849"/>
    <n v="250"/>
    <n v="599"/>
    <n v="240"/>
    <n v="359"/>
  </r>
  <r>
    <s v="403-9983451-7867532"/>
    <s v="22/09/2022"/>
    <x v="0"/>
    <x v="68"/>
    <x v="21"/>
    <x v="5"/>
    <x v="0"/>
    <s v="Borivali West   Mumbai"/>
    <x v="6"/>
    <n v="799"/>
    <n v="205"/>
    <n v="594"/>
    <n v="240"/>
    <n v="354"/>
  </r>
  <r>
    <s v="408-8257362-0051527"/>
    <s v="22/09/2022"/>
    <x v="0"/>
    <x v="203"/>
    <x v="21"/>
    <x v="5"/>
    <x v="0"/>
    <s v="paradip"/>
    <x v="14"/>
    <n v="799"/>
    <n v="205"/>
    <n v="594"/>
    <n v="240"/>
    <n v="354"/>
  </r>
  <r>
    <s v="402-3011165-6414761"/>
    <s v="22/09/2022"/>
    <x v="0"/>
    <x v="121"/>
    <x v="21"/>
    <x v="5"/>
    <x v="0"/>
    <s v="SONAMUKHI"/>
    <x v="18"/>
    <n v="799"/>
    <n v="205"/>
    <n v="594"/>
    <n v="240"/>
    <n v="354"/>
  </r>
  <r>
    <s v="407-0581448-5000344"/>
    <s v="22/09/2022"/>
    <x v="0"/>
    <x v="164"/>
    <x v="21"/>
    <x v="5"/>
    <x v="0"/>
    <s v="BENGALURU"/>
    <x v="5"/>
    <n v="849"/>
    <n v="250"/>
    <n v="599"/>
    <n v="240"/>
    <n v="359"/>
  </r>
  <r>
    <s v="403-1563718-9008354"/>
    <s v="22/09/2022"/>
    <x v="0"/>
    <x v="75"/>
    <x v="21"/>
    <x v="5"/>
    <x v="0"/>
    <s v="HYDERABAD"/>
    <x v="8"/>
    <n v="1598"/>
    <n v="365"/>
    <n v="1233"/>
    <n v="240"/>
    <n v="993"/>
  </r>
  <r>
    <s v="402-6023302-8862718"/>
    <s v="22/09/2022"/>
    <x v="0"/>
    <x v="129"/>
    <x v="21"/>
    <x v="5"/>
    <x v="0"/>
    <s v="JALANDHAR"/>
    <x v="26"/>
    <n v="799"/>
    <n v="205"/>
    <n v="594"/>
    <n v="240"/>
    <n v="354"/>
  </r>
  <r>
    <s v="402-6023302-8862718"/>
    <s v="22/09/2022"/>
    <x v="0"/>
    <x v="139"/>
    <x v="21"/>
    <x v="5"/>
    <x v="0"/>
    <s v="JALANDHAR"/>
    <x v="26"/>
    <n v="799"/>
    <n v="205"/>
    <n v="594"/>
    <n v="240"/>
    <n v="354"/>
  </r>
  <r>
    <s v="171-6690070-0658758"/>
    <s v="22/09/2022"/>
    <x v="0"/>
    <x v="200"/>
    <x v="21"/>
    <x v="5"/>
    <x v="0"/>
    <s v="HAMIRPUR"/>
    <x v="22"/>
    <n v="999"/>
    <n v="325"/>
    <n v="674"/>
    <n v="240"/>
    <n v="434"/>
  </r>
  <r>
    <s v="171-3181164-5008369"/>
    <s v="22/09/2022"/>
    <x v="0"/>
    <x v="127"/>
    <x v="21"/>
    <x v="5"/>
    <x v="0"/>
    <s v="HYDERABAD"/>
    <x v="8"/>
    <n v="849"/>
    <n v="250"/>
    <n v="599"/>
    <n v="240"/>
    <n v="359"/>
  </r>
  <r>
    <s v="403-4650092-2420313"/>
    <s v="23/09/2022"/>
    <x v="2"/>
    <x v="172"/>
    <x v="23"/>
    <x v="5"/>
    <x v="0"/>
    <s v="NENMENIKKARA"/>
    <x v="9"/>
    <n v="0"/>
    <n v="0"/>
    <n v="0"/>
    <n v="0"/>
    <n v="0"/>
  </r>
  <r>
    <s v="171-7927122-8832344"/>
    <s v="23/09/2022"/>
    <x v="0"/>
    <x v="134"/>
    <x v="23"/>
    <x v="5"/>
    <x v="0"/>
    <s v="IROOPARA"/>
    <x v="9"/>
    <n v="849"/>
    <n v="250"/>
    <n v="599"/>
    <n v="240"/>
    <n v="359"/>
  </r>
  <r>
    <s v="403-4650092-2420313"/>
    <s v="23/09/2022"/>
    <x v="0"/>
    <x v="172"/>
    <x v="23"/>
    <x v="5"/>
    <x v="0"/>
    <s v="NENMENIKKARA"/>
    <x v="9"/>
    <n v="799"/>
    <n v="205"/>
    <n v="594"/>
    <n v="240"/>
    <n v="354"/>
  </r>
  <r>
    <s v="406-4732574-9995528"/>
    <s v="23/09/2022"/>
    <x v="0"/>
    <x v="44"/>
    <x v="23"/>
    <x v="5"/>
    <x v="0"/>
    <s v="RAIPUR"/>
    <x v="20"/>
    <n v="899"/>
    <n v="295"/>
    <n v="604"/>
    <n v="240"/>
    <n v="364"/>
  </r>
  <r>
    <s v="402-1437002-2190748"/>
    <s v="23/09/2022"/>
    <x v="0"/>
    <x v="15"/>
    <x v="23"/>
    <x v="5"/>
    <x v="0"/>
    <s v="BHOPAL"/>
    <x v="13"/>
    <n v="849"/>
    <n v="250"/>
    <n v="599"/>
    <n v="240"/>
    <n v="359"/>
  </r>
  <r>
    <s v="171-2383096-9050701"/>
    <s v="23/09/2022"/>
    <x v="0"/>
    <x v="164"/>
    <x v="23"/>
    <x v="5"/>
    <x v="0"/>
    <s v="VANDAVASI"/>
    <x v="7"/>
    <n v="849"/>
    <n v="250"/>
    <n v="599"/>
    <n v="240"/>
    <n v="359"/>
  </r>
  <r>
    <s v="403-5081012-5209146"/>
    <s v="23/09/2022"/>
    <x v="0"/>
    <x v="220"/>
    <x v="23"/>
    <x v="5"/>
    <x v="0"/>
    <s v="Kadakkavoor"/>
    <x v="9"/>
    <n v="799"/>
    <n v="205"/>
    <n v="594"/>
    <n v="240"/>
    <n v="354"/>
  </r>
  <r>
    <s v="403-2061189-2949966"/>
    <s v="23/09/2022"/>
    <x v="0"/>
    <x v="59"/>
    <x v="23"/>
    <x v="5"/>
    <x v="0"/>
    <s v="ERNAKULAM"/>
    <x v="9"/>
    <n v="899"/>
    <n v="295"/>
    <n v="604"/>
    <n v="240"/>
    <n v="364"/>
  </r>
  <r>
    <s v="404-8298491-4446769"/>
    <s v="23/09/2022"/>
    <x v="0"/>
    <x v="187"/>
    <x v="23"/>
    <x v="5"/>
    <x v="0"/>
    <s v="CHENNAI"/>
    <x v="7"/>
    <n v="799"/>
    <n v="205"/>
    <n v="594"/>
    <n v="240"/>
    <n v="354"/>
  </r>
  <r>
    <s v="408-1801800-5556311"/>
    <s v="23/09/2022"/>
    <x v="0"/>
    <x v="25"/>
    <x v="23"/>
    <x v="5"/>
    <x v="0"/>
    <s v="SOMPETA"/>
    <x v="2"/>
    <n v="799"/>
    <n v="205"/>
    <n v="594"/>
    <n v="240"/>
    <n v="354"/>
  </r>
  <r>
    <s v="403-1344489-1648346"/>
    <s v="23/09/2022"/>
    <x v="0"/>
    <x v="15"/>
    <x v="23"/>
    <x v="5"/>
    <x v="0"/>
    <s v="NOIDA"/>
    <x v="1"/>
    <n v="849"/>
    <n v="250"/>
    <n v="599"/>
    <n v="240"/>
    <n v="359"/>
  </r>
  <r>
    <s v="407-7553580-9962767"/>
    <s v="23/09/2022"/>
    <x v="0"/>
    <x v="147"/>
    <x v="23"/>
    <x v="5"/>
    <x v="0"/>
    <s v="DOMBIVALI"/>
    <x v="6"/>
    <n v="799"/>
    <n v="205"/>
    <n v="594"/>
    <n v="240"/>
    <n v="354"/>
  </r>
  <r>
    <s v="402-6579338-7463547"/>
    <s v="23/09/2022"/>
    <x v="0"/>
    <x v="133"/>
    <x v="23"/>
    <x v="5"/>
    <x v="0"/>
    <s v="DARJEELING"/>
    <x v="18"/>
    <n v="799"/>
    <n v="205"/>
    <n v="594"/>
    <n v="240"/>
    <n v="354"/>
  </r>
  <r>
    <s v="406-8377629-5115552"/>
    <s v="23/09/2022"/>
    <x v="0"/>
    <x v="115"/>
    <x v="23"/>
    <x v="5"/>
    <x v="0"/>
    <s v="NELLORE"/>
    <x v="2"/>
    <n v="799"/>
    <n v="205"/>
    <n v="594"/>
    <n v="240"/>
    <n v="354"/>
  </r>
  <r>
    <s v="408-5448895-9022707"/>
    <s v="23/09/2022"/>
    <x v="0"/>
    <x v="15"/>
    <x v="23"/>
    <x v="5"/>
    <x v="0"/>
    <s v="MUMBAI"/>
    <x v="6"/>
    <n v="849"/>
    <n v="250"/>
    <n v="599"/>
    <n v="240"/>
    <n v="359"/>
  </r>
  <r>
    <s v="171-9162822-9295544"/>
    <s v="17/09/2022"/>
    <x v="3"/>
    <x v="200"/>
    <x v="16"/>
    <x v="5"/>
    <x v="0"/>
    <s v="HAMIRPUR"/>
    <x v="22"/>
    <n v="-999"/>
    <n v="395"/>
    <n v="-604"/>
    <n v="240"/>
    <n v="-364"/>
  </r>
  <r>
    <s v="404-2469670-9554717"/>
    <s v="26/09/2022"/>
    <x v="2"/>
    <x v="200"/>
    <x v="25"/>
    <x v="5"/>
    <x v="0"/>
    <s v="MOHALI"/>
    <x v="26"/>
    <n v="0"/>
    <n v="0"/>
    <n v="0"/>
    <n v="0"/>
    <n v="0"/>
  </r>
  <r>
    <s v="408-8188647-1323529"/>
    <s v="09/09/2022"/>
    <x v="3"/>
    <x v="212"/>
    <x v="8"/>
    <x v="5"/>
    <x v="0"/>
    <s v="HYDERABAD"/>
    <x v="8"/>
    <n v="-999"/>
    <n v="395"/>
    <n v="-604"/>
    <n v="240"/>
    <n v="-364"/>
  </r>
  <r>
    <s v="408-8403918-9121917"/>
    <s v="24/09/2022"/>
    <x v="0"/>
    <x v="165"/>
    <x v="22"/>
    <x v="5"/>
    <x v="0"/>
    <s v="THANE"/>
    <x v="6"/>
    <n v="799"/>
    <n v="205"/>
    <n v="594"/>
    <n v="240"/>
    <n v="354"/>
  </r>
  <r>
    <s v="404-6261677-0877108"/>
    <s v="25/09/2022"/>
    <x v="0"/>
    <x v="220"/>
    <x v="24"/>
    <x v="5"/>
    <x v="0"/>
    <s v="CHENNAI"/>
    <x v="7"/>
    <n v="799"/>
    <n v="205"/>
    <n v="594"/>
    <n v="240"/>
    <n v="354"/>
  </r>
  <r>
    <s v="408-6936165-4355565"/>
    <s v="24/09/2022"/>
    <x v="0"/>
    <x v="127"/>
    <x v="22"/>
    <x v="5"/>
    <x v="0"/>
    <s v="HYDERABAD"/>
    <x v="8"/>
    <n v="849"/>
    <n v="250"/>
    <n v="599"/>
    <n v="240"/>
    <n v="359"/>
  </r>
  <r>
    <s v="171-7470414-4178753"/>
    <s v="24/09/2022"/>
    <x v="0"/>
    <x v="75"/>
    <x v="22"/>
    <x v="5"/>
    <x v="0"/>
    <s v="ARANG"/>
    <x v="20"/>
    <n v="799"/>
    <n v="205"/>
    <n v="594"/>
    <n v="240"/>
    <n v="354"/>
  </r>
  <r>
    <s v="408-9184016-4937923"/>
    <s v="25/09/2022"/>
    <x v="0"/>
    <x v="164"/>
    <x v="24"/>
    <x v="5"/>
    <x v="0"/>
    <s v="PATTIKARA"/>
    <x v="9"/>
    <n v="849"/>
    <n v="250"/>
    <n v="599"/>
    <n v="240"/>
    <n v="359"/>
  </r>
  <r>
    <s v="406-8391829-9687527"/>
    <s v="24/09/2022"/>
    <x v="0"/>
    <x v="25"/>
    <x v="22"/>
    <x v="5"/>
    <x v="0"/>
    <s v="JAMNAGAR"/>
    <x v="3"/>
    <n v="799"/>
    <n v="205"/>
    <n v="594"/>
    <n v="240"/>
    <n v="354"/>
  </r>
  <r>
    <s v="405-8508347-6336305"/>
    <s v="24/09/2022"/>
    <x v="0"/>
    <x v="31"/>
    <x v="22"/>
    <x v="5"/>
    <x v="0"/>
    <s v="BENGALURU"/>
    <x v="5"/>
    <n v="799"/>
    <n v="205"/>
    <n v="594"/>
    <n v="240"/>
    <n v="354"/>
  </r>
  <r>
    <s v="404-1199678-2852344"/>
    <s v="25/09/2022"/>
    <x v="0"/>
    <x v="221"/>
    <x v="24"/>
    <x v="5"/>
    <x v="0"/>
    <s v="HYDERABAD"/>
    <x v="8"/>
    <n v="849"/>
    <n v="250"/>
    <n v="599"/>
    <n v="240"/>
    <n v="359"/>
  </r>
  <r>
    <s v="406-2349173-4113145"/>
    <s v="25/09/2022"/>
    <x v="0"/>
    <x v="123"/>
    <x v="24"/>
    <x v="5"/>
    <x v="0"/>
    <s v="BHUBANESWAR"/>
    <x v="14"/>
    <n v="999"/>
    <n v="325"/>
    <n v="674"/>
    <n v="240"/>
    <n v="434"/>
  </r>
  <r>
    <s v="406-2349173-4113145"/>
    <s v="25/09/2022"/>
    <x v="0"/>
    <x v="137"/>
    <x v="24"/>
    <x v="5"/>
    <x v="0"/>
    <s v="BHUBANESWAR"/>
    <x v="14"/>
    <n v="849"/>
    <n v="250"/>
    <n v="599"/>
    <n v="240"/>
    <n v="359"/>
  </r>
  <r>
    <s v="402-3814496-7381150"/>
    <s v="24/09/2022"/>
    <x v="0"/>
    <x v="222"/>
    <x v="22"/>
    <x v="5"/>
    <x v="0"/>
    <s v="NAGPUR"/>
    <x v="6"/>
    <n v="799"/>
    <n v="205"/>
    <n v="594"/>
    <n v="240"/>
    <n v="354"/>
  </r>
  <r>
    <s v="404-7036233-7424318"/>
    <s v="24/09/2022"/>
    <x v="0"/>
    <x v="23"/>
    <x v="22"/>
    <x v="5"/>
    <x v="0"/>
    <s v="Tambaram"/>
    <x v="7"/>
    <n v="849"/>
    <n v="250"/>
    <n v="599"/>
    <n v="240"/>
    <n v="359"/>
  </r>
  <r>
    <s v="403-6562757-6457911"/>
    <s v="25/09/2022"/>
    <x v="0"/>
    <x v="15"/>
    <x v="24"/>
    <x v="5"/>
    <x v="0"/>
    <s v="GREATER NOIDA"/>
    <x v="1"/>
    <n v="849"/>
    <n v="250"/>
    <n v="599"/>
    <n v="240"/>
    <n v="359"/>
  </r>
  <r>
    <s v="407-3425757-7138757"/>
    <s v="24/09/2022"/>
    <x v="0"/>
    <x v="15"/>
    <x v="22"/>
    <x v="5"/>
    <x v="0"/>
    <s v="ERNAKULAM"/>
    <x v="9"/>
    <n v="849"/>
    <n v="250"/>
    <n v="599"/>
    <n v="240"/>
    <n v="359"/>
  </r>
  <r>
    <s v="402-4670938-6238729"/>
    <s v="24/09/2022"/>
    <x v="0"/>
    <x v="88"/>
    <x v="22"/>
    <x v="5"/>
    <x v="0"/>
    <s v="AHMEDABAD"/>
    <x v="3"/>
    <n v="899"/>
    <n v="295"/>
    <n v="604"/>
    <n v="240"/>
    <n v="364"/>
  </r>
  <r>
    <s v="402-4150975-1361141"/>
    <s v="25/09/2022"/>
    <x v="0"/>
    <x v="81"/>
    <x v="24"/>
    <x v="5"/>
    <x v="0"/>
    <s v="NEW DELHI"/>
    <x v="16"/>
    <n v="799"/>
    <n v="205"/>
    <n v="594"/>
    <n v="240"/>
    <n v="354"/>
  </r>
  <r>
    <s v="171-8182416-1557947"/>
    <s v="24/09/2022"/>
    <x v="0"/>
    <x v="25"/>
    <x v="22"/>
    <x v="5"/>
    <x v="0"/>
    <s v="ASHTA"/>
    <x v="13"/>
    <n v="799"/>
    <n v="205"/>
    <n v="594"/>
    <n v="240"/>
    <n v="354"/>
  </r>
  <r>
    <s v="406-7399606-1442716"/>
    <s v="25/09/2022"/>
    <x v="0"/>
    <x v="15"/>
    <x v="24"/>
    <x v="5"/>
    <x v="0"/>
    <s v="PETHANAICKENPALAYAM"/>
    <x v="7"/>
    <n v="849"/>
    <n v="250"/>
    <n v="599"/>
    <n v="240"/>
    <n v="359"/>
  </r>
  <r>
    <s v="406-0961897-0658704"/>
    <s v="24/09/2022"/>
    <x v="0"/>
    <x v="98"/>
    <x v="22"/>
    <x v="5"/>
    <x v="0"/>
    <s v="NAGPUR"/>
    <x v="6"/>
    <n v="899"/>
    <n v="295"/>
    <n v="604"/>
    <n v="240"/>
    <n v="364"/>
  </r>
  <r>
    <s v="404-4605565-9392340"/>
    <s v="24/09/2022"/>
    <x v="0"/>
    <x v="164"/>
    <x v="22"/>
    <x v="5"/>
    <x v="0"/>
    <s v="BENGALURU"/>
    <x v="5"/>
    <n v="849"/>
    <n v="250"/>
    <n v="599"/>
    <n v="240"/>
    <n v="359"/>
  </r>
  <r>
    <s v="402-5347609-4161146"/>
    <s v="27/09/2022"/>
    <x v="2"/>
    <x v="88"/>
    <x v="26"/>
    <x v="5"/>
    <x v="0"/>
    <s v="NEW DELHI"/>
    <x v="16"/>
    <n v="0"/>
    <n v="0"/>
    <n v="0"/>
    <n v="0"/>
    <n v="0"/>
  </r>
  <r>
    <s v="402-4912768-9849112"/>
    <s v="18/09/2022"/>
    <x v="3"/>
    <x v="137"/>
    <x v="18"/>
    <x v="5"/>
    <x v="0"/>
    <s v="SRIPERUMBUDUR"/>
    <x v="7"/>
    <n v="-849"/>
    <n v="345"/>
    <n v="-504"/>
    <n v="240"/>
    <n v="-264"/>
  </r>
  <r>
    <s v="403-5451880-8422761"/>
    <s v="26/09/2022"/>
    <x v="0"/>
    <x v="223"/>
    <x v="25"/>
    <x v="5"/>
    <x v="0"/>
    <s v="SECUNDERABAD"/>
    <x v="8"/>
    <n v="849"/>
    <n v="250"/>
    <n v="599"/>
    <n v="240"/>
    <n v="359"/>
  </r>
  <r>
    <s v="404-5837762-8305152"/>
    <s v="26/09/2022"/>
    <x v="0"/>
    <x v="178"/>
    <x v="25"/>
    <x v="5"/>
    <x v="0"/>
    <s v="SHORANUR"/>
    <x v="9"/>
    <n v="799"/>
    <n v="205"/>
    <n v="594"/>
    <n v="240"/>
    <n v="354"/>
  </r>
  <r>
    <s v="403-1103334-7059540"/>
    <s v="26/09/2022"/>
    <x v="0"/>
    <x v="179"/>
    <x v="25"/>
    <x v="5"/>
    <x v="0"/>
    <s v="NANDI"/>
    <x v="5"/>
    <n v="799"/>
    <n v="205"/>
    <n v="594"/>
    <n v="240"/>
    <n v="354"/>
  </r>
  <r>
    <s v="171-0284917-7752326"/>
    <s v="25/09/2022"/>
    <x v="0"/>
    <x v="15"/>
    <x v="24"/>
    <x v="5"/>
    <x v="0"/>
    <s v="SONGADH TAPI DISTRICT"/>
    <x v="3"/>
    <n v="849"/>
    <n v="250"/>
    <n v="599"/>
    <n v="240"/>
    <n v="359"/>
  </r>
  <r>
    <s v="404-2469670-9554717"/>
    <s v="26/09/2022"/>
    <x v="0"/>
    <x v="200"/>
    <x v="25"/>
    <x v="5"/>
    <x v="0"/>
    <s v="MOHALI"/>
    <x v="26"/>
    <n v="999"/>
    <n v="325"/>
    <n v="674"/>
    <n v="240"/>
    <n v="434"/>
  </r>
  <r>
    <s v="408-7573536-4221114"/>
    <s v="25/09/2022"/>
    <x v="0"/>
    <x v="31"/>
    <x v="24"/>
    <x v="5"/>
    <x v="0"/>
    <s v="RAIPUR"/>
    <x v="20"/>
    <n v="799"/>
    <n v="205"/>
    <n v="594"/>
    <n v="240"/>
    <n v="354"/>
  </r>
  <r>
    <s v="407-5351567-1517961"/>
    <s v="26/09/2022"/>
    <x v="0"/>
    <x v="224"/>
    <x v="25"/>
    <x v="5"/>
    <x v="0"/>
    <s v="MUMBAI"/>
    <x v="6"/>
    <n v="849"/>
    <n v="250"/>
    <n v="599"/>
    <n v="240"/>
    <n v="359"/>
  </r>
  <r>
    <s v="402-5467691-0556358"/>
    <s v="26/09/2022"/>
    <x v="0"/>
    <x v="15"/>
    <x v="25"/>
    <x v="5"/>
    <x v="0"/>
    <s v="MUMBAI"/>
    <x v="6"/>
    <n v="849"/>
    <n v="250"/>
    <n v="599"/>
    <n v="240"/>
    <n v="359"/>
  </r>
  <r>
    <s v="405-1969849-3508337"/>
    <s v="25/09/2022"/>
    <x v="0"/>
    <x v="220"/>
    <x v="24"/>
    <x v="5"/>
    <x v="0"/>
    <s v="GANDHINAGAR"/>
    <x v="3"/>
    <n v="799"/>
    <n v="205"/>
    <n v="594"/>
    <n v="240"/>
    <n v="354"/>
  </r>
  <r>
    <s v="405-7474336-0443543"/>
    <s v="26/09/2022"/>
    <x v="0"/>
    <x v="15"/>
    <x v="25"/>
    <x v="5"/>
    <x v="0"/>
    <s v="HYDERABAD"/>
    <x v="8"/>
    <n v="849"/>
    <n v="250"/>
    <n v="599"/>
    <n v="240"/>
    <n v="359"/>
  </r>
  <r>
    <s v="406-7093554-6129132"/>
    <s v="26/09/2022"/>
    <x v="0"/>
    <x v="15"/>
    <x v="25"/>
    <x v="5"/>
    <x v="0"/>
    <s v="THIRUVALLA"/>
    <x v="9"/>
    <n v="849"/>
    <n v="250"/>
    <n v="599"/>
    <n v="240"/>
    <n v="359"/>
  </r>
  <r>
    <s v="406-6771036-8508336"/>
    <s v="25/09/2022"/>
    <x v="0"/>
    <x v="86"/>
    <x v="24"/>
    <x v="5"/>
    <x v="0"/>
    <s v="COIMBATORE"/>
    <x v="7"/>
    <n v="899"/>
    <n v="295"/>
    <n v="604"/>
    <n v="240"/>
    <n v="364"/>
  </r>
  <r>
    <s v="403-0848629-7118745"/>
    <s v="26/09/2022"/>
    <x v="0"/>
    <x v="225"/>
    <x v="25"/>
    <x v="5"/>
    <x v="0"/>
    <s v="RAJNANDGAON"/>
    <x v="20"/>
    <n v="799"/>
    <n v="205"/>
    <n v="594"/>
    <n v="240"/>
    <n v="354"/>
  </r>
  <r>
    <s v="403-3886187-5954725"/>
    <s v="26/09/2022"/>
    <x v="0"/>
    <x v="120"/>
    <x v="25"/>
    <x v="5"/>
    <x v="0"/>
    <s v="NEW DELHI"/>
    <x v="16"/>
    <n v="849"/>
    <n v="250"/>
    <n v="599"/>
    <n v="240"/>
    <n v="359"/>
  </r>
  <r>
    <s v="408-1188573-4737943"/>
    <s v="25/09/2022"/>
    <x v="0"/>
    <x v="165"/>
    <x v="24"/>
    <x v="5"/>
    <x v="0"/>
    <s v="BENGALURU"/>
    <x v="5"/>
    <n v="799"/>
    <n v="205"/>
    <n v="594"/>
    <n v="240"/>
    <n v="354"/>
  </r>
  <r>
    <s v="405-4189778-2001148"/>
    <s v="21/09/2022"/>
    <x v="3"/>
    <x v="124"/>
    <x v="20"/>
    <x v="5"/>
    <x v="0"/>
    <s v="DANKUNI"/>
    <x v="18"/>
    <n v="-999"/>
    <n v="395"/>
    <n v="-604"/>
    <n v="240"/>
    <n v="-364"/>
  </r>
  <r>
    <s v="402-6023302-8862718"/>
    <s v="22/09/2022"/>
    <x v="3"/>
    <x v="139"/>
    <x v="21"/>
    <x v="5"/>
    <x v="0"/>
    <s v="JALANDHAR"/>
    <x v="26"/>
    <n v="-799"/>
    <n v="320"/>
    <n v="-479"/>
    <n v="240"/>
    <n v="-239"/>
  </r>
  <r>
    <s v="408-1801800-5556311"/>
    <s v="23/09/2022"/>
    <x v="3"/>
    <x v="25"/>
    <x v="23"/>
    <x v="5"/>
    <x v="0"/>
    <s v="SOMPETA"/>
    <x v="2"/>
    <n v="-799"/>
    <n v="320"/>
    <n v="-479"/>
    <n v="240"/>
    <n v="-239"/>
  </r>
  <r>
    <s v="171-4591953-4916327"/>
    <s v="27/09/2022"/>
    <x v="2"/>
    <x v="15"/>
    <x v="26"/>
    <x v="5"/>
    <x v="0"/>
    <s v="MUMBAI"/>
    <x v="6"/>
    <n v="0"/>
    <n v="0"/>
    <n v="0"/>
    <n v="0"/>
    <n v="0"/>
  </r>
  <r>
    <s v="406-9606493-9918713"/>
    <s v="27/09/2022"/>
    <x v="0"/>
    <x v="128"/>
    <x v="26"/>
    <x v="5"/>
    <x v="0"/>
    <s v="JAIPUR"/>
    <x v="10"/>
    <n v="999"/>
    <n v="325"/>
    <n v="674"/>
    <n v="240"/>
    <n v="434"/>
  </r>
  <r>
    <s v="402-5347609-4161146"/>
    <s v="27/09/2022"/>
    <x v="0"/>
    <x v="88"/>
    <x v="26"/>
    <x v="5"/>
    <x v="0"/>
    <s v="NEW DELHI"/>
    <x v="16"/>
    <n v="899"/>
    <n v="295"/>
    <n v="604"/>
    <n v="240"/>
    <n v="364"/>
  </r>
  <r>
    <s v="408-1031649-1974708"/>
    <s v="26/09/2022"/>
    <x v="0"/>
    <x v="59"/>
    <x v="25"/>
    <x v="5"/>
    <x v="0"/>
    <s v="PUNE"/>
    <x v="6"/>
    <n v="899"/>
    <n v="295"/>
    <n v="604"/>
    <n v="240"/>
    <n v="364"/>
  </r>
  <r>
    <s v="402-8216790-8355525"/>
    <s v="27/09/2022"/>
    <x v="0"/>
    <x v="15"/>
    <x v="26"/>
    <x v="5"/>
    <x v="0"/>
    <s v="VASAI"/>
    <x v="6"/>
    <n v="849"/>
    <n v="250"/>
    <n v="599"/>
    <n v="240"/>
    <n v="359"/>
  </r>
  <r>
    <s v="407-4252694-9898707"/>
    <s v="27/09/2022"/>
    <x v="0"/>
    <x v="15"/>
    <x v="26"/>
    <x v="5"/>
    <x v="0"/>
    <s v="ERNAKULAM"/>
    <x v="9"/>
    <n v="849"/>
    <n v="250"/>
    <n v="599"/>
    <n v="240"/>
    <n v="359"/>
  </r>
  <r>
    <s v="171-2932377-9792302"/>
    <s v="27/09/2022"/>
    <x v="0"/>
    <x v="15"/>
    <x v="26"/>
    <x v="5"/>
    <x v="0"/>
    <s v="HYDERABAD"/>
    <x v="8"/>
    <n v="849"/>
    <n v="250"/>
    <n v="599"/>
    <n v="240"/>
    <n v="359"/>
  </r>
  <r>
    <s v="402-3011165-6414761"/>
    <s v="22/09/2022"/>
    <x v="3"/>
    <x v="121"/>
    <x v="21"/>
    <x v="5"/>
    <x v="0"/>
    <s v="SONAMUKHI"/>
    <x v="18"/>
    <n v="-799"/>
    <n v="320"/>
    <n v="-479"/>
    <n v="240"/>
    <n v="-239"/>
  </r>
  <r>
    <s v="405-3419987-6021966"/>
    <s v="28/09/2022"/>
    <x v="0"/>
    <x v="127"/>
    <x v="27"/>
    <x v="5"/>
    <x v="0"/>
    <s v="HINDAUN"/>
    <x v="10"/>
    <n v="849"/>
    <n v="250"/>
    <n v="599"/>
    <n v="240"/>
    <n v="359"/>
  </r>
  <r>
    <s v="404-1463866-4605124"/>
    <s v="28/09/2022"/>
    <x v="0"/>
    <x v="137"/>
    <x v="27"/>
    <x v="5"/>
    <x v="0"/>
    <s v="MUMBAI"/>
    <x v="6"/>
    <n v="849"/>
    <n v="250"/>
    <n v="599"/>
    <n v="240"/>
    <n v="359"/>
  </r>
  <r>
    <s v="405-0137713-1269129"/>
    <s v="28/09/2022"/>
    <x v="0"/>
    <x v="74"/>
    <x v="27"/>
    <x v="5"/>
    <x v="0"/>
    <s v="Bichun"/>
    <x v="10"/>
    <n v="899"/>
    <n v="295"/>
    <n v="604"/>
    <n v="240"/>
    <n v="364"/>
  </r>
  <r>
    <s v="408-2644579-7827511"/>
    <s v="28/09/2022"/>
    <x v="0"/>
    <x v="127"/>
    <x v="27"/>
    <x v="5"/>
    <x v="0"/>
    <s v="HYDERABAD"/>
    <x v="8"/>
    <n v="849"/>
    <n v="250"/>
    <n v="599"/>
    <n v="240"/>
    <n v="359"/>
  </r>
  <r>
    <s v="171-0701101-9779509"/>
    <s v="28/09/2022"/>
    <x v="0"/>
    <x v="68"/>
    <x v="27"/>
    <x v="5"/>
    <x v="0"/>
    <s v="NELLORE"/>
    <x v="2"/>
    <n v="799"/>
    <n v="205"/>
    <n v="594"/>
    <n v="240"/>
    <n v="354"/>
  </r>
  <r>
    <s v="407-4442134-1831516"/>
    <s v="26/09/2022"/>
    <x v="0"/>
    <x v="79"/>
    <x v="25"/>
    <x v="5"/>
    <x v="0"/>
    <s v="ASANSOL"/>
    <x v="18"/>
    <n v="899"/>
    <n v="295"/>
    <n v="604"/>
    <n v="240"/>
    <n v="364"/>
  </r>
  <r>
    <s v="407-6395076-8265905"/>
    <s v="27/09/2022"/>
    <x v="0"/>
    <x v="226"/>
    <x v="26"/>
    <x v="5"/>
    <x v="0"/>
    <s v="CHHATARPUR"/>
    <x v="13"/>
    <n v="849"/>
    <n v="250"/>
    <n v="599"/>
    <n v="240"/>
    <n v="359"/>
  </r>
  <r>
    <s v="405-8669073-9493922"/>
    <s v="27/09/2022"/>
    <x v="0"/>
    <x v="127"/>
    <x v="26"/>
    <x v="5"/>
    <x v="0"/>
    <s v="KOTDWARA"/>
    <x v="24"/>
    <n v="849"/>
    <n v="250"/>
    <n v="599"/>
    <n v="240"/>
    <n v="359"/>
  </r>
  <r>
    <s v="407-6521391-3154720"/>
    <s v="27/09/2022"/>
    <x v="0"/>
    <x v="15"/>
    <x v="26"/>
    <x v="5"/>
    <x v="0"/>
    <s v="NEW DELHI"/>
    <x v="16"/>
    <n v="849"/>
    <n v="250"/>
    <n v="599"/>
    <n v="240"/>
    <n v="359"/>
  </r>
  <r>
    <s v="171-4055111-7205938"/>
    <s v="28/09/2022"/>
    <x v="0"/>
    <x v="115"/>
    <x v="27"/>
    <x v="5"/>
    <x v="0"/>
    <s v="AHMEDABAD"/>
    <x v="3"/>
    <n v="799"/>
    <n v="205"/>
    <n v="594"/>
    <n v="240"/>
    <n v="354"/>
  </r>
  <r>
    <s v="405-2866637-3949955"/>
    <s v="20/09/2022"/>
    <x v="3"/>
    <x v="152"/>
    <x v="19"/>
    <x v="5"/>
    <x v="0"/>
    <s v="KATRA"/>
    <x v="31"/>
    <n v="-799"/>
    <n v="320"/>
    <n v="-479"/>
    <n v="240"/>
    <n v="-239"/>
  </r>
  <r>
    <s v="403-6562757-6457911"/>
    <s v="25/09/2022"/>
    <x v="3"/>
    <x v="15"/>
    <x v="24"/>
    <x v="5"/>
    <x v="0"/>
    <s v="GREATER NOIDA"/>
    <x v="1"/>
    <n v="-849"/>
    <n v="345"/>
    <n v="-504"/>
    <n v="240"/>
    <n v="-264"/>
  </r>
  <r>
    <s v="408-2274209-0831541"/>
    <s v="30/09/2022"/>
    <x v="2"/>
    <x v="69"/>
    <x v="29"/>
    <x v="5"/>
    <x v="0"/>
    <s v="CHENNAI"/>
    <x v="7"/>
    <n v="0"/>
    <n v="0"/>
    <n v="0"/>
    <n v="0"/>
    <n v="0"/>
  </r>
  <r>
    <s v="171-7980571-1756311"/>
    <s v="30/09/2022"/>
    <x v="2"/>
    <x v="15"/>
    <x v="29"/>
    <x v="5"/>
    <x v="0"/>
    <s v="PUNE"/>
    <x v="6"/>
    <n v="0"/>
    <n v="0"/>
    <n v="0"/>
    <n v="0"/>
    <n v="0"/>
  </r>
  <r>
    <s v="403-3886187-5954725"/>
    <s v="26/09/2022"/>
    <x v="3"/>
    <x v="120"/>
    <x v="25"/>
    <x v="5"/>
    <x v="0"/>
    <s v="NEW DELHI"/>
    <x v="16"/>
    <n v="-849"/>
    <n v="345"/>
    <n v="-504"/>
    <n v="240"/>
    <n v="-264"/>
  </r>
  <r>
    <s v="404-1623376-3676364"/>
    <s v="29/09/2022"/>
    <x v="0"/>
    <x v="15"/>
    <x v="28"/>
    <x v="5"/>
    <x v="0"/>
    <s v="CHENNAI"/>
    <x v="7"/>
    <n v="849"/>
    <n v="250"/>
    <n v="599"/>
    <n v="240"/>
    <n v="359"/>
  </r>
  <r>
    <s v="408-8310058-2194767"/>
    <s v="29/09/2022"/>
    <x v="0"/>
    <x v="75"/>
    <x v="28"/>
    <x v="5"/>
    <x v="0"/>
    <s v="AHMEDABAD"/>
    <x v="3"/>
    <n v="799"/>
    <n v="205"/>
    <n v="594"/>
    <n v="240"/>
    <n v="354"/>
  </r>
  <r>
    <s v="406-7546832-1969962"/>
    <s v="29/09/2022"/>
    <x v="0"/>
    <x v="145"/>
    <x v="28"/>
    <x v="5"/>
    <x v="0"/>
    <s v="Bhilai"/>
    <x v="20"/>
    <n v="799"/>
    <n v="205"/>
    <n v="594"/>
    <n v="240"/>
    <n v="354"/>
  </r>
  <r>
    <s v="403-8780751-0504331"/>
    <s v="28/09/2022"/>
    <x v="0"/>
    <x v="15"/>
    <x v="27"/>
    <x v="5"/>
    <x v="0"/>
    <s v="TIRUNELVELI"/>
    <x v="7"/>
    <n v="849"/>
    <n v="250"/>
    <n v="599"/>
    <n v="240"/>
    <n v="359"/>
  </r>
  <r>
    <s v="408-9807157-7336346"/>
    <s v="29/09/2022"/>
    <x v="0"/>
    <x v="134"/>
    <x v="28"/>
    <x v="5"/>
    <x v="0"/>
    <s v="CHENNAI"/>
    <x v="7"/>
    <n v="849"/>
    <n v="250"/>
    <n v="599"/>
    <n v="240"/>
    <n v="359"/>
  </r>
  <r>
    <s v="171-2241897-5524361"/>
    <s v="29/09/2022"/>
    <x v="0"/>
    <x v="133"/>
    <x v="28"/>
    <x v="5"/>
    <x v="0"/>
    <s v="AHMEDABAD"/>
    <x v="3"/>
    <n v="799"/>
    <n v="205"/>
    <n v="594"/>
    <n v="240"/>
    <n v="354"/>
  </r>
  <r>
    <s v="407-2304005-6283560"/>
    <s v="29/09/2022"/>
    <x v="0"/>
    <x v="195"/>
    <x v="28"/>
    <x v="5"/>
    <x v="0"/>
    <s v="PUNE"/>
    <x v="6"/>
    <n v="799"/>
    <n v="205"/>
    <n v="594"/>
    <n v="240"/>
    <n v="354"/>
  </r>
  <r>
    <s v="403-1282862-1017162"/>
    <s v="28/09/2022"/>
    <x v="0"/>
    <x v="227"/>
    <x v="27"/>
    <x v="5"/>
    <x v="0"/>
    <s v="BIDAR"/>
    <x v="5"/>
    <n v="799"/>
    <n v="205"/>
    <n v="594"/>
    <n v="240"/>
    <n v="354"/>
  </r>
  <r>
    <s v="407-4139800-3512358"/>
    <s v="29/09/2022"/>
    <x v="0"/>
    <x v="81"/>
    <x v="28"/>
    <x v="5"/>
    <x v="0"/>
    <s v="Kalyan"/>
    <x v="6"/>
    <n v="799"/>
    <n v="205"/>
    <n v="594"/>
    <n v="240"/>
    <n v="354"/>
  </r>
  <r>
    <s v="171-6005190-5476344"/>
    <s v="29/09/2022"/>
    <x v="0"/>
    <x v="85"/>
    <x v="28"/>
    <x v="5"/>
    <x v="0"/>
    <s v="JAIPUR"/>
    <x v="10"/>
    <n v="799"/>
    <n v="205"/>
    <n v="594"/>
    <n v="240"/>
    <n v="354"/>
  </r>
  <r>
    <s v="171-1613390-7768308"/>
    <s v="29/09/2022"/>
    <x v="0"/>
    <x v="68"/>
    <x v="28"/>
    <x v="5"/>
    <x v="0"/>
    <s v="BHOPAL"/>
    <x v="13"/>
    <n v="799"/>
    <n v="205"/>
    <n v="594"/>
    <n v="240"/>
    <n v="354"/>
  </r>
  <r>
    <s v="406-2098675-1585142"/>
    <s v="28/09/2022"/>
    <x v="0"/>
    <x v="15"/>
    <x v="27"/>
    <x v="5"/>
    <x v="0"/>
    <s v="JAIPUR"/>
    <x v="10"/>
    <n v="849"/>
    <n v="250"/>
    <n v="599"/>
    <n v="240"/>
    <n v="359"/>
  </r>
  <r>
    <s v="406-5099641-2274750"/>
    <s v="28/09/2022"/>
    <x v="0"/>
    <x v="109"/>
    <x v="27"/>
    <x v="5"/>
    <x v="0"/>
    <s v="NAVI MUMBAI"/>
    <x v="6"/>
    <n v="799"/>
    <n v="205"/>
    <n v="594"/>
    <n v="240"/>
    <n v="354"/>
  </r>
  <r>
    <s v="406-7349390-2061138"/>
    <s v="30/09/2022"/>
    <x v="2"/>
    <x v="81"/>
    <x v="29"/>
    <x v="5"/>
    <x v="0"/>
    <s v="Varkala"/>
    <x v="9"/>
    <n v="0"/>
    <n v="0"/>
    <n v="0"/>
    <n v="0"/>
    <n v="0"/>
  </r>
  <r>
    <s v="408-3019580-2355532"/>
    <s v="29/09/2022"/>
    <x v="1"/>
    <x v="98"/>
    <x v="28"/>
    <x v="5"/>
    <x v="0"/>
    <s v="AHMEDABAD"/>
    <x v="3"/>
    <n v="0"/>
    <n v="0"/>
    <n v="0"/>
    <n v="0"/>
    <n v="0"/>
  </r>
  <r>
    <s v="171-8984219-0774751"/>
    <s v="30/09/2022"/>
    <x v="0"/>
    <x v="137"/>
    <x v="29"/>
    <x v="5"/>
    <x v="0"/>
    <s v="TIRUCHIRAPPALLI"/>
    <x v="7"/>
    <n v="849"/>
    <n v="250"/>
    <n v="599"/>
    <n v="240"/>
    <n v="359"/>
  </r>
  <r>
    <s v="404-1687937-4209124"/>
    <s v="28/09/2022"/>
    <x v="0"/>
    <x v="156"/>
    <x v="27"/>
    <x v="5"/>
    <x v="0"/>
    <s v="SHILLONG"/>
    <x v="23"/>
    <n v="799"/>
    <n v="205"/>
    <n v="594"/>
    <n v="240"/>
    <n v="354"/>
  </r>
  <r>
    <s v="408-2274209-0831541"/>
    <s v="30/09/2022"/>
    <x v="0"/>
    <x v="69"/>
    <x v="29"/>
    <x v="5"/>
    <x v="0"/>
    <s v="CHENNAI"/>
    <x v="7"/>
    <n v="849"/>
    <n v="250"/>
    <n v="599"/>
    <n v="240"/>
    <n v="359"/>
  </r>
  <r>
    <s v="406-6446152-9165918"/>
    <s v="29/09/2022"/>
    <x v="0"/>
    <x v="15"/>
    <x v="28"/>
    <x v="5"/>
    <x v="0"/>
    <s v="CHENNAI"/>
    <x v="7"/>
    <n v="849"/>
    <n v="250"/>
    <n v="599"/>
    <n v="240"/>
    <n v="359"/>
  </r>
  <r>
    <s v="403-6233338-2125918"/>
    <s v="29/09/2022"/>
    <x v="0"/>
    <x v="127"/>
    <x v="28"/>
    <x v="5"/>
    <x v="0"/>
    <s v="PUNE"/>
    <x v="6"/>
    <n v="849"/>
    <n v="250"/>
    <n v="599"/>
    <n v="240"/>
    <n v="359"/>
  </r>
  <r>
    <s v="404-0960905-3856368"/>
    <s v="30/09/2022"/>
    <x v="0"/>
    <x v="59"/>
    <x v="29"/>
    <x v="5"/>
    <x v="0"/>
    <s v="PUNE"/>
    <x v="6"/>
    <n v="899"/>
    <n v="295"/>
    <n v="604"/>
    <n v="240"/>
    <n v="364"/>
  </r>
  <r>
    <s v="171-7980571-1756311"/>
    <s v="30/09/2022"/>
    <x v="0"/>
    <x v="15"/>
    <x v="29"/>
    <x v="5"/>
    <x v="0"/>
    <s v="PUNE"/>
    <x v="6"/>
    <n v="849"/>
    <n v="250"/>
    <n v="599"/>
    <n v="240"/>
    <n v="359"/>
  </r>
  <r>
    <s v="405-6854124-0125918"/>
    <s v="01/10/2022"/>
    <x v="2"/>
    <x v="148"/>
    <x v="0"/>
    <x v="6"/>
    <x v="0"/>
    <s v="HYDERABAD"/>
    <x v="8"/>
    <n v="0"/>
    <n v="0"/>
    <n v="0"/>
    <n v="0"/>
    <n v="0"/>
  </r>
  <r>
    <s v="404-1746895-6178748"/>
    <s v="01/10/2022"/>
    <x v="2"/>
    <x v="204"/>
    <x v="0"/>
    <x v="6"/>
    <x v="0"/>
    <s v="PUNE"/>
    <x v="6"/>
    <n v="0"/>
    <n v="0"/>
    <n v="0"/>
    <n v="0"/>
    <n v="0"/>
  </r>
  <r>
    <s v="404-4852137-9743554"/>
    <s v="02/10/2022"/>
    <x v="2"/>
    <x v="25"/>
    <x v="1"/>
    <x v="6"/>
    <x v="0"/>
    <s v="MUMBAI"/>
    <x v="6"/>
    <n v="0"/>
    <n v="0"/>
    <n v="0"/>
    <n v="0"/>
    <n v="0"/>
  </r>
  <r>
    <s v="406-8444850-5110724"/>
    <s v="01/10/2022"/>
    <x v="2"/>
    <x v="15"/>
    <x v="0"/>
    <x v="6"/>
    <x v="0"/>
    <s v="NAGINA"/>
    <x v="1"/>
    <n v="0"/>
    <n v="0"/>
    <n v="0"/>
    <n v="0"/>
    <n v="0"/>
  </r>
  <r>
    <s v="404-2106239-1599543"/>
    <s v="01/10/2022"/>
    <x v="0"/>
    <x v="15"/>
    <x v="0"/>
    <x v="6"/>
    <x v="0"/>
    <s v="GREATER NOIDA"/>
    <x v="1"/>
    <n v="849"/>
    <n v="250"/>
    <n v="599"/>
    <n v="240"/>
    <n v="359"/>
  </r>
  <r>
    <s v="171-9119192-9004348"/>
    <s v="01/10/2022"/>
    <x v="0"/>
    <x v="152"/>
    <x v="0"/>
    <x v="6"/>
    <x v="0"/>
    <s v="JAIPUR"/>
    <x v="10"/>
    <n v="799"/>
    <n v="205"/>
    <n v="594"/>
    <n v="240"/>
    <n v="354"/>
  </r>
  <r>
    <s v="402-7052401-4750724"/>
    <s v="01/10/2022"/>
    <x v="0"/>
    <x v="68"/>
    <x v="0"/>
    <x v="6"/>
    <x v="0"/>
    <s v="THIRUVANANTHAPURAM"/>
    <x v="9"/>
    <n v="799"/>
    <n v="205"/>
    <n v="594"/>
    <n v="240"/>
    <n v="354"/>
  </r>
  <r>
    <s v="405-6854124-0125918"/>
    <s v="01/10/2022"/>
    <x v="0"/>
    <x v="148"/>
    <x v="0"/>
    <x v="6"/>
    <x v="0"/>
    <s v="HYDERABAD"/>
    <x v="8"/>
    <n v="799"/>
    <n v="205"/>
    <n v="594"/>
    <n v="240"/>
    <n v="354"/>
  </r>
  <r>
    <s v="408-7300203-2299546"/>
    <s v="01/10/2022"/>
    <x v="0"/>
    <x v="81"/>
    <x v="0"/>
    <x v="6"/>
    <x v="0"/>
    <s v="BILASPUR"/>
    <x v="20"/>
    <n v="799"/>
    <n v="205"/>
    <n v="594"/>
    <n v="240"/>
    <n v="354"/>
  </r>
  <r>
    <s v="408-0955918-1281132"/>
    <s v="01/10/2022"/>
    <x v="1"/>
    <x v="220"/>
    <x v="0"/>
    <x v="6"/>
    <x v="0"/>
    <s v="GANDHINAGAR"/>
    <x v="3"/>
    <n v="0"/>
    <n v="0"/>
    <n v="0"/>
    <n v="0"/>
    <n v="0"/>
  </r>
  <r>
    <s v="171-2852733-5487545"/>
    <s v="02/10/2022"/>
    <x v="0"/>
    <x v="165"/>
    <x v="1"/>
    <x v="6"/>
    <x v="0"/>
    <s v="Kalyan"/>
    <x v="6"/>
    <n v="799"/>
    <n v="205"/>
    <n v="594"/>
    <n v="240"/>
    <n v="354"/>
  </r>
  <r>
    <s v="402-4521330-3123520"/>
    <s v="01/10/2022"/>
    <x v="0"/>
    <x v="25"/>
    <x v="0"/>
    <x v="6"/>
    <x v="0"/>
    <s v="GURUGRAM"/>
    <x v="15"/>
    <n v="799"/>
    <n v="205"/>
    <n v="594"/>
    <n v="240"/>
    <n v="354"/>
  </r>
  <r>
    <s v="408-0824996-3723507"/>
    <s v="02/10/2022"/>
    <x v="0"/>
    <x v="228"/>
    <x v="1"/>
    <x v="6"/>
    <x v="0"/>
    <s v="Nanar Ingalwadi Taluka  Rajapur  Dist  Ratnagiri"/>
    <x v="6"/>
    <n v="799"/>
    <n v="205"/>
    <n v="594"/>
    <n v="240"/>
    <n v="354"/>
  </r>
  <r>
    <s v="404-1746895-6178748"/>
    <s v="01/10/2022"/>
    <x v="0"/>
    <x v="204"/>
    <x v="0"/>
    <x v="6"/>
    <x v="0"/>
    <s v="PUNE"/>
    <x v="6"/>
    <n v="799"/>
    <n v="205"/>
    <n v="594"/>
    <n v="240"/>
    <n v="354"/>
  </r>
  <r>
    <s v="402-6244748-1909923"/>
    <s v="02/10/2022"/>
    <x v="0"/>
    <x v="15"/>
    <x v="1"/>
    <x v="6"/>
    <x v="0"/>
    <s v="PILLAIARKUPPAM"/>
    <x v="27"/>
    <n v="849"/>
    <n v="250"/>
    <n v="599"/>
    <n v="240"/>
    <n v="359"/>
  </r>
  <r>
    <s v="408-7069352-7433157"/>
    <s v="02/10/2022"/>
    <x v="1"/>
    <x v="69"/>
    <x v="1"/>
    <x v="6"/>
    <x v="0"/>
    <s v="RAIPUR"/>
    <x v="20"/>
    <n v="0"/>
    <n v="0"/>
    <n v="0"/>
    <n v="0"/>
    <n v="0"/>
  </r>
  <r>
    <s v="171-3284624-0520351"/>
    <s v="01/10/2022"/>
    <x v="0"/>
    <x v="86"/>
    <x v="0"/>
    <x v="6"/>
    <x v="0"/>
    <s v="Dandeli"/>
    <x v="5"/>
    <n v="899"/>
    <n v="295"/>
    <n v="604"/>
    <n v="240"/>
    <n v="364"/>
  </r>
  <r>
    <s v="171-5906079-2540350"/>
    <s v="03/10/2022"/>
    <x v="0"/>
    <x v="25"/>
    <x v="2"/>
    <x v="6"/>
    <x v="0"/>
    <s v="NOIDA sec 62"/>
    <x v="1"/>
    <n v="799"/>
    <n v="205"/>
    <n v="594"/>
    <n v="240"/>
    <n v="354"/>
  </r>
  <r>
    <s v="407-6298003-3037117"/>
    <s v="03/10/2022"/>
    <x v="0"/>
    <x v="107"/>
    <x v="2"/>
    <x v="6"/>
    <x v="0"/>
    <s v="Pune"/>
    <x v="6"/>
    <n v="799"/>
    <n v="205"/>
    <n v="594"/>
    <n v="240"/>
    <n v="354"/>
  </r>
  <r>
    <s v="404-4852137-9743554"/>
    <s v="02/10/2022"/>
    <x v="0"/>
    <x v="25"/>
    <x v="1"/>
    <x v="6"/>
    <x v="0"/>
    <s v="MUMBAI"/>
    <x v="6"/>
    <n v="799"/>
    <n v="205"/>
    <n v="594"/>
    <n v="240"/>
    <n v="354"/>
  </r>
  <r>
    <s v="403-2590480-3982738"/>
    <s v="02/10/2022"/>
    <x v="0"/>
    <x v="74"/>
    <x v="1"/>
    <x v="6"/>
    <x v="0"/>
    <s v="NAVI MUMBAI"/>
    <x v="6"/>
    <n v="899"/>
    <n v="295"/>
    <n v="604"/>
    <n v="240"/>
    <n v="364"/>
  </r>
  <r>
    <s v="402-1492396-1610754"/>
    <s v="02/10/2022"/>
    <x v="0"/>
    <x v="88"/>
    <x v="1"/>
    <x v="6"/>
    <x v="0"/>
    <s v="AGRA"/>
    <x v="1"/>
    <n v="899"/>
    <n v="295"/>
    <n v="604"/>
    <n v="240"/>
    <n v="364"/>
  </r>
  <r>
    <s v="406-3842492-3107519"/>
    <s v="05/10/2022"/>
    <x v="2"/>
    <x v="220"/>
    <x v="4"/>
    <x v="6"/>
    <x v="0"/>
    <s v="MOHALI"/>
    <x v="26"/>
    <n v="0"/>
    <n v="0"/>
    <n v="0"/>
    <n v="0"/>
    <n v="0"/>
  </r>
  <r>
    <s v="405-4416045-7496319"/>
    <s v="06/10/2022"/>
    <x v="2"/>
    <x v="137"/>
    <x v="5"/>
    <x v="6"/>
    <x v="0"/>
    <s v="phalodi Dt  Jodhpur"/>
    <x v="10"/>
    <n v="0"/>
    <n v="0"/>
    <n v="0"/>
    <n v="0"/>
    <n v="0"/>
  </r>
  <r>
    <s v="408-0782975-5444302"/>
    <s v="04/10/2022"/>
    <x v="0"/>
    <x v="187"/>
    <x v="3"/>
    <x v="6"/>
    <x v="0"/>
    <s v="NEW DELHI"/>
    <x v="16"/>
    <n v="799"/>
    <n v="205"/>
    <n v="594"/>
    <n v="240"/>
    <n v="354"/>
  </r>
  <r>
    <s v="402-3070693-0139526"/>
    <s v="04/10/2022"/>
    <x v="0"/>
    <x v="31"/>
    <x v="3"/>
    <x v="6"/>
    <x v="0"/>
    <s v="NANDED WAGHALA"/>
    <x v="6"/>
    <n v="799"/>
    <n v="205"/>
    <n v="594"/>
    <n v="240"/>
    <n v="354"/>
  </r>
  <r>
    <s v="408-8124405-4929943"/>
    <s v="04/10/2022"/>
    <x v="0"/>
    <x v="229"/>
    <x v="3"/>
    <x v="6"/>
    <x v="0"/>
    <s v="MUMBAI"/>
    <x v="6"/>
    <n v="799"/>
    <n v="205"/>
    <n v="594"/>
    <n v="240"/>
    <n v="354"/>
  </r>
  <r>
    <s v="408-8124405-4929943"/>
    <s v="04/10/2022"/>
    <x v="0"/>
    <x v="187"/>
    <x v="3"/>
    <x v="6"/>
    <x v="0"/>
    <s v="MUMBAI"/>
    <x v="6"/>
    <n v="799"/>
    <n v="205"/>
    <n v="594"/>
    <n v="240"/>
    <n v="354"/>
  </r>
  <r>
    <s v="403-7127214-7200343"/>
    <s v="03/10/2022"/>
    <x v="0"/>
    <x v="228"/>
    <x v="2"/>
    <x v="6"/>
    <x v="0"/>
    <s v="RAYAVARAM"/>
    <x v="2"/>
    <n v="799"/>
    <n v="205"/>
    <n v="594"/>
    <n v="240"/>
    <n v="354"/>
  </r>
  <r>
    <s v="404-3360826-5841904"/>
    <s v="03/10/2022"/>
    <x v="0"/>
    <x v="164"/>
    <x v="2"/>
    <x v="6"/>
    <x v="0"/>
    <s v="chennai"/>
    <x v="7"/>
    <n v="849"/>
    <n v="250"/>
    <n v="599"/>
    <n v="240"/>
    <n v="359"/>
  </r>
  <r>
    <s v="404-3360826-5841904"/>
    <s v="03/10/2022"/>
    <x v="0"/>
    <x v="15"/>
    <x v="2"/>
    <x v="6"/>
    <x v="0"/>
    <s v="chennai"/>
    <x v="7"/>
    <n v="849"/>
    <n v="250"/>
    <n v="599"/>
    <n v="240"/>
    <n v="359"/>
  </r>
  <r>
    <s v="402-3392632-3443512"/>
    <s v="04/10/2022"/>
    <x v="0"/>
    <x v="153"/>
    <x v="3"/>
    <x v="6"/>
    <x v="0"/>
    <s v="RAJULA"/>
    <x v="3"/>
    <n v="799"/>
    <n v="205"/>
    <n v="594"/>
    <n v="240"/>
    <n v="354"/>
  </r>
  <r>
    <s v="405-9637284-7911568"/>
    <s v="04/10/2022"/>
    <x v="0"/>
    <x v="166"/>
    <x v="3"/>
    <x v="6"/>
    <x v="0"/>
    <s v="AMMAPETTAI ERODE DISTRICT"/>
    <x v="7"/>
    <n v="849"/>
    <n v="250"/>
    <n v="599"/>
    <n v="240"/>
    <n v="359"/>
  </r>
  <r>
    <s v="171-6599426-7905157"/>
    <s v="04/10/2022"/>
    <x v="0"/>
    <x v="75"/>
    <x v="3"/>
    <x v="6"/>
    <x v="0"/>
    <s v="ARANG"/>
    <x v="20"/>
    <n v="799"/>
    <n v="205"/>
    <n v="594"/>
    <n v="240"/>
    <n v="354"/>
  </r>
  <r>
    <s v="403-6822838-7807524"/>
    <s v="04/10/2022"/>
    <x v="0"/>
    <x v="197"/>
    <x v="3"/>
    <x v="6"/>
    <x v="0"/>
    <s v="Mathabhanga"/>
    <x v="18"/>
    <n v="849"/>
    <n v="250"/>
    <n v="599"/>
    <n v="240"/>
    <n v="359"/>
  </r>
  <r>
    <s v="404-2106239-1599543"/>
    <s v="01/10/2022"/>
    <x v="3"/>
    <x v="15"/>
    <x v="0"/>
    <x v="6"/>
    <x v="0"/>
    <s v="GREATER NOIDA"/>
    <x v="1"/>
    <n v="-849"/>
    <n v="345"/>
    <n v="-504"/>
    <n v="240"/>
    <n v="-264"/>
  </r>
  <r>
    <s v="405-4957466-7652312"/>
    <s v="06/10/2022"/>
    <x v="2"/>
    <x v="197"/>
    <x v="5"/>
    <x v="6"/>
    <x v="0"/>
    <s v="CHENNAI"/>
    <x v="7"/>
    <n v="0"/>
    <n v="0"/>
    <n v="0"/>
    <n v="0"/>
    <n v="0"/>
  </r>
  <r>
    <s v="408-0824996-3723507"/>
    <s v="02/10/2022"/>
    <x v="3"/>
    <x v="228"/>
    <x v="1"/>
    <x v="6"/>
    <x v="0"/>
    <s v="Nanar Ingalwadi Taluka  Rajapur  Dist  Ratnagiri"/>
    <x v="6"/>
    <n v="-799"/>
    <n v="320"/>
    <n v="-479"/>
    <n v="240"/>
    <n v="-239"/>
  </r>
  <r>
    <s v="403-8266427-5532304"/>
    <s v="05/10/2022"/>
    <x v="0"/>
    <x v="80"/>
    <x v="4"/>
    <x v="6"/>
    <x v="0"/>
    <s v="Kalpi"/>
    <x v="1"/>
    <n v="899"/>
    <n v="295"/>
    <n v="604"/>
    <n v="240"/>
    <n v="364"/>
  </r>
  <r>
    <s v="403-7707714-8759561"/>
    <s v="05/10/2022"/>
    <x v="0"/>
    <x v="79"/>
    <x v="4"/>
    <x v="6"/>
    <x v="0"/>
    <s v="DURGAPUR"/>
    <x v="18"/>
    <n v="899"/>
    <n v="295"/>
    <n v="604"/>
    <n v="240"/>
    <n v="364"/>
  </r>
  <r>
    <s v="405-7161409-9523530"/>
    <s v="05/10/2022"/>
    <x v="0"/>
    <x v="68"/>
    <x v="4"/>
    <x v="6"/>
    <x v="0"/>
    <s v="VASAI VIRAR"/>
    <x v="6"/>
    <n v="799"/>
    <n v="205"/>
    <n v="594"/>
    <n v="240"/>
    <n v="354"/>
  </r>
  <r>
    <s v="403-8032847-1675539"/>
    <s v="05/10/2022"/>
    <x v="0"/>
    <x v="25"/>
    <x v="4"/>
    <x v="6"/>
    <x v="0"/>
    <s v="NEW DELHI"/>
    <x v="16"/>
    <n v="799"/>
    <n v="205"/>
    <n v="594"/>
    <n v="240"/>
    <n v="354"/>
  </r>
  <r>
    <s v="407-7226288-5463551"/>
    <s v="05/10/2022"/>
    <x v="0"/>
    <x v="127"/>
    <x v="4"/>
    <x v="6"/>
    <x v="0"/>
    <s v="GUNTUR"/>
    <x v="2"/>
    <n v="849"/>
    <n v="250"/>
    <n v="599"/>
    <n v="240"/>
    <n v="359"/>
  </r>
  <r>
    <s v="405-8966695-0927507"/>
    <s v="05/10/2022"/>
    <x v="0"/>
    <x v="221"/>
    <x v="4"/>
    <x v="6"/>
    <x v="0"/>
    <s v="PUNE"/>
    <x v="6"/>
    <n v="849"/>
    <n v="250"/>
    <n v="599"/>
    <n v="240"/>
    <n v="359"/>
  </r>
  <r>
    <s v="406-3842492-3107519"/>
    <s v="05/10/2022"/>
    <x v="0"/>
    <x v="220"/>
    <x v="4"/>
    <x v="6"/>
    <x v="0"/>
    <s v="MOHALI"/>
    <x v="26"/>
    <n v="799"/>
    <n v="205"/>
    <n v="594"/>
    <n v="240"/>
    <n v="354"/>
  </r>
  <r>
    <s v="406-5411640-8965148"/>
    <s v="05/10/2022"/>
    <x v="0"/>
    <x v="229"/>
    <x v="4"/>
    <x v="6"/>
    <x v="0"/>
    <s v="MUMBAI"/>
    <x v="6"/>
    <n v="799"/>
    <n v="205"/>
    <n v="594"/>
    <n v="240"/>
    <n v="354"/>
  </r>
  <r>
    <s v="406-6077574-5769117"/>
    <s v="05/10/2022"/>
    <x v="0"/>
    <x v="31"/>
    <x v="4"/>
    <x v="6"/>
    <x v="0"/>
    <s v="KUMBAKONAM"/>
    <x v="7"/>
    <n v="799"/>
    <n v="205"/>
    <n v="594"/>
    <n v="240"/>
    <n v="354"/>
  </r>
  <r>
    <s v="405-0334352-6615500"/>
    <s v="07/10/2022"/>
    <x v="0"/>
    <x v="166"/>
    <x v="7"/>
    <x v="6"/>
    <x v="0"/>
    <s v="CHENNAI"/>
    <x v="7"/>
    <n v="849"/>
    <n v="250"/>
    <n v="599"/>
    <n v="240"/>
    <n v="359"/>
  </r>
  <r>
    <s v="171-6259641-2466701"/>
    <s v="06/10/2022"/>
    <x v="0"/>
    <x v="75"/>
    <x v="5"/>
    <x v="6"/>
    <x v="0"/>
    <s v="BENGALURU"/>
    <x v="5"/>
    <n v="799"/>
    <n v="205"/>
    <n v="594"/>
    <n v="240"/>
    <n v="354"/>
  </r>
  <r>
    <s v="408-6264385-5245962"/>
    <s v="06/10/2022"/>
    <x v="0"/>
    <x v="81"/>
    <x v="5"/>
    <x v="6"/>
    <x v="0"/>
    <s v="MORADABAD"/>
    <x v="1"/>
    <n v="799"/>
    <n v="205"/>
    <n v="594"/>
    <n v="240"/>
    <n v="354"/>
  </r>
  <r>
    <s v="407-9871636-8885104"/>
    <s v="07/10/2022"/>
    <x v="0"/>
    <x v="86"/>
    <x v="7"/>
    <x v="6"/>
    <x v="0"/>
    <s v="GUWAHATI"/>
    <x v="4"/>
    <n v="899"/>
    <n v="295"/>
    <n v="604"/>
    <n v="240"/>
    <n v="364"/>
  </r>
  <r>
    <s v="405-5182382-0771546"/>
    <s v="06/10/2022"/>
    <x v="0"/>
    <x v="203"/>
    <x v="5"/>
    <x v="6"/>
    <x v="0"/>
    <s v="KANODAR"/>
    <x v="3"/>
    <n v="799"/>
    <n v="205"/>
    <n v="594"/>
    <n v="240"/>
    <n v="354"/>
  </r>
  <r>
    <s v="405-4416045-7496319"/>
    <s v="06/10/2022"/>
    <x v="0"/>
    <x v="137"/>
    <x v="5"/>
    <x v="6"/>
    <x v="0"/>
    <s v="phalodi Dt  Jodhpur"/>
    <x v="10"/>
    <n v="849"/>
    <n v="250"/>
    <n v="599"/>
    <n v="240"/>
    <n v="359"/>
  </r>
  <r>
    <s v="171-6756094-3651517"/>
    <s v="06/10/2022"/>
    <x v="0"/>
    <x v="165"/>
    <x v="5"/>
    <x v="6"/>
    <x v="0"/>
    <s v="MUMBAI"/>
    <x v="6"/>
    <n v="799"/>
    <n v="205"/>
    <n v="594"/>
    <n v="240"/>
    <n v="354"/>
  </r>
  <r>
    <s v="402-2238355-0845903"/>
    <s v="06/10/2022"/>
    <x v="0"/>
    <x v="213"/>
    <x v="5"/>
    <x v="6"/>
    <x v="0"/>
    <s v="SONIPAT"/>
    <x v="15"/>
    <n v="799"/>
    <n v="205"/>
    <n v="594"/>
    <n v="240"/>
    <n v="354"/>
  </r>
  <r>
    <s v="403-5865752-5731565"/>
    <s v="06/10/2022"/>
    <x v="0"/>
    <x v="230"/>
    <x v="5"/>
    <x v="6"/>
    <x v="0"/>
    <s v="PUNE"/>
    <x v="6"/>
    <n v="849"/>
    <n v="250"/>
    <n v="599"/>
    <n v="240"/>
    <n v="359"/>
  </r>
  <r>
    <s v="408-7710590-8439523"/>
    <s v="08/10/2022"/>
    <x v="2"/>
    <x v="187"/>
    <x v="6"/>
    <x v="6"/>
    <x v="0"/>
    <s v="NEW DELHI"/>
    <x v="16"/>
    <n v="0"/>
    <n v="0"/>
    <n v="0"/>
    <n v="0"/>
    <n v="0"/>
  </r>
  <r>
    <s v="408-7300203-2299546"/>
    <s v="01/10/2022"/>
    <x v="3"/>
    <x v="81"/>
    <x v="0"/>
    <x v="6"/>
    <x v="0"/>
    <s v="BILASPUR"/>
    <x v="20"/>
    <n v="-799"/>
    <n v="320"/>
    <n v="-479"/>
    <n v="240"/>
    <n v="-239"/>
  </r>
  <r>
    <s v="405-7644322-6621103"/>
    <s v="07/10/2022"/>
    <x v="0"/>
    <x v="131"/>
    <x v="7"/>
    <x v="6"/>
    <x v="0"/>
    <s v="KISHANGANJ"/>
    <x v="0"/>
    <n v="799"/>
    <n v="205"/>
    <n v="594"/>
    <n v="240"/>
    <n v="354"/>
  </r>
  <r>
    <s v="403-7769328-3733146"/>
    <s v="08/10/2022"/>
    <x v="0"/>
    <x v="231"/>
    <x v="6"/>
    <x v="6"/>
    <x v="0"/>
    <s v="GAUTAM BUDDHA NAGAR"/>
    <x v="1"/>
    <n v="799"/>
    <n v="205"/>
    <n v="594"/>
    <n v="240"/>
    <n v="354"/>
  </r>
  <r>
    <s v="406-9474884-4445123"/>
    <s v="08/10/2022"/>
    <x v="0"/>
    <x v="68"/>
    <x v="6"/>
    <x v="6"/>
    <x v="0"/>
    <s v="MUMBAI"/>
    <x v="6"/>
    <n v="799"/>
    <n v="205"/>
    <n v="594"/>
    <n v="240"/>
    <n v="354"/>
  </r>
  <r>
    <s v="406-6120403-6498726"/>
    <s v="08/10/2022"/>
    <x v="0"/>
    <x v="207"/>
    <x v="6"/>
    <x v="6"/>
    <x v="0"/>
    <s v="HYDERABAD"/>
    <x v="8"/>
    <n v="799"/>
    <n v="205"/>
    <n v="594"/>
    <n v="240"/>
    <n v="354"/>
  </r>
  <r>
    <s v="406-0760737-4614733"/>
    <s v="07/10/2022"/>
    <x v="0"/>
    <x v="15"/>
    <x v="7"/>
    <x v="6"/>
    <x v="0"/>
    <s v="PUNE"/>
    <x v="6"/>
    <n v="849"/>
    <n v="250"/>
    <n v="599"/>
    <n v="240"/>
    <n v="359"/>
  </r>
  <r>
    <s v="406-2478356-1867509"/>
    <s v="08/10/2022"/>
    <x v="0"/>
    <x v="231"/>
    <x v="6"/>
    <x v="6"/>
    <x v="0"/>
    <s v="PATHANAMTHITTA"/>
    <x v="9"/>
    <n v="799"/>
    <n v="205"/>
    <n v="594"/>
    <n v="240"/>
    <n v="354"/>
  </r>
  <r>
    <s v="402-7812864-8460304"/>
    <s v="07/10/2022"/>
    <x v="0"/>
    <x v="232"/>
    <x v="7"/>
    <x v="6"/>
    <x v="0"/>
    <s v="CHENNAI"/>
    <x v="7"/>
    <n v="849"/>
    <n v="250"/>
    <n v="599"/>
    <n v="240"/>
    <n v="359"/>
  </r>
  <r>
    <s v="171-2852733-5487545"/>
    <s v="02/10/2022"/>
    <x v="3"/>
    <x v="165"/>
    <x v="1"/>
    <x v="6"/>
    <x v="0"/>
    <s v="Kalyan"/>
    <x v="6"/>
    <n v="-799"/>
    <n v="320"/>
    <n v="-479"/>
    <n v="240"/>
    <n v="-239"/>
  </r>
  <r>
    <s v="402-4618199-9295528"/>
    <s v="08/10/2022"/>
    <x v="0"/>
    <x v="121"/>
    <x v="6"/>
    <x v="6"/>
    <x v="0"/>
    <s v="CHENNAI"/>
    <x v="7"/>
    <n v="799"/>
    <n v="205"/>
    <n v="594"/>
    <n v="240"/>
    <n v="354"/>
  </r>
  <r>
    <s v="407-4018628-0909143"/>
    <s v="08/10/2022"/>
    <x v="0"/>
    <x v="205"/>
    <x v="6"/>
    <x v="6"/>
    <x v="0"/>
    <s v="GANDHINAGAR"/>
    <x v="3"/>
    <n v="799"/>
    <n v="205"/>
    <n v="594"/>
    <n v="240"/>
    <n v="354"/>
  </r>
  <r>
    <s v="408-5309269-0883514"/>
    <s v="08/10/2022"/>
    <x v="0"/>
    <x v="218"/>
    <x v="6"/>
    <x v="6"/>
    <x v="0"/>
    <s v="BHOPAL"/>
    <x v="13"/>
    <n v="799"/>
    <n v="205"/>
    <n v="594"/>
    <n v="240"/>
    <n v="354"/>
  </r>
  <r>
    <s v="408-5309269-0883514"/>
    <s v="08/10/2022"/>
    <x v="0"/>
    <x v="80"/>
    <x v="6"/>
    <x v="6"/>
    <x v="0"/>
    <s v="BHOPAL"/>
    <x v="13"/>
    <n v="899"/>
    <n v="295"/>
    <n v="604"/>
    <n v="240"/>
    <n v="364"/>
  </r>
  <r>
    <s v="408-3223444-2160301"/>
    <s v="08/10/2022"/>
    <x v="0"/>
    <x v="81"/>
    <x v="6"/>
    <x v="6"/>
    <x v="0"/>
    <s v="PUNE"/>
    <x v="6"/>
    <n v="799"/>
    <n v="205"/>
    <n v="594"/>
    <n v="240"/>
    <n v="354"/>
  </r>
  <r>
    <s v="405-1371035-3329118"/>
    <s v="08/10/2022"/>
    <x v="0"/>
    <x v="134"/>
    <x v="6"/>
    <x v="6"/>
    <x v="0"/>
    <s v="Noida"/>
    <x v="1"/>
    <n v="849"/>
    <n v="250"/>
    <n v="599"/>
    <n v="240"/>
    <n v="359"/>
  </r>
  <r>
    <s v="406-3539368-4157929"/>
    <s v="09/10/2022"/>
    <x v="0"/>
    <x v="59"/>
    <x v="8"/>
    <x v="6"/>
    <x v="0"/>
    <s v="DOWLESWARAM"/>
    <x v="2"/>
    <n v="899"/>
    <n v="295"/>
    <n v="604"/>
    <n v="240"/>
    <n v="364"/>
  </r>
  <r>
    <s v="406-1974638-0457118"/>
    <s v="07/10/2022"/>
    <x v="0"/>
    <x v="168"/>
    <x v="7"/>
    <x v="6"/>
    <x v="0"/>
    <s v="RANCHI"/>
    <x v="11"/>
    <n v="799"/>
    <n v="205"/>
    <n v="594"/>
    <n v="240"/>
    <n v="354"/>
  </r>
  <r>
    <s v="171-0816376-6027524"/>
    <s v="08/10/2022"/>
    <x v="0"/>
    <x v="200"/>
    <x v="6"/>
    <x v="6"/>
    <x v="0"/>
    <s v="AMBIKAPUR"/>
    <x v="20"/>
    <n v="999"/>
    <n v="325"/>
    <n v="674"/>
    <n v="240"/>
    <n v="434"/>
  </r>
  <r>
    <s v="404-2101140-6946721"/>
    <s v="08/10/2022"/>
    <x v="0"/>
    <x v="233"/>
    <x v="6"/>
    <x v="6"/>
    <x v="0"/>
    <s v="NAGPUR"/>
    <x v="6"/>
    <n v="849"/>
    <n v="250"/>
    <n v="599"/>
    <n v="240"/>
    <n v="359"/>
  </r>
  <r>
    <s v="404-7741204-6308302"/>
    <s v="08/10/2022"/>
    <x v="0"/>
    <x v="12"/>
    <x v="6"/>
    <x v="6"/>
    <x v="0"/>
    <s v="Tripunithura"/>
    <x v="9"/>
    <n v="849"/>
    <n v="250"/>
    <n v="599"/>
    <n v="240"/>
    <n v="359"/>
  </r>
  <r>
    <s v="406-2027820-3104306"/>
    <s v="11/10/2022"/>
    <x v="2"/>
    <x v="80"/>
    <x v="9"/>
    <x v="6"/>
    <x v="0"/>
    <s v="MOHALI"/>
    <x v="26"/>
    <n v="0"/>
    <n v="0"/>
    <n v="0"/>
    <n v="0"/>
    <n v="0"/>
  </r>
  <r>
    <s v="406-2027820-3104306"/>
    <s v="11/10/2022"/>
    <x v="2"/>
    <x v="201"/>
    <x v="9"/>
    <x v="6"/>
    <x v="0"/>
    <s v="MOHALI"/>
    <x v="26"/>
    <n v="0"/>
    <n v="0"/>
    <n v="0"/>
    <n v="0"/>
    <n v="0"/>
  </r>
  <r>
    <s v="407-6521308-1401958"/>
    <s v="09/10/2022"/>
    <x v="0"/>
    <x v="234"/>
    <x v="8"/>
    <x v="6"/>
    <x v="0"/>
    <s v="RAYAGADA"/>
    <x v="14"/>
    <n v="799"/>
    <n v="205"/>
    <n v="594"/>
    <n v="240"/>
    <n v="354"/>
  </r>
  <r>
    <s v="408-9670932-0983548"/>
    <s v="10/10/2022"/>
    <x v="1"/>
    <x v="187"/>
    <x v="10"/>
    <x v="6"/>
    <x v="0"/>
    <s v="RAJULA"/>
    <x v="3"/>
    <n v="0"/>
    <n v="0"/>
    <n v="0"/>
    <n v="0"/>
    <n v="0"/>
  </r>
  <r>
    <s v="408-5607676-3290725"/>
    <s v="09/10/2022"/>
    <x v="0"/>
    <x v="88"/>
    <x v="8"/>
    <x v="6"/>
    <x v="0"/>
    <s v="VIJAYAWADA"/>
    <x v="2"/>
    <n v="899"/>
    <n v="295"/>
    <n v="604"/>
    <n v="240"/>
    <n v="364"/>
  </r>
  <r>
    <s v="171-2833106-5073908"/>
    <s v="09/10/2022"/>
    <x v="0"/>
    <x v="154"/>
    <x v="8"/>
    <x v="6"/>
    <x v="0"/>
    <s v="AIZAWL"/>
    <x v="28"/>
    <n v="799"/>
    <n v="205"/>
    <n v="594"/>
    <n v="240"/>
    <n v="354"/>
  </r>
  <r>
    <s v="171-7709208-8693903"/>
    <s v="09/10/2022"/>
    <x v="0"/>
    <x v="15"/>
    <x v="8"/>
    <x v="6"/>
    <x v="0"/>
    <s v="MUNGER"/>
    <x v="0"/>
    <n v="849"/>
    <n v="250"/>
    <n v="599"/>
    <n v="240"/>
    <n v="359"/>
  </r>
  <r>
    <s v="408-9030842-4655564"/>
    <s v="09/10/2022"/>
    <x v="1"/>
    <x v="69"/>
    <x v="8"/>
    <x v="6"/>
    <x v="0"/>
    <s v="THIRUVANANTHAPURAM"/>
    <x v="9"/>
    <n v="0"/>
    <n v="0"/>
    <n v="0"/>
    <n v="0"/>
    <n v="0"/>
  </r>
  <r>
    <s v="171-2515964-4245103"/>
    <s v="10/10/2022"/>
    <x v="0"/>
    <x v="204"/>
    <x v="10"/>
    <x v="6"/>
    <x v="0"/>
    <s v="NAVI MUMBAI"/>
    <x v="6"/>
    <n v="799"/>
    <n v="205"/>
    <n v="594"/>
    <n v="240"/>
    <n v="354"/>
  </r>
  <r>
    <s v="402-4700577-4526754"/>
    <s v="09/10/2022"/>
    <x v="0"/>
    <x v="201"/>
    <x v="8"/>
    <x v="6"/>
    <x v="0"/>
    <s v="GHANGHATA"/>
    <x v="1"/>
    <n v="799"/>
    <n v="205"/>
    <n v="594"/>
    <n v="240"/>
    <n v="354"/>
  </r>
  <r>
    <s v="403-7869089-5855559"/>
    <s v="08/10/2022"/>
    <x v="0"/>
    <x v="154"/>
    <x v="6"/>
    <x v="6"/>
    <x v="0"/>
    <s v="HYDERABAD"/>
    <x v="8"/>
    <n v="799"/>
    <n v="205"/>
    <n v="594"/>
    <n v="240"/>
    <n v="354"/>
  </r>
  <r>
    <s v="408-2834190-4469108"/>
    <s v="08/10/2022"/>
    <x v="0"/>
    <x v="80"/>
    <x v="6"/>
    <x v="6"/>
    <x v="0"/>
    <s v="Port Blair"/>
    <x v="32"/>
    <n v="899"/>
    <n v="295"/>
    <n v="604"/>
    <n v="240"/>
    <n v="364"/>
  </r>
  <r>
    <s v="403-2590480-3982738"/>
    <s v="02/10/2022"/>
    <x v="3"/>
    <x v="74"/>
    <x v="1"/>
    <x v="6"/>
    <x v="0"/>
    <s v="NAVI MUMBAI"/>
    <x v="6"/>
    <n v="-899"/>
    <n v="375"/>
    <n v="-524"/>
    <n v="240"/>
    <n v="-284"/>
  </r>
  <r>
    <s v="406-6331347-7596312"/>
    <s v="11/10/2022"/>
    <x v="2"/>
    <x v="145"/>
    <x v="9"/>
    <x v="6"/>
    <x v="0"/>
    <s v="CHENNAI"/>
    <x v="7"/>
    <n v="0"/>
    <n v="0"/>
    <n v="0"/>
    <n v="0"/>
    <n v="0"/>
  </r>
  <r>
    <s v="408-0429417-4014709"/>
    <s v="11/10/2022"/>
    <x v="2"/>
    <x v="140"/>
    <x v="9"/>
    <x v="6"/>
    <x v="0"/>
    <s v="LUCKNOW"/>
    <x v="1"/>
    <n v="0"/>
    <n v="0"/>
    <n v="0"/>
    <n v="0"/>
    <n v="0"/>
  </r>
  <r>
    <s v="407-6298003-3037117"/>
    <s v="03/10/2022"/>
    <x v="3"/>
    <x v="107"/>
    <x v="2"/>
    <x v="6"/>
    <x v="0"/>
    <s v="Pune"/>
    <x v="6"/>
    <n v="-799"/>
    <n v="320"/>
    <n v="-479"/>
    <n v="240"/>
    <n v="-239"/>
  </r>
  <r>
    <s v="408-6222277-5587561"/>
    <s v="12/10/2022"/>
    <x v="2"/>
    <x v="202"/>
    <x v="11"/>
    <x v="6"/>
    <x v="0"/>
    <s v="NEW DELHI"/>
    <x v="16"/>
    <n v="0"/>
    <n v="0"/>
    <n v="0"/>
    <n v="0"/>
    <n v="0"/>
  </r>
  <r>
    <s v="408-4685639-1273167"/>
    <s v="09/10/2022"/>
    <x v="0"/>
    <x v="202"/>
    <x v="8"/>
    <x v="6"/>
    <x v="0"/>
    <s v="NEW DELHI"/>
    <x v="16"/>
    <n v="999"/>
    <n v="325"/>
    <n v="674"/>
    <n v="240"/>
    <n v="434"/>
  </r>
  <r>
    <s v="405-6015592-3588305"/>
    <s v="10/10/2022"/>
    <x v="0"/>
    <x v="169"/>
    <x v="10"/>
    <x v="6"/>
    <x v="0"/>
    <s v="KAKKALUR"/>
    <x v="7"/>
    <n v="799"/>
    <n v="205"/>
    <n v="594"/>
    <n v="240"/>
    <n v="354"/>
  </r>
  <r>
    <s v="408-4886765-6153904"/>
    <s v="11/10/2022"/>
    <x v="0"/>
    <x v="165"/>
    <x v="9"/>
    <x v="6"/>
    <x v="0"/>
    <s v="MUGHALSARAI"/>
    <x v="1"/>
    <n v="799"/>
    <n v="205"/>
    <n v="594"/>
    <n v="240"/>
    <n v="354"/>
  </r>
  <r>
    <s v="171-9802463-7077962"/>
    <s v="10/10/2022"/>
    <x v="0"/>
    <x v="235"/>
    <x v="10"/>
    <x v="6"/>
    <x v="0"/>
    <s v="SEDAM"/>
    <x v="5"/>
    <n v="799"/>
    <n v="205"/>
    <n v="594"/>
    <n v="240"/>
    <n v="354"/>
  </r>
  <r>
    <s v="403-3845106-2540313"/>
    <s v="10/10/2022"/>
    <x v="0"/>
    <x v="134"/>
    <x v="10"/>
    <x v="6"/>
    <x v="0"/>
    <s v="HYDERABAD"/>
    <x v="8"/>
    <n v="849"/>
    <n v="250"/>
    <n v="599"/>
    <n v="240"/>
    <n v="359"/>
  </r>
  <r>
    <s v="408-8913335-1669118"/>
    <s v="10/10/2022"/>
    <x v="0"/>
    <x v="119"/>
    <x v="10"/>
    <x v="6"/>
    <x v="0"/>
    <s v="HYDERABAD"/>
    <x v="8"/>
    <n v="799"/>
    <n v="205"/>
    <n v="594"/>
    <n v="240"/>
    <n v="354"/>
  </r>
  <r>
    <s v="403-3135010-2378745"/>
    <s v="11/10/2022"/>
    <x v="0"/>
    <x v="75"/>
    <x v="9"/>
    <x v="6"/>
    <x v="0"/>
    <s v="HUNSUR"/>
    <x v="5"/>
    <n v="799"/>
    <n v="205"/>
    <n v="594"/>
    <n v="240"/>
    <n v="354"/>
  </r>
  <r>
    <s v="408-4833419-9258710"/>
    <s v="10/10/2022"/>
    <x v="0"/>
    <x v="180"/>
    <x v="10"/>
    <x v="6"/>
    <x v="0"/>
    <s v="MORADABAD"/>
    <x v="1"/>
    <n v="799"/>
    <n v="205"/>
    <n v="594"/>
    <n v="240"/>
    <n v="354"/>
  </r>
  <r>
    <s v="171-1319421-6372328"/>
    <s v="09/10/2022"/>
    <x v="0"/>
    <x v="88"/>
    <x v="8"/>
    <x v="6"/>
    <x v="0"/>
    <s v="NAGERCOIL"/>
    <x v="7"/>
    <n v="899"/>
    <n v="295"/>
    <n v="604"/>
    <n v="240"/>
    <n v="364"/>
  </r>
  <r>
    <s v="407-6931146-2085153"/>
    <s v="10/10/2022"/>
    <x v="0"/>
    <x v="81"/>
    <x v="10"/>
    <x v="6"/>
    <x v="0"/>
    <s v="ALLAHABAD"/>
    <x v="1"/>
    <n v="799"/>
    <n v="205"/>
    <n v="594"/>
    <n v="240"/>
    <n v="354"/>
  </r>
  <r>
    <s v="402-7775353-6029167"/>
    <s v="11/10/2022"/>
    <x v="0"/>
    <x v="15"/>
    <x v="9"/>
    <x v="6"/>
    <x v="0"/>
    <s v="CHENNAI"/>
    <x v="7"/>
    <n v="849"/>
    <n v="250"/>
    <n v="599"/>
    <n v="240"/>
    <n v="359"/>
  </r>
  <r>
    <s v="407-0911975-2489959"/>
    <s v="10/10/2022"/>
    <x v="0"/>
    <x v="15"/>
    <x v="10"/>
    <x v="6"/>
    <x v="0"/>
    <s v="New Delhi"/>
    <x v="16"/>
    <n v="849"/>
    <n v="250"/>
    <n v="599"/>
    <n v="240"/>
    <n v="359"/>
  </r>
  <r>
    <s v="406-3842492-3107519"/>
    <s v="05/10/2022"/>
    <x v="3"/>
    <x v="220"/>
    <x v="4"/>
    <x v="6"/>
    <x v="0"/>
    <s v="MOHALI"/>
    <x v="26"/>
    <n v="-799"/>
    <n v="320"/>
    <n v="-479"/>
    <n v="240"/>
    <n v="-239"/>
  </r>
  <r>
    <s v="403-9279607-4682741"/>
    <s v="12/10/2022"/>
    <x v="2"/>
    <x v="25"/>
    <x v="11"/>
    <x v="6"/>
    <x v="0"/>
    <s v="HYDERABAD"/>
    <x v="8"/>
    <n v="0"/>
    <n v="0"/>
    <n v="0"/>
    <n v="0"/>
    <n v="0"/>
  </r>
  <r>
    <s v="403-7707714-8759561"/>
    <s v="05/10/2022"/>
    <x v="3"/>
    <x v="79"/>
    <x v="4"/>
    <x v="6"/>
    <x v="0"/>
    <s v="DURGAPUR"/>
    <x v="18"/>
    <n v="-899"/>
    <n v="375"/>
    <n v="-524"/>
    <n v="240"/>
    <n v="-284"/>
  </r>
  <r>
    <s v="405-4416045-7496319"/>
    <s v="06/10/2022"/>
    <x v="3"/>
    <x v="137"/>
    <x v="5"/>
    <x v="6"/>
    <x v="0"/>
    <s v="phalodi Dt  Jodhpur"/>
    <x v="10"/>
    <n v="-849"/>
    <n v="345"/>
    <n v="-504"/>
    <n v="240"/>
    <n v="-264"/>
  </r>
  <r>
    <s v="404-6029846-1089113"/>
    <s v="12/10/2022"/>
    <x v="2"/>
    <x v="15"/>
    <x v="11"/>
    <x v="6"/>
    <x v="0"/>
    <s v="Indore"/>
    <x v="13"/>
    <n v="0"/>
    <n v="0"/>
    <n v="0"/>
    <n v="0"/>
    <n v="0"/>
  </r>
  <r>
    <s v="407-7226288-5463551"/>
    <s v="05/10/2022"/>
    <x v="3"/>
    <x v="127"/>
    <x v="4"/>
    <x v="6"/>
    <x v="0"/>
    <s v="GUNTUR"/>
    <x v="2"/>
    <n v="-849"/>
    <n v="345"/>
    <n v="-504"/>
    <n v="240"/>
    <n v="-264"/>
  </r>
  <r>
    <s v="408-0429417-4014709"/>
    <s v="11/10/2022"/>
    <x v="0"/>
    <x v="140"/>
    <x v="9"/>
    <x v="6"/>
    <x v="0"/>
    <s v="LUCKNOW"/>
    <x v="1"/>
    <n v="799"/>
    <n v="205"/>
    <n v="594"/>
    <n v="240"/>
    <n v="354"/>
  </r>
  <r>
    <s v="171-2807685-0253101"/>
    <s v="11/10/2022"/>
    <x v="0"/>
    <x v="15"/>
    <x v="9"/>
    <x v="6"/>
    <x v="0"/>
    <s v="TIRUKKOYILUR"/>
    <x v="7"/>
    <n v="849"/>
    <n v="250"/>
    <n v="599"/>
    <n v="240"/>
    <n v="359"/>
  </r>
  <r>
    <s v="171-9891083-2925950"/>
    <s v="12/10/2022"/>
    <x v="0"/>
    <x v="204"/>
    <x v="11"/>
    <x v="6"/>
    <x v="0"/>
    <s v="NAGPUR"/>
    <x v="6"/>
    <n v="799"/>
    <n v="205"/>
    <n v="594"/>
    <n v="240"/>
    <n v="354"/>
  </r>
  <r>
    <s v="406-6705082-0178713"/>
    <s v="11/10/2022"/>
    <x v="0"/>
    <x v="69"/>
    <x v="9"/>
    <x v="6"/>
    <x v="0"/>
    <s v="POLLACHI"/>
    <x v="7"/>
    <n v="849"/>
    <n v="250"/>
    <n v="599"/>
    <n v="240"/>
    <n v="359"/>
  </r>
  <r>
    <s v="406-2027820-3104306"/>
    <s v="11/10/2022"/>
    <x v="0"/>
    <x v="201"/>
    <x v="9"/>
    <x v="6"/>
    <x v="0"/>
    <s v="MOHALI"/>
    <x v="26"/>
    <n v="799"/>
    <n v="205"/>
    <n v="594"/>
    <n v="240"/>
    <n v="354"/>
  </r>
  <r>
    <s v="406-2027820-3104306"/>
    <s v="11/10/2022"/>
    <x v="0"/>
    <x v="80"/>
    <x v="9"/>
    <x v="6"/>
    <x v="0"/>
    <s v="MOHALI"/>
    <x v="26"/>
    <n v="899"/>
    <n v="295"/>
    <n v="604"/>
    <n v="240"/>
    <n v="364"/>
  </r>
  <r>
    <s v="406-6331347-7596312"/>
    <s v="11/10/2022"/>
    <x v="0"/>
    <x v="145"/>
    <x v="9"/>
    <x v="6"/>
    <x v="0"/>
    <s v="CHENNAI"/>
    <x v="7"/>
    <n v="799"/>
    <n v="205"/>
    <n v="594"/>
    <n v="240"/>
    <n v="354"/>
  </r>
  <r>
    <s v="406-3748641-9346725"/>
    <s v="12/10/2022"/>
    <x v="0"/>
    <x v="145"/>
    <x v="11"/>
    <x v="6"/>
    <x v="0"/>
    <s v="GHAZIABAD"/>
    <x v="1"/>
    <n v="799"/>
    <n v="205"/>
    <n v="594"/>
    <n v="240"/>
    <n v="354"/>
  </r>
  <r>
    <s v="406-6019162-5434766"/>
    <s v="12/10/2022"/>
    <x v="0"/>
    <x v="177"/>
    <x v="11"/>
    <x v="6"/>
    <x v="0"/>
    <s v="SAHARANPUR"/>
    <x v="1"/>
    <n v="799"/>
    <n v="205"/>
    <n v="594"/>
    <n v="240"/>
    <n v="354"/>
  </r>
  <r>
    <s v="408-6222277-5587561"/>
    <s v="12/10/2022"/>
    <x v="0"/>
    <x v="202"/>
    <x v="11"/>
    <x v="6"/>
    <x v="0"/>
    <s v="NEW DELHI"/>
    <x v="16"/>
    <n v="999"/>
    <n v="325"/>
    <n v="674"/>
    <n v="240"/>
    <n v="434"/>
  </r>
  <r>
    <s v="407-0708831-0585121"/>
    <s v="12/10/2022"/>
    <x v="0"/>
    <x v="98"/>
    <x v="11"/>
    <x v="6"/>
    <x v="0"/>
    <s v="AHMEDABAD"/>
    <x v="3"/>
    <n v="899"/>
    <n v="295"/>
    <n v="604"/>
    <n v="240"/>
    <n v="364"/>
  </r>
  <r>
    <s v="171-0291533-8045965"/>
    <s v="11/10/2022"/>
    <x v="0"/>
    <x v="31"/>
    <x v="9"/>
    <x v="6"/>
    <x v="0"/>
    <s v="HANUMAN JUNCTION"/>
    <x v="2"/>
    <n v="799"/>
    <n v="205"/>
    <n v="594"/>
    <n v="240"/>
    <n v="354"/>
  </r>
  <r>
    <s v="408-4886765-6153904"/>
    <s v="11/10/2022"/>
    <x v="3"/>
    <x v="165"/>
    <x v="9"/>
    <x v="6"/>
    <x v="0"/>
    <s v="MUGHALSARAI"/>
    <x v="1"/>
    <n v="-799"/>
    <n v="320"/>
    <n v="-479"/>
    <n v="240"/>
    <n v="-239"/>
  </r>
  <r>
    <s v="171-7709208-8693903"/>
    <s v="09/10/2022"/>
    <x v="3"/>
    <x v="15"/>
    <x v="8"/>
    <x v="6"/>
    <x v="0"/>
    <s v="MUNGER"/>
    <x v="0"/>
    <n v="-849"/>
    <n v="345"/>
    <n v="-504"/>
    <n v="240"/>
    <n v="-264"/>
  </r>
  <r>
    <s v="408-6724259-7033102"/>
    <s v="12/10/2022"/>
    <x v="1"/>
    <x v="151"/>
    <x v="11"/>
    <x v="6"/>
    <x v="0"/>
    <s v="MUMBAI"/>
    <x v="6"/>
    <n v="0"/>
    <n v="0"/>
    <n v="0"/>
    <n v="0"/>
    <n v="0"/>
  </r>
  <r>
    <s v="407-8623808-6369905"/>
    <s v="12/10/2022"/>
    <x v="0"/>
    <x v="236"/>
    <x v="11"/>
    <x v="6"/>
    <x v="0"/>
    <s v="GUNTUR"/>
    <x v="2"/>
    <n v="849"/>
    <n v="250"/>
    <n v="599"/>
    <n v="240"/>
    <n v="359"/>
  </r>
  <r>
    <s v="406-0334534-4105975"/>
    <s v="12/10/2022"/>
    <x v="0"/>
    <x v="223"/>
    <x v="11"/>
    <x v="6"/>
    <x v="0"/>
    <s v="SECUNDERABAD"/>
    <x v="8"/>
    <n v="849"/>
    <n v="250"/>
    <n v="599"/>
    <n v="240"/>
    <n v="359"/>
  </r>
  <r>
    <s v="408-5355084-8924307"/>
    <s v="13/10/2022"/>
    <x v="0"/>
    <x v="128"/>
    <x v="12"/>
    <x v="6"/>
    <x v="0"/>
    <s v="Ahmedabad"/>
    <x v="3"/>
    <n v="999"/>
    <n v="325"/>
    <n v="674"/>
    <n v="240"/>
    <n v="434"/>
  </r>
  <r>
    <s v="406-5772245-8274707"/>
    <s v="13/10/2022"/>
    <x v="0"/>
    <x v="237"/>
    <x v="12"/>
    <x v="6"/>
    <x v="0"/>
    <s v="Port blair"/>
    <x v="32"/>
    <n v="799"/>
    <n v="205"/>
    <n v="594"/>
    <n v="240"/>
    <n v="354"/>
  </r>
  <r>
    <s v="402-9025862-0313132"/>
    <s v="13/10/2022"/>
    <x v="0"/>
    <x v="68"/>
    <x v="12"/>
    <x v="6"/>
    <x v="0"/>
    <s v="DERGAON"/>
    <x v="4"/>
    <n v="799"/>
    <n v="205"/>
    <n v="594"/>
    <n v="240"/>
    <n v="354"/>
  </r>
  <r>
    <s v="405-7336029-0904309"/>
    <s v="13/10/2022"/>
    <x v="0"/>
    <x v="75"/>
    <x v="12"/>
    <x v="6"/>
    <x v="0"/>
    <s v="PALAKKAD"/>
    <x v="9"/>
    <n v="799"/>
    <n v="205"/>
    <n v="594"/>
    <n v="240"/>
    <n v="354"/>
  </r>
  <r>
    <s v="171-0326032-3097151"/>
    <s v="13/10/2022"/>
    <x v="0"/>
    <x v="15"/>
    <x v="12"/>
    <x v="6"/>
    <x v="0"/>
    <s v="MUNGER"/>
    <x v="0"/>
    <n v="849"/>
    <n v="250"/>
    <n v="599"/>
    <n v="240"/>
    <n v="359"/>
  </r>
  <r>
    <s v="405-4451691-3878708"/>
    <s v="13/10/2022"/>
    <x v="0"/>
    <x v="187"/>
    <x v="12"/>
    <x v="6"/>
    <x v="0"/>
    <s v="JAMSHEDPUR"/>
    <x v="11"/>
    <n v="799"/>
    <n v="205"/>
    <n v="594"/>
    <n v="240"/>
    <n v="354"/>
  </r>
  <r>
    <s v="404-6029846-1089113"/>
    <s v="12/10/2022"/>
    <x v="0"/>
    <x v="15"/>
    <x v="11"/>
    <x v="6"/>
    <x v="0"/>
    <s v="Indore"/>
    <x v="13"/>
    <n v="849"/>
    <n v="250"/>
    <n v="599"/>
    <n v="240"/>
    <n v="359"/>
  </r>
  <r>
    <s v="171-5492159-6617121"/>
    <s v="13/10/2022"/>
    <x v="0"/>
    <x v="15"/>
    <x v="12"/>
    <x v="6"/>
    <x v="0"/>
    <s v="MADURAI"/>
    <x v="7"/>
    <n v="849"/>
    <n v="250"/>
    <n v="599"/>
    <n v="240"/>
    <n v="359"/>
  </r>
  <r>
    <s v="404-2745800-7145129"/>
    <s v="13/10/2022"/>
    <x v="0"/>
    <x v="127"/>
    <x v="12"/>
    <x v="6"/>
    <x v="0"/>
    <s v="MUMBAI"/>
    <x v="6"/>
    <n v="849"/>
    <n v="250"/>
    <n v="599"/>
    <n v="240"/>
    <n v="359"/>
  </r>
  <r>
    <s v="405-6650005-8682726"/>
    <s v="13/10/2022"/>
    <x v="0"/>
    <x v="115"/>
    <x v="12"/>
    <x v="6"/>
    <x v="0"/>
    <s v="AHMEDABAD"/>
    <x v="3"/>
    <n v="799"/>
    <n v="205"/>
    <n v="594"/>
    <n v="240"/>
    <n v="354"/>
  </r>
  <r>
    <s v="406-6019162-5434766"/>
    <s v="12/10/2022"/>
    <x v="3"/>
    <x v="177"/>
    <x v="11"/>
    <x v="6"/>
    <x v="0"/>
    <s v="SAHARANPUR"/>
    <x v="1"/>
    <n v="-799"/>
    <n v="320"/>
    <n v="-479"/>
    <n v="240"/>
    <n v="-239"/>
  </r>
  <r>
    <s v="402-7812864-8460304"/>
    <s v="07/10/2022"/>
    <x v="3"/>
    <x v="232"/>
    <x v="7"/>
    <x v="6"/>
    <x v="0"/>
    <s v="CHENNAI"/>
    <x v="7"/>
    <n v="-849"/>
    <n v="345"/>
    <n v="-504"/>
    <n v="240"/>
    <n v="-264"/>
  </r>
  <r>
    <s v="408-5309269-0883514"/>
    <s v="08/10/2022"/>
    <x v="3"/>
    <x v="80"/>
    <x v="6"/>
    <x v="6"/>
    <x v="0"/>
    <s v="BHOPAL"/>
    <x v="13"/>
    <n v="-899"/>
    <n v="375"/>
    <n v="-524"/>
    <n v="240"/>
    <n v="-284"/>
  </r>
  <r>
    <s v="406-3137625-9727525"/>
    <s v="14/10/2022"/>
    <x v="0"/>
    <x v="134"/>
    <x v="13"/>
    <x v="6"/>
    <x v="0"/>
    <s v="PUDUCHERRY"/>
    <x v="27"/>
    <n v="849"/>
    <n v="250"/>
    <n v="599"/>
    <n v="240"/>
    <n v="359"/>
  </r>
  <r>
    <s v="407-5166223-8118726"/>
    <s v="14/10/2022"/>
    <x v="0"/>
    <x v="25"/>
    <x v="13"/>
    <x v="6"/>
    <x v="0"/>
    <s v="KURUVATTUR"/>
    <x v="9"/>
    <n v="799"/>
    <n v="205"/>
    <n v="594"/>
    <n v="240"/>
    <n v="354"/>
  </r>
  <r>
    <s v="405-0555937-3433125"/>
    <s v="14/10/2022"/>
    <x v="0"/>
    <x v="139"/>
    <x v="13"/>
    <x v="6"/>
    <x v="0"/>
    <s v="GURUGRAM"/>
    <x v="15"/>
    <n v="799"/>
    <n v="205"/>
    <n v="594"/>
    <n v="240"/>
    <n v="354"/>
  </r>
  <r>
    <s v="408-1406655-9445163"/>
    <s v="14/10/2022"/>
    <x v="0"/>
    <x v="88"/>
    <x v="13"/>
    <x v="6"/>
    <x v="0"/>
    <s v="BHOPAL"/>
    <x v="13"/>
    <n v="854.05"/>
    <n v="270"/>
    <n v="584.04999999999995"/>
    <n v="240"/>
    <n v="344.04999999999995"/>
  </r>
  <r>
    <s v="406-3021883-1226748"/>
    <s v="15/10/2022"/>
    <x v="0"/>
    <x v="81"/>
    <x v="14"/>
    <x v="6"/>
    <x v="0"/>
    <s v="Arakonam"/>
    <x v="7"/>
    <n v="799"/>
    <n v="205"/>
    <n v="594"/>
    <n v="240"/>
    <n v="354"/>
  </r>
  <r>
    <s v="408-6948102-3596358"/>
    <s v="15/10/2022"/>
    <x v="1"/>
    <x v="59"/>
    <x v="14"/>
    <x v="6"/>
    <x v="0"/>
    <s v="DOWLESWARAM"/>
    <x v="2"/>
    <n v="0"/>
    <n v="0"/>
    <n v="0"/>
    <n v="0"/>
    <n v="0"/>
  </r>
  <r>
    <s v="405-2084013-9022728"/>
    <s v="14/10/2022"/>
    <x v="0"/>
    <x v="238"/>
    <x v="13"/>
    <x v="6"/>
    <x v="0"/>
    <s v="BARSHI"/>
    <x v="6"/>
    <n v="849"/>
    <n v="250"/>
    <n v="599"/>
    <n v="240"/>
    <n v="359"/>
  </r>
  <r>
    <s v="403-4256366-7742723"/>
    <s v="14/10/2022"/>
    <x v="0"/>
    <x v="201"/>
    <x v="13"/>
    <x v="6"/>
    <x v="0"/>
    <s v="SURSAND"/>
    <x v="0"/>
    <n v="799"/>
    <n v="205"/>
    <n v="594"/>
    <n v="240"/>
    <n v="354"/>
  </r>
  <r>
    <s v="171-8245005-0424316"/>
    <s v="15/10/2022"/>
    <x v="0"/>
    <x v="236"/>
    <x v="14"/>
    <x v="6"/>
    <x v="0"/>
    <s v="HINDAUN"/>
    <x v="10"/>
    <n v="849"/>
    <n v="250"/>
    <n v="599"/>
    <n v="240"/>
    <n v="359"/>
  </r>
  <r>
    <s v="406-0003631-7822731"/>
    <s v="15/10/2022"/>
    <x v="0"/>
    <x v="211"/>
    <x v="14"/>
    <x v="6"/>
    <x v="0"/>
    <s v="MAVOOR"/>
    <x v="9"/>
    <n v="799"/>
    <n v="205"/>
    <n v="594"/>
    <n v="240"/>
    <n v="354"/>
  </r>
  <r>
    <s v="405-7751103-5181149"/>
    <s v="15/10/2022"/>
    <x v="0"/>
    <x v="237"/>
    <x v="14"/>
    <x v="6"/>
    <x v="0"/>
    <s v="NOIDA"/>
    <x v="1"/>
    <n v="799"/>
    <n v="205"/>
    <n v="594"/>
    <n v="240"/>
    <n v="354"/>
  </r>
  <r>
    <s v="405-7751103-5181149"/>
    <s v="15/10/2022"/>
    <x v="0"/>
    <x v="179"/>
    <x v="14"/>
    <x v="6"/>
    <x v="0"/>
    <s v="NOIDA"/>
    <x v="1"/>
    <n v="799"/>
    <n v="205"/>
    <n v="594"/>
    <n v="240"/>
    <n v="354"/>
  </r>
  <r>
    <s v="406-3748641-9346725"/>
    <s v="12/10/2022"/>
    <x v="3"/>
    <x v="145"/>
    <x v="11"/>
    <x v="6"/>
    <x v="0"/>
    <s v="GHAZIABAD"/>
    <x v="1"/>
    <n v="-799"/>
    <n v="320"/>
    <n v="-479"/>
    <n v="240"/>
    <n v="-239"/>
  </r>
  <r>
    <s v="406-9259658-8548326"/>
    <s v="16/10/2022"/>
    <x v="2"/>
    <x v="222"/>
    <x v="15"/>
    <x v="6"/>
    <x v="0"/>
    <s v="NEW DELHI"/>
    <x v="16"/>
    <n v="0"/>
    <n v="0"/>
    <n v="0"/>
    <n v="0"/>
    <n v="0"/>
  </r>
  <r>
    <s v="404-3679105-6584359"/>
    <s v="16/10/2022"/>
    <x v="2"/>
    <x v="137"/>
    <x v="15"/>
    <x v="6"/>
    <x v="0"/>
    <s v="Pune"/>
    <x v="6"/>
    <n v="0"/>
    <n v="0"/>
    <n v="0"/>
    <n v="0"/>
    <n v="0"/>
  </r>
  <r>
    <s v="402-1492396-1610754"/>
    <s v="02/10/2022"/>
    <x v="3"/>
    <x v="88"/>
    <x v="1"/>
    <x v="6"/>
    <x v="0"/>
    <s v="AGRA"/>
    <x v="1"/>
    <n v="-899"/>
    <n v="375"/>
    <n v="-524"/>
    <n v="240"/>
    <n v="-284"/>
  </r>
  <r>
    <s v="407-1756740-2570723"/>
    <s v="16/10/2022"/>
    <x v="0"/>
    <x v="239"/>
    <x v="15"/>
    <x v="6"/>
    <x v="0"/>
    <s v="Nellore"/>
    <x v="2"/>
    <n v="759.05"/>
    <n v="202"/>
    <n v="557.04999999999995"/>
    <n v="240"/>
    <n v="317.04999999999995"/>
  </r>
  <r>
    <s v="171-2545442-4889947"/>
    <s v="16/10/2022"/>
    <x v="0"/>
    <x v="203"/>
    <x v="15"/>
    <x v="6"/>
    <x v="0"/>
    <s v="BENGALURU"/>
    <x v="5"/>
    <n v="799"/>
    <n v="205"/>
    <n v="594"/>
    <n v="240"/>
    <n v="354"/>
  </r>
  <r>
    <s v="407-3944309-8380357"/>
    <s v="16/10/2022"/>
    <x v="0"/>
    <x v="128"/>
    <x v="15"/>
    <x v="6"/>
    <x v="0"/>
    <s v="VALSAD"/>
    <x v="3"/>
    <n v="949.05"/>
    <n v="306"/>
    <n v="643.04999999999995"/>
    <n v="240"/>
    <n v="403.04999999999995"/>
  </r>
  <r>
    <s v="408-5309269-0883514"/>
    <s v="08/10/2022"/>
    <x v="3"/>
    <x v="218"/>
    <x v="6"/>
    <x v="6"/>
    <x v="0"/>
    <s v="BHOPAL"/>
    <x v="13"/>
    <n v="-799"/>
    <n v="320"/>
    <n v="-479"/>
    <n v="240"/>
    <n v="-239"/>
  </r>
  <r>
    <s v="407-0708831-0585121"/>
    <s v="12/10/2022"/>
    <x v="3"/>
    <x v="98"/>
    <x v="11"/>
    <x v="6"/>
    <x v="0"/>
    <s v="AHMEDABAD"/>
    <x v="3"/>
    <n v="-899"/>
    <n v="375"/>
    <n v="-524"/>
    <n v="240"/>
    <n v="-284"/>
  </r>
  <r>
    <s v="406-8095440-5073117"/>
    <s v="17/10/2022"/>
    <x v="2"/>
    <x v="143"/>
    <x v="16"/>
    <x v="6"/>
    <x v="0"/>
    <s v="RAJKOT"/>
    <x v="3"/>
    <n v="0"/>
    <n v="0"/>
    <n v="0"/>
    <n v="0"/>
    <n v="0"/>
  </r>
  <r>
    <s v="403-4256366-7742723"/>
    <s v="14/10/2022"/>
    <x v="3"/>
    <x v="201"/>
    <x v="13"/>
    <x v="6"/>
    <x v="0"/>
    <s v="SURSAND"/>
    <x v="0"/>
    <n v="-799"/>
    <n v="320"/>
    <n v="-479"/>
    <n v="240"/>
    <n v="-239"/>
  </r>
  <r>
    <s v="405-1371035-3329118"/>
    <s v="08/10/2022"/>
    <x v="3"/>
    <x v="134"/>
    <x v="6"/>
    <x v="6"/>
    <x v="0"/>
    <s v="Noida"/>
    <x v="1"/>
    <n v="-849"/>
    <n v="345"/>
    <n v="-504"/>
    <n v="240"/>
    <n v="-264"/>
  </r>
  <r>
    <s v="408-3178765-2941938"/>
    <s v="17/10/2022"/>
    <x v="1"/>
    <x v="25"/>
    <x v="16"/>
    <x v="6"/>
    <x v="0"/>
    <s v="PUNE"/>
    <x v="6"/>
    <n v="0"/>
    <n v="0"/>
    <n v="0"/>
    <n v="0"/>
    <n v="0"/>
  </r>
  <r>
    <s v="406-8595102-0856304"/>
    <s v="17/10/2022"/>
    <x v="0"/>
    <x v="15"/>
    <x v="16"/>
    <x v="6"/>
    <x v="0"/>
    <s v="BENGALURU"/>
    <x v="5"/>
    <n v="849"/>
    <n v="250"/>
    <n v="599"/>
    <n v="240"/>
    <n v="359"/>
  </r>
  <r>
    <s v="405-9905499-6051564"/>
    <s v="17/10/2022"/>
    <x v="0"/>
    <x v="140"/>
    <x v="16"/>
    <x v="6"/>
    <x v="0"/>
    <s v="MUZAFFARPUR"/>
    <x v="0"/>
    <n v="799"/>
    <n v="205"/>
    <n v="594"/>
    <n v="240"/>
    <n v="354"/>
  </r>
  <r>
    <s v="171-2937619-2836323"/>
    <s v="16/10/2022"/>
    <x v="0"/>
    <x v="131"/>
    <x v="15"/>
    <x v="6"/>
    <x v="0"/>
    <s v="NAVI MUMBAI"/>
    <x v="6"/>
    <n v="799"/>
    <n v="205"/>
    <n v="594"/>
    <n v="240"/>
    <n v="354"/>
  </r>
  <r>
    <s v="406-9259658-8548326"/>
    <s v="16/10/2022"/>
    <x v="0"/>
    <x v="222"/>
    <x v="15"/>
    <x v="6"/>
    <x v="0"/>
    <s v="NEW DELHI"/>
    <x v="16"/>
    <n v="799"/>
    <n v="205"/>
    <n v="594"/>
    <n v="240"/>
    <n v="354"/>
  </r>
  <r>
    <s v="404-3679105-6584359"/>
    <s v="16/10/2022"/>
    <x v="0"/>
    <x v="137"/>
    <x v="15"/>
    <x v="6"/>
    <x v="0"/>
    <s v="Pune"/>
    <x v="6"/>
    <n v="849"/>
    <n v="250"/>
    <n v="599"/>
    <n v="240"/>
    <n v="359"/>
  </r>
  <r>
    <s v="405-1597513-8716308"/>
    <s v="17/10/2022"/>
    <x v="0"/>
    <x v="180"/>
    <x v="16"/>
    <x v="6"/>
    <x v="0"/>
    <s v="SHRIRAMPUR"/>
    <x v="6"/>
    <n v="799"/>
    <n v="205"/>
    <n v="594"/>
    <n v="240"/>
    <n v="354"/>
  </r>
  <r>
    <s v="408-1996305-0041934"/>
    <s v="16/10/2022"/>
    <x v="1"/>
    <x v="144"/>
    <x v="15"/>
    <x v="6"/>
    <x v="0"/>
    <s v="HYDERABAD"/>
    <x v="8"/>
    <n v="0"/>
    <n v="0"/>
    <n v="0"/>
    <n v="0"/>
    <n v="0"/>
  </r>
  <r>
    <s v="404-4852137-9743554"/>
    <s v="02/10/2022"/>
    <x v="3"/>
    <x v="25"/>
    <x v="1"/>
    <x v="6"/>
    <x v="0"/>
    <s v="MUMBAI"/>
    <x v="6"/>
    <n v="-799"/>
    <n v="320"/>
    <n v="-479"/>
    <n v="240"/>
    <n v="-239"/>
  </r>
  <r>
    <s v="402-3392632-3443512"/>
    <s v="04/10/2022"/>
    <x v="3"/>
    <x v="153"/>
    <x v="3"/>
    <x v="6"/>
    <x v="0"/>
    <s v="RAJULA"/>
    <x v="3"/>
    <n v="-799"/>
    <n v="320"/>
    <n v="-479"/>
    <n v="240"/>
    <n v="-239"/>
  </r>
  <r>
    <s v="407-9859903-9981916"/>
    <s v="18/10/2022"/>
    <x v="0"/>
    <x v="155"/>
    <x v="18"/>
    <x v="6"/>
    <x v="0"/>
    <s v="NEW DELHI"/>
    <x v="16"/>
    <n v="849"/>
    <n v="250"/>
    <n v="599"/>
    <n v="240"/>
    <n v="359"/>
  </r>
  <r>
    <s v="402-4659317-1583506"/>
    <s v="17/10/2022"/>
    <x v="0"/>
    <x v="115"/>
    <x v="16"/>
    <x v="6"/>
    <x v="0"/>
    <s v="Kalka"/>
    <x v="15"/>
    <n v="799"/>
    <n v="205"/>
    <n v="594"/>
    <n v="240"/>
    <n v="354"/>
  </r>
  <r>
    <s v="171-4992381-5397929"/>
    <s v="18/10/2022"/>
    <x v="0"/>
    <x v="164"/>
    <x v="18"/>
    <x v="6"/>
    <x v="0"/>
    <s v="Namakkal"/>
    <x v="7"/>
    <n v="849"/>
    <n v="250"/>
    <n v="599"/>
    <n v="240"/>
    <n v="359"/>
  </r>
  <r>
    <s v="407-1026638-2875555"/>
    <s v="18/10/2022"/>
    <x v="0"/>
    <x v="187"/>
    <x v="18"/>
    <x v="6"/>
    <x v="0"/>
    <s v="PUNE"/>
    <x v="6"/>
    <n v="799"/>
    <n v="205"/>
    <n v="594"/>
    <n v="240"/>
    <n v="354"/>
  </r>
  <r>
    <s v="408-8252532-1544357"/>
    <s v="18/10/2022"/>
    <x v="0"/>
    <x v="69"/>
    <x v="18"/>
    <x v="6"/>
    <x v="0"/>
    <s v="RAMGANJ MANDI"/>
    <x v="10"/>
    <n v="806.55"/>
    <n v="227"/>
    <n v="579.54999999999995"/>
    <n v="240"/>
    <n v="339.54999999999995"/>
  </r>
  <r>
    <s v="402-6569844-0368332"/>
    <s v="17/10/2022"/>
    <x v="0"/>
    <x v="15"/>
    <x v="16"/>
    <x v="6"/>
    <x v="0"/>
    <s v="PUNE"/>
    <x v="6"/>
    <n v="849"/>
    <n v="250"/>
    <n v="599"/>
    <n v="240"/>
    <n v="359"/>
  </r>
  <r>
    <s v="403-3100988-5172301"/>
    <s v="18/10/2022"/>
    <x v="0"/>
    <x v="187"/>
    <x v="18"/>
    <x v="6"/>
    <x v="0"/>
    <s v="HUNSUR"/>
    <x v="5"/>
    <n v="799"/>
    <n v="205"/>
    <n v="594"/>
    <n v="240"/>
    <n v="354"/>
  </r>
  <r>
    <s v="403-7704506-8643548"/>
    <s v="17/10/2022"/>
    <x v="0"/>
    <x v="88"/>
    <x v="16"/>
    <x v="6"/>
    <x v="0"/>
    <s v="Bandel"/>
    <x v="18"/>
    <n v="899"/>
    <n v="295"/>
    <n v="604"/>
    <n v="240"/>
    <n v="364"/>
  </r>
  <r>
    <s v="406-8095440-5073117"/>
    <s v="17/10/2022"/>
    <x v="0"/>
    <x v="143"/>
    <x v="16"/>
    <x v="6"/>
    <x v="0"/>
    <s v="RAJKOT"/>
    <x v="3"/>
    <n v="849"/>
    <n v="250"/>
    <n v="599"/>
    <n v="240"/>
    <n v="359"/>
  </r>
  <r>
    <s v="403-8218497-5733129"/>
    <s v="16/10/2022"/>
    <x v="0"/>
    <x v="130"/>
    <x v="15"/>
    <x v="6"/>
    <x v="0"/>
    <s v="AURANGABAD"/>
    <x v="6"/>
    <n v="799"/>
    <n v="205"/>
    <n v="594"/>
    <n v="240"/>
    <n v="354"/>
  </r>
  <r>
    <s v="405-5182382-0771546"/>
    <s v="06/10/2022"/>
    <x v="3"/>
    <x v="203"/>
    <x v="5"/>
    <x v="6"/>
    <x v="0"/>
    <s v="KANODAR"/>
    <x v="3"/>
    <n v="-799"/>
    <n v="320"/>
    <n v="-479"/>
    <n v="240"/>
    <n v="-239"/>
  </r>
  <r>
    <s v="403-3135010-2378745"/>
    <s v="11/10/2022"/>
    <x v="3"/>
    <x v="75"/>
    <x v="9"/>
    <x v="6"/>
    <x v="0"/>
    <s v="HUNSUR"/>
    <x v="5"/>
    <n v="-799"/>
    <n v="320"/>
    <n v="-479"/>
    <n v="240"/>
    <n v="-239"/>
  </r>
  <r>
    <s v="405-6942048-0858768"/>
    <s v="19/10/2022"/>
    <x v="0"/>
    <x v="202"/>
    <x v="17"/>
    <x v="6"/>
    <x v="0"/>
    <s v="Valsad"/>
    <x v="3"/>
    <n v="949.05"/>
    <n v="306"/>
    <n v="643.04999999999995"/>
    <n v="240"/>
    <n v="403.04999999999995"/>
  </r>
  <r>
    <s v="402-9186156-2113932"/>
    <s v="19/10/2022"/>
    <x v="0"/>
    <x v="88"/>
    <x v="17"/>
    <x v="6"/>
    <x v="0"/>
    <s v="BENGALURU"/>
    <x v="5"/>
    <n v="899"/>
    <n v="295"/>
    <n v="604"/>
    <n v="240"/>
    <n v="364"/>
  </r>
  <r>
    <s v="403-8953570-6313913"/>
    <s v="18/10/2022"/>
    <x v="0"/>
    <x v="169"/>
    <x v="18"/>
    <x v="6"/>
    <x v="0"/>
    <s v="CHITRADURGA"/>
    <x v="5"/>
    <n v="799"/>
    <n v="205"/>
    <n v="594"/>
    <n v="240"/>
    <n v="354"/>
  </r>
  <r>
    <s v="171-6821330-8989952"/>
    <s v="19/10/2022"/>
    <x v="0"/>
    <x v="145"/>
    <x v="17"/>
    <x v="6"/>
    <x v="0"/>
    <s v="KAITHAL"/>
    <x v="15"/>
    <n v="799"/>
    <n v="205"/>
    <n v="594"/>
    <n v="240"/>
    <n v="354"/>
  </r>
  <r>
    <s v="403-3629968-8575509"/>
    <s v="19/10/2022"/>
    <x v="0"/>
    <x v="200"/>
    <x v="17"/>
    <x v="6"/>
    <x v="0"/>
    <s v="BENGALURU"/>
    <x v="5"/>
    <n v="999"/>
    <n v="325"/>
    <n v="674"/>
    <n v="240"/>
    <n v="434"/>
  </r>
  <r>
    <s v="402-8099072-8225906"/>
    <s v="18/10/2022"/>
    <x v="0"/>
    <x v="88"/>
    <x v="18"/>
    <x v="6"/>
    <x v="0"/>
    <s v="KOCHI"/>
    <x v="9"/>
    <n v="899"/>
    <n v="295"/>
    <n v="604"/>
    <n v="240"/>
    <n v="364"/>
  </r>
  <r>
    <s v="408-2723139-4663533"/>
    <s v="19/10/2022"/>
    <x v="0"/>
    <x v="165"/>
    <x v="17"/>
    <x v="6"/>
    <x v="0"/>
    <s v="BENGALURU"/>
    <x v="5"/>
    <n v="799"/>
    <n v="205"/>
    <n v="594"/>
    <n v="240"/>
    <n v="354"/>
  </r>
  <r>
    <s v="171-1319421-6372328"/>
    <s v="09/10/2022"/>
    <x v="3"/>
    <x v="88"/>
    <x v="8"/>
    <x v="6"/>
    <x v="0"/>
    <s v="NAGERCOIL"/>
    <x v="7"/>
    <n v="-899"/>
    <n v="375"/>
    <n v="-524"/>
    <n v="240"/>
    <n v="-284"/>
  </r>
  <r>
    <s v="406-0394923-9458750"/>
    <s v="20/10/2022"/>
    <x v="0"/>
    <x v="164"/>
    <x v="19"/>
    <x v="6"/>
    <x v="0"/>
    <s v="VASAI VIRAR"/>
    <x v="6"/>
    <n v="849"/>
    <n v="250"/>
    <n v="599"/>
    <n v="240"/>
    <n v="359"/>
  </r>
  <r>
    <s v="402-5294570-7507504"/>
    <s v="20/10/2022"/>
    <x v="0"/>
    <x v="75"/>
    <x v="19"/>
    <x v="6"/>
    <x v="0"/>
    <s v="BENGALURU"/>
    <x v="5"/>
    <n v="799"/>
    <n v="205"/>
    <n v="594"/>
    <n v="240"/>
    <n v="354"/>
  </r>
  <r>
    <s v="403-4151862-1609156"/>
    <s v="20/10/2022"/>
    <x v="0"/>
    <x v="75"/>
    <x v="19"/>
    <x v="6"/>
    <x v="0"/>
    <s v="HYDERABAD"/>
    <x v="8"/>
    <n v="799"/>
    <n v="205"/>
    <n v="594"/>
    <n v="240"/>
    <n v="354"/>
  </r>
  <r>
    <s v="408-4074949-9183548"/>
    <s v="20/10/2022"/>
    <x v="0"/>
    <x v="25"/>
    <x v="19"/>
    <x v="6"/>
    <x v="0"/>
    <s v="NEW DELHI"/>
    <x v="16"/>
    <n v="759.05"/>
    <n v="202"/>
    <n v="557.04999999999995"/>
    <n v="240"/>
    <n v="317.04999999999995"/>
  </r>
  <r>
    <s v="403-0671912-4826766"/>
    <s v="20/10/2022"/>
    <x v="0"/>
    <x v="81"/>
    <x v="19"/>
    <x v="6"/>
    <x v="0"/>
    <s v="LUCKNOW"/>
    <x v="1"/>
    <n v="799"/>
    <n v="205"/>
    <n v="594"/>
    <n v="240"/>
    <n v="354"/>
  </r>
  <r>
    <s v="402-3194054-9675534"/>
    <s v="20/10/2022"/>
    <x v="0"/>
    <x v="240"/>
    <x v="19"/>
    <x v="6"/>
    <x v="0"/>
    <s v="BENGALURU"/>
    <x v="5"/>
    <n v="849"/>
    <n v="250"/>
    <n v="599"/>
    <n v="240"/>
    <n v="359"/>
  </r>
  <r>
    <s v="405-8751308-1193949"/>
    <s v="21/10/2022"/>
    <x v="2"/>
    <x v="158"/>
    <x v="20"/>
    <x v="6"/>
    <x v="0"/>
    <s v="Nagaur"/>
    <x v="10"/>
    <n v="0"/>
    <n v="0"/>
    <n v="0"/>
    <n v="0"/>
    <n v="0"/>
  </r>
  <r>
    <s v="407-6521308-1401958"/>
    <s v="09/10/2022"/>
    <x v="3"/>
    <x v="234"/>
    <x v="8"/>
    <x v="6"/>
    <x v="0"/>
    <s v="RAYAGADA"/>
    <x v="14"/>
    <n v="-799"/>
    <n v="320"/>
    <n v="-479"/>
    <n v="240"/>
    <n v="-239"/>
  </r>
  <r>
    <s v="406-0334534-4105975"/>
    <s v="12/10/2022"/>
    <x v="3"/>
    <x v="223"/>
    <x v="11"/>
    <x v="6"/>
    <x v="0"/>
    <s v="SECUNDERABAD"/>
    <x v="8"/>
    <n v="-849"/>
    <n v="345"/>
    <n v="-504"/>
    <n v="240"/>
    <n v="-264"/>
  </r>
  <r>
    <s v="171-0579824-2489919"/>
    <s v="21/10/2022"/>
    <x v="0"/>
    <x v="15"/>
    <x v="20"/>
    <x v="6"/>
    <x v="0"/>
    <s v="HYDERABAD"/>
    <x v="8"/>
    <n v="849"/>
    <n v="250"/>
    <n v="599"/>
    <n v="240"/>
    <n v="359"/>
  </r>
  <r>
    <s v="404-2210841-4697903"/>
    <s v="21/10/2022"/>
    <x v="0"/>
    <x v="136"/>
    <x v="20"/>
    <x v="6"/>
    <x v="0"/>
    <s v="TIRUPPUR"/>
    <x v="7"/>
    <n v="849"/>
    <n v="250"/>
    <n v="599"/>
    <n v="240"/>
    <n v="359"/>
  </r>
  <r>
    <s v="171-3310850-2237116"/>
    <s v="21/10/2022"/>
    <x v="0"/>
    <x v="151"/>
    <x v="20"/>
    <x v="6"/>
    <x v="0"/>
    <s v="KALYAN"/>
    <x v="6"/>
    <n v="799"/>
    <n v="205"/>
    <n v="594"/>
    <n v="240"/>
    <n v="354"/>
  </r>
  <r>
    <s v="402-7962661-8725933"/>
    <s v="21/10/2022"/>
    <x v="0"/>
    <x v="131"/>
    <x v="20"/>
    <x v="6"/>
    <x v="0"/>
    <s v="NAGPUR"/>
    <x v="6"/>
    <n v="799"/>
    <n v="205"/>
    <n v="594"/>
    <n v="240"/>
    <n v="354"/>
  </r>
  <r>
    <s v="171-9554335-3116350"/>
    <s v="22/10/2022"/>
    <x v="2"/>
    <x v="241"/>
    <x v="21"/>
    <x v="6"/>
    <x v="0"/>
    <s v="NOIDA sec 62"/>
    <x v="1"/>
    <n v="0"/>
    <n v="0"/>
    <n v="0"/>
    <n v="0"/>
    <n v="0"/>
  </r>
  <r>
    <s v="403-3100988-5172301"/>
    <s v="18/10/2022"/>
    <x v="3"/>
    <x v="187"/>
    <x v="18"/>
    <x v="6"/>
    <x v="0"/>
    <s v="HUNSUR"/>
    <x v="5"/>
    <n v="-799"/>
    <n v="320"/>
    <n v="-479"/>
    <n v="240"/>
    <n v="-239"/>
  </r>
  <r>
    <s v="171-3814195-9190719"/>
    <s v="22/10/2022"/>
    <x v="2"/>
    <x v="224"/>
    <x v="21"/>
    <x v="6"/>
    <x v="0"/>
    <s v="MEERUT"/>
    <x v="1"/>
    <n v="0"/>
    <n v="0"/>
    <n v="0"/>
    <n v="0"/>
    <n v="0"/>
  </r>
  <r>
    <s v="408-8343149-2014767"/>
    <s v="22/10/2022"/>
    <x v="0"/>
    <x v="81"/>
    <x v="21"/>
    <x v="6"/>
    <x v="0"/>
    <s v="SAMBA"/>
    <x v="31"/>
    <n v="799"/>
    <n v="205"/>
    <n v="594"/>
    <n v="240"/>
    <n v="354"/>
  </r>
  <r>
    <s v="403-8017434-5509910"/>
    <s v="23/10/2022"/>
    <x v="0"/>
    <x v="126"/>
    <x v="23"/>
    <x v="6"/>
    <x v="0"/>
    <s v="PUNE"/>
    <x v="6"/>
    <n v="849"/>
    <n v="250"/>
    <n v="599"/>
    <n v="240"/>
    <n v="359"/>
  </r>
  <r>
    <s v="408-3207858-2465101"/>
    <s v="22/10/2022"/>
    <x v="1"/>
    <x v="142"/>
    <x v="21"/>
    <x v="6"/>
    <x v="0"/>
    <s v="MUZAFFARPUR"/>
    <x v="0"/>
    <n v="0"/>
    <n v="0"/>
    <n v="0"/>
    <n v="0"/>
    <n v="0"/>
  </r>
  <r>
    <s v="171-1042155-2119501"/>
    <s v="22/10/2022"/>
    <x v="0"/>
    <x v="75"/>
    <x v="21"/>
    <x v="6"/>
    <x v="0"/>
    <s v="HYDERABAD"/>
    <x v="8"/>
    <n v="799"/>
    <n v="205"/>
    <n v="594"/>
    <n v="240"/>
    <n v="354"/>
  </r>
  <r>
    <s v="402-5985084-5540341"/>
    <s v="22/10/2022"/>
    <x v="0"/>
    <x v="164"/>
    <x v="21"/>
    <x v="6"/>
    <x v="0"/>
    <s v="CHANDIGARH"/>
    <x v="33"/>
    <n v="849"/>
    <n v="250"/>
    <n v="599"/>
    <n v="240"/>
    <n v="359"/>
  </r>
  <r>
    <s v="407-3382113-0453915"/>
    <s v="22/10/2022"/>
    <x v="0"/>
    <x v="127"/>
    <x v="21"/>
    <x v="6"/>
    <x v="0"/>
    <s v="MEERUT"/>
    <x v="1"/>
    <n v="849"/>
    <n v="250"/>
    <n v="599"/>
    <n v="240"/>
    <n v="359"/>
  </r>
  <r>
    <s v="406-2027820-3104306"/>
    <s v="11/10/2022"/>
    <x v="3"/>
    <x v="80"/>
    <x v="9"/>
    <x v="6"/>
    <x v="0"/>
    <s v="MOHALI"/>
    <x v="26"/>
    <n v="-899"/>
    <n v="375"/>
    <n v="-524"/>
    <n v="240"/>
    <n v="-284"/>
  </r>
  <r>
    <s v="404-3679105-6584359"/>
    <s v="16/10/2022"/>
    <x v="3"/>
    <x v="137"/>
    <x v="15"/>
    <x v="6"/>
    <x v="0"/>
    <s v="Pune"/>
    <x v="6"/>
    <n v="-849"/>
    <n v="345"/>
    <n v="-504"/>
    <n v="240"/>
    <n v="-264"/>
  </r>
  <r>
    <s v="408-8343149-2014767"/>
    <s v="22/10/2022"/>
    <x v="3"/>
    <x v="81"/>
    <x v="21"/>
    <x v="6"/>
    <x v="0"/>
    <s v="SAMBA"/>
    <x v="31"/>
    <n v="-799"/>
    <n v="320"/>
    <n v="-479"/>
    <n v="240"/>
    <n v="-239"/>
  </r>
  <r>
    <s v="405-1252066-6857935"/>
    <s v="19/10/2022"/>
    <x v="2"/>
    <x v="121"/>
    <x v="17"/>
    <x v="6"/>
    <x v="0"/>
    <s v="Nadbai"/>
    <x v="10"/>
    <n v="0"/>
    <n v="0"/>
    <n v="0"/>
    <n v="0"/>
    <n v="0"/>
  </r>
  <r>
    <s v="171-3287475-2305110"/>
    <s v="22/10/2022"/>
    <x v="2"/>
    <x v="241"/>
    <x v="21"/>
    <x v="6"/>
    <x v="0"/>
    <s v="NOIDA sec 62"/>
    <x v="1"/>
    <n v="0"/>
    <n v="0"/>
    <n v="0"/>
    <n v="0"/>
    <n v="0"/>
  </r>
  <r>
    <s v="406-5772245-8274707"/>
    <s v="13/10/2022"/>
    <x v="3"/>
    <x v="237"/>
    <x v="12"/>
    <x v="6"/>
    <x v="0"/>
    <s v="Port blair"/>
    <x v="32"/>
    <n v="-799"/>
    <n v="320"/>
    <n v="-479"/>
    <n v="240"/>
    <n v="-239"/>
  </r>
  <r>
    <s v="403-4151862-1609156"/>
    <s v="20/10/2022"/>
    <x v="3"/>
    <x v="75"/>
    <x v="19"/>
    <x v="6"/>
    <x v="0"/>
    <s v="HYDERABAD"/>
    <x v="8"/>
    <n v="-799"/>
    <n v="320"/>
    <n v="-479"/>
    <n v="240"/>
    <n v="-239"/>
  </r>
  <r>
    <s v="402-4700577-4526754"/>
    <s v="09/10/2022"/>
    <x v="3"/>
    <x v="201"/>
    <x v="8"/>
    <x v="6"/>
    <x v="0"/>
    <s v="GHANGHATA"/>
    <x v="1"/>
    <n v="-799"/>
    <n v="320"/>
    <n v="-479"/>
    <n v="240"/>
    <n v="-239"/>
  </r>
  <r>
    <s v="171-2937619-2836323"/>
    <s v="16/10/2022"/>
    <x v="3"/>
    <x v="131"/>
    <x v="15"/>
    <x v="6"/>
    <x v="0"/>
    <s v="NAVI MUMBAI"/>
    <x v="6"/>
    <n v="-799"/>
    <n v="320"/>
    <n v="-479"/>
    <n v="240"/>
    <n v="-239"/>
  </r>
  <r>
    <s v="402-6318511-1897953"/>
    <s v="30/10/2022"/>
    <x v="2"/>
    <x v="206"/>
    <x v="29"/>
    <x v="6"/>
    <x v="0"/>
    <s v="NASHIK"/>
    <x v="6"/>
    <n v="0"/>
    <n v="0"/>
    <n v="0"/>
    <n v="0"/>
    <n v="0"/>
  </r>
  <r>
    <s v="408-2834190-4469108"/>
    <s v="08/10/2022"/>
    <x v="3"/>
    <x v="80"/>
    <x v="6"/>
    <x v="6"/>
    <x v="0"/>
    <s v="Port Blair"/>
    <x v="32"/>
    <n v="-899"/>
    <n v="375"/>
    <n v="-524"/>
    <n v="240"/>
    <n v="-284"/>
  </r>
  <r>
    <s v="405-2240168-1761966"/>
    <s v="31/10/2022"/>
    <x v="2"/>
    <x v="98"/>
    <x v="30"/>
    <x v="6"/>
    <x v="0"/>
    <s v="NAVI MUMBAI"/>
    <x v="6"/>
    <n v="0"/>
    <n v="0"/>
    <n v="0"/>
    <n v="0"/>
    <n v="0"/>
  </r>
  <r>
    <s v="407-3382113-0453915"/>
    <s v="22/10/2022"/>
    <x v="3"/>
    <x v="127"/>
    <x v="21"/>
    <x v="6"/>
    <x v="0"/>
    <s v="MEERUT"/>
    <x v="1"/>
    <n v="-849"/>
    <n v="345"/>
    <n v="-504"/>
    <n v="240"/>
    <n v="-264"/>
  </r>
  <r>
    <s v="171-8245005-0424316"/>
    <s v="15/10/2022"/>
    <x v="3"/>
    <x v="236"/>
    <x v="14"/>
    <x v="6"/>
    <x v="0"/>
    <s v="HINDAUN"/>
    <x v="10"/>
    <n v="-849"/>
    <n v="345"/>
    <n v="-504"/>
    <n v="240"/>
    <n v="-264"/>
  </r>
  <r>
    <s v="407-2236740-7228309"/>
    <s v="30/10/2022"/>
    <x v="0"/>
    <x v="164"/>
    <x v="29"/>
    <x v="6"/>
    <x v="0"/>
    <s v="PIMPRI CHINCHWAD"/>
    <x v="6"/>
    <n v="849"/>
    <n v="250"/>
    <n v="599"/>
    <n v="240"/>
    <n v="359"/>
  </r>
  <r>
    <s v="171-8067943-0764346"/>
    <s v="30/10/2022"/>
    <x v="0"/>
    <x v="25"/>
    <x v="29"/>
    <x v="6"/>
    <x v="0"/>
    <s v="DEOBAND"/>
    <x v="1"/>
    <n v="799"/>
    <n v="205"/>
    <n v="594"/>
    <n v="240"/>
    <n v="354"/>
  </r>
  <r>
    <s v="408-2231356-2849962"/>
    <s v="30/10/2022"/>
    <x v="0"/>
    <x v="44"/>
    <x v="29"/>
    <x v="6"/>
    <x v="0"/>
    <s v="NEW DELHI"/>
    <x v="16"/>
    <n v="854.05"/>
    <n v="270"/>
    <n v="584.04999999999995"/>
    <n v="240"/>
    <n v="344.04999999999995"/>
  </r>
  <r>
    <s v="405-4610979-3111566"/>
    <s v="31/10/2022"/>
    <x v="0"/>
    <x v="121"/>
    <x v="30"/>
    <x v="6"/>
    <x v="0"/>
    <s v="Nadbai"/>
    <x v="10"/>
    <n v="799"/>
    <n v="205"/>
    <n v="594"/>
    <n v="240"/>
    <n v="354"/>
  </r>
  <r>
    <s v="403-6478989-4368318"/>
    <s v="30/10/2022"/>
    <x v="0"/>
    <x v="242"/>
    <x v="29"/>
    <x v="6"/>
    <x v="0"/>
    <s v="NEW DELHI"/>
    <x v="16"/>
    <n v="799"/>
    <n v="205"/>
    <n v="594"/>
    <n v="240"/>
    <n v="354"/>
  </r>
  <r>
    <s v="408-1896938-6672343"/>
    <s v="30/10/2022"/>
    <x v="0"/>
    <x v="147"/>
    <x v="29"/>
    <x v="6"/>
    <x v="0"/>
    <s v="PUNE"/>
    <x v="6"/>
    <n v="799"/>
    <n v="205"/>
    <n v="594"/>
    <n v="240"/>
    <n v="354"/>
  </r>
  <r>
    <s v="404-8221743-4539551"/>
    <s v="31/10/2022"/>
    <x v="0"/>
    <x v="166"/>
    <x v="30"/>
    <x v="6"/>
    <x v="0"/>
    <s v="BENGALURU"/>
    <x v="5"/>
    <n v="806.55"/>
    <n v="227"/>
    <n v="579.54999999999995"/>
    <n v="240"/>
    <n v="339.54999999999995"/>
  </r>
  <r>
    <s v="406-1483513-6206715"/>
    <s v="30/10/2022"/>
    <x v="0"/>
    <x v="164"/>
    <x v="29"/>
    <x v="6"/>
    <x v="0"/>
    <s v="HYDERABAD"/>
    <x v="8"/>
    <n v="806.55"/>
    <n v="227"/>
    <n v="579.54999999999995"/>
    <n v="240"/>
    <n v="339.54999999999995"/>
  </r>
  <r>
    <s v="171-6378643-7048355"/>
    <s v="30/10/2022"/>
    <x v="0"/>
    <x v="243"/>
    <x v="29"/>
    <x v="6"/>
    <x v="0"/>
    <s v="NAVI MUMBAI"/>
    <x v="6"/>
    <n v="999"/>
    <n v="325"/>
    <n v="674"/>
    <n v="240"/>
    <n v="434"/>
  </r>
  <r>
    <s v="405-1903969-0813133"/>
    <s v="30/10/2022"/>
    <x v="0"/>
    <x v="244"/>
    <x v="29"/>
    <x v="6"/>
    <x v="0"/>
    <s v="SHOLINGUR"/>
    <x v="7"/>
    <n v="799"/>
    <n v="205"/>
    <n v="594"/>
    <n v="240"/>
    <n v="354"/>
  </r>
  <r>
    <s v="406-8877044-5533147"/>
    <s v="30/10/2022"/>
    <x v="0"/>
    <x v="69"/>
    <x v="29"/>
    <x v="6"/>
    <x v="0"/>
    <s v="SURAT"/>
    <x v="3"/>
    <n v="806.55"/>
    <n v="227"/>
    <n v="579.54999999999995"/>
    <n v="240"/>
    <n v="339.54999999999995"/>
  </r>
  <r>
    <s v="171-8771524-7621134"/>
    <s v="29/10/2022"/>
    <x v="0"/>
    <x v="15"/>
    <x v="28"/>
    <x v="6"/>
    <x v="0"/>
    <s v="CHENNAI"/>
    <x v="7"/>
    <n v="806.55"/>
    <n v="227"/>
    <n v="579.54999999999995"/>
    <n v="240"/>
    <n v="339.54999999999995"/>
  </r>
  <r>
    <s v="405-2240168-1761966"/>
    <s v="31/10/2022"/>
    <x v="0"/>
    <x v="98"/>
    <x v="30"/>
    <x v="6"/>
    <x v="0"/>
    <s v="NAVI MUMBAI"/>
    <x v="6"/>
    <n v="899"/>
    <n v="295"/>
    <n v="604"/>
    <n v="240"/>
    <n v="364"/>
  </r>
  <r>
    <s v="408-8585235-3010764"/>
    <s v="31/10/2022"/>
    <x v="0"/>
    <x v="155"/>
    <x v="30"/>
    <x v="6"/>
    <x v="0"/>
    <s v="CHENNAI"/>
    <x v="7"/>
    <n v="849"/>
    <n v="250"/>
    <n v="599"/>
    <n v="240"/>
    <n v="359"/>
  </r>
  <r>
    <s v="402-3217570-2749145"/>
    <s v="31/10/2022"/>
    <x v="0"/>
    <x v="123"/>
    <x v="30"/>
    <x v="6"/>
    <x v="0"/>
    <s v="NELLORE"/>
    <x v="2"/>
    <n v="949.05"/>
    <n v="306"/>
    <n v="643.04999999999995"/>
    <n v="240"/>
    <n v="403.04999999999995"/>
  </r>
  <r>
    <s v="403-5451880-8422761"/>
    <s v="26/09/2022"/>
    <x v="3"/>
    <x v="223"/>
    <x v="25"/>
    <x v="5"/>
    <x v="0"/>
    <s v="SECUNDERABAD"/>
    <x v="8"/>
    <n v="-849"/>
    <n v="345"/>
    <n v="-504"/>
    <n v="240"/>
    <n v="-264"/>
  </r>
  <r>
    <s v="171-6005190-5476344"/>
    <s v="29/09/2022"/>
    <x v="3"/>
    <x v="85"/>
    <x v="28"/>
    <x v="5"/>
    <x v="0"/>
    <s v="JAIPUR"/>
    <x v="10"/>
    <n v="-799"/>
    <n v="320"/>
    <n v="-479"/>
    <n v="240"/>
    <n v="-239"/>
  </r>
  <r>
    <s v="405-0137713-1269129"/>
    <s v="28/09/2022"/>
    <x v="3"/>
    <x v="74"/>
    <x v="27"/>
    <x v="5"/>
    <x v="0"/>
    <s v="Bichun"/>
    <x v="10"/>
    <n v="-899"/>
    <n v="375"/>
    <n v="-524"/>
    <n v="240"/>
    <n v="-284"/>
  </r>
  <r>
    <s v="407-4442134-1831516"/>
    <s v="26/09/2022"/>
    <x v="3"/>
    <x v="79"/>
    <x v="25"/>
    <x v="5"/>
    <x v="0"/>
    <s v="ASANSOL"/>
    <x v="18"/>
    <n v="-899"/>
    <n v="375"/>
    <n v="-524"/>
    <n v="240"/>
    <n v="-284"/>
  </r>
  <r>
    <s v="171-7470414-4178753"/>
    <s v="24/09/2022"/>
    <x v="3"/>
    <x v="75"/>
    <x v="22"/>
    <x v="5"/>
    <x v="0"/>
    <s v="ARANG"/>
    <x v="20"/>
    <n v="-799"/>
    <n v="320"/>
    <n v="-479"/>
    <n v="240"/>
    <n v="-239"/>
  </r>
  <r>
    <s v="404-1527656-2948362"/>
    <s v="30/09/2022"/>
    <x v="0"/>
    <x v="69"/>
    <x v="29"/>
    <x v="5"/>
    <x v="0"/>
    <s v="New Delhi"/>
    <x v="16"/>
    <n v="849"/>
    <n v="250"/>
    <n v="599"/>
    <n v="240"/>
    <n v="359"/>
  </r>
  <r>
    <s v="406-7349390-2061138"/>
    <s v="30/09/2022"/>
    <x v="0"/>
    <x v="81"/>
    <x v="29"/>
    <x v="5"/>
    <x v="0"/>
    <s v="Varkala"/>
    <x v="9"/>
    <n v="799"/>
    <n v="205"/>
    <n v="594"/>
    <n v="240"/>
    <n v="354"/>
  </r>
  <r>
    <s v="403-9662624-5621936"/>
    <s v="30/09/2022"/>
    <x v="0"/>
    <x v="145"/>
    <x v="29"/>
    <x v="5"/>
    <x v="0"/>
    <s v="BENGALURU"/>
    <x v="5"/>
    <n v="799"/>
    <n v="205"/>
    <n v="594"/>
    <n v="240"/>
    <n v="354"/>
  </r>
  <r>
    <s v="171-0733172-8009927"/>
    <s v="30/09/2022"/>
    <x v="0"/>
    <x v="134"/>
    <x v="29"/>
    <x v="5"/>
    <x v="0"/>
    <s v="BENGALURU"/>
    <x v="5"/>
    <n v="849"/>
    <n v="250"/>
    <n v="599"/>
    <n v="240"/>
    <n v="359"/>
  </r>
  <r>
    <s v="405-6311994-0979526"/>
    <s v="30/09/2022"/>
    <x v="0"/>
    <x v="133"/>
    <x v="29"/>
    <x v="5"/>
    <x v="0"/>
    <s v="NOIDA"/>
    <x v="1"/>
    <n v="799"/>
    <n v="205"/>
    <n v="594"/>
    <n v="240"/>
    <n v="354"/>
  </r>
  <r>
    <s v="407-0727851-7404354"/>
    <s v="30/09/2022"/>
    <x v="0"/>
    <x v="124"/>
    <x v="29"/>
    <x v="5"/>
    <x v="0"/>
    <s v="BENGALURU"/>
    <x v="5"/>
    <n v="999"/>
    <n v="325"/>
    <n v="674"/>
    <n v="240"/>
    <n v="434"/>
  </r>
  <r>
    <s v="171-0284917-7752326"/>
    <s v="25/09/2022"/>
    <x v="3"/>
    <x v="15"/>
    <x v="24"/>
    <x v="5"/>
    <x v="0"/>
    <s v="SONGADH TAPI DISTRICT"/>
    <x v="3"/>
    <n v="-849"/>
    <n v="345"/>
    <n v="-504"/>
    <n v="240"/>
    <n v="-264"/>
  </r>
  <r>
    <s v="406-2349173-4113145"/>
    <s v="25/09/2022"/>
    <x v="3"/>
    <x v="137"/>
    <x v="24"/>
    <x v="5"/>
    <x v="0"/>
    <s v="BHUBANESWAR"/>
    <x v="14"/>
    <n v="-849"/>
    <n v="345"/>
    <n v="-504"/>
    <n v="240"/>
    <n v="-264"/>
  </r>
  <r>
    <s v="408-1031649-1974708"/>
    <s v="26/09/2022"/>
    <x v="3"/>
    <x v="59"/>
    <x v="25"/>
    <x v="5"/>
    <x v="0"/>
    <s v="PUNE"/>
    <x v="6"/>
    <n v="-899"/>
    <n v="375"/>
    <n v="-524"/>
    <n v="240"/>
    <n v="-284"/>
  </r>
  <r>
    <s v="406-7093554-6129132"/>
    <s v="26/09/2022"/>
    <x v="3"/>
    <x v="15"/>
    <x v="25"/>
    <x v="5"/>
    <x v="0"/>
    <s v="THIRUVALLA"/>
    <x v="9"/>
    <n v="-849"/>
    <n v="345"/>
    <n v="-504"/>
    <n v="240"/>
    <n v="-264"/>
  </r>
  <r>
    <s v="408-8310058-2194767"/>
    <s v="29/09/2022"/>
    <x v="3"/>
    <x v="75"/>
    <x v="28"/>
    <x v="5"/>
    <x v="0"/>
    <s v="AHMEDABAD"/>
    <x v="3"/>
    <n v="-799"/>
    <n v="320"/>
    <n v="-479"/>
    <n v="240"/>
    <n v="-239"/>
  </r>
  <r>
    <s v="407-3425757-7138757"/>
    <s v="24/09/2022"/>
    <x v="3"/>
    <x v="15"/>
    <x v="22"/>
    <x v="5"/>
    <x v="0"/>
    <s v="ERNAKULAM"/>
    <x v="9"/>
    <n v="-849"/>
    <n v="345"/>
    <n v="-504"/>
    <n v="240"/>
    <n v="-264"/>
  </r>
  <r>
    <s v="408-2274209-0831541"/>
    <s v="30/09/2022"/>
    <x v="3"/>
    <x v="69"/>
    <x v="29"/>
    <x v="5"/>
    <x v="0"/>
    <s v="CHENNAI"/>
    <x v="7"/>
    <n v="-849"/>
    <n v="345"/>
    <n v="-504"/>
    <n v="240"/>
    <n v="-264"/>
  </r>
  <r>
    <s v="404-0960905-3856368"/>
    <s v="30/09/2022"/>
    <x v="3"/>
    <x v="59"/>
    <x v="29"/>
    <x v="5"/>
    <x v="0"/>
    <s v="PUNE"/>
    <x v="6"/>
    <n v="-899"/>
    <n v="375"/>
    <n v="-524"/>
    <n v="240"/>
    <n v="-284"/>
  </r>
  <r>
    <s v="403-6233338-2125918"/>
    <s v="29/09/2022"/>
    <x v="3"/>
    <x v="127"/>
    <x v="28"/>
    <x v="5"/>
    <x v="0"/>
    <s v="PUNE"/>
    <x v="6"/>
    <n v="-849"/>
    <n v="345"/>
    <n v="-504"/>
    <n v="240"/>
    <n v="-264"/>
  </r>
  <r>
    <s v="171-8984219-0774751"/>
    <s v="30/09/2022"/>
    <x v="3"/>
    <x v="137"/>
    <x v="29"/>
    <x v="5"/>
    <x v="0"/>
    <s v="TIRUCHIRAPPALLI"/>
    <x v="7"/>
    <n v="-849"/>
    <n v="345"/>
    <n v="-504"/>
    <n v="240"/>
    <n v="-264"/>
  </r>
  <r>
    <s v="405-1969849-3508337"/>
    <s v="25/09/2022"/>
    <x v="3"/>
    <x v="220"/>
    <x v="24"/>
    <x v="5"/>
    <x v="0"/>
    <s v="GANDHINAGAR"/>
    <x v="3"/>
    <n v="-799"/>
    <n v="320"/>
    <n v="-479"/>
    <n v="240"/>
    <n v="-239"/>
  </r>
  <r>
    <s v="171-0733172-8009927"/>
    <s v="30/09/2022"/>
    <x v="3"/>
    <x v="134"/>
    <x v="29"/>
    <x v="5"/>
    <x v="0"/>
    <s v="BENGALURU"/>
    <x v="5"/>
    <n v="-849"/>
    <n v="345"/>
    <n v="-504"/>
    <n v="240"/>
    <n v="-264"/>
  </r>
  <r>
    <s v="406-8377629-5115552"/>
    <s v="23/09/2022"/>
    <x v="3"/>
    <x v="115"/>
    <x v="23"/>
    <x v="5"/>
    <x v="0"/>
    <s v="NELLORE"/>
    <x v="2"/>
    <n v="-799"/>
    <n v="320"/>
    <n v="-479"/>
    <n v="240"/>
    <n v="-239"/>
  </r>
  <r>
    <s v="402-5347609-4161146"/>
    <s v="27/09/2022"/>
    <x v="3"/>
    <x v="88"/>
    <x v="26"/>
    <x v="5"/>
    <x v="0"/>
    <s v="NEW DELHI"/>
    <x v="16"/>
    <n v="-899"/>
    <n v="375"/>
    <n v="-524"/>
    <n v="240"/>
    <n v="-284"/>
  </r>
  <r>
    <s v="406-2349173-4113145"/>
    <s v="25/09/2022"/>
    <x v="3"/>
    <x v="123"/>
    <x v="24"/>
    <x v="5"/>
    <x v="0"/>
    <s v="BHUBANESWAR"/>
    <x v="14"/>
    <n v="-999"/>
    <n v="395"/>
    <n v="-604"/>
    <n v="240"/>
    <n v="-364"/>
  </r>
  <r>
    <s v="405-3419987-6021966"/>
    <s v="28/09/2022"/>
    <x v="3"/>
    <x v="127"/>
    <x v="27"/>
    <x v="5"/>
    <x v="0"/>
    <s v="HINDAUN"/>
    <x v="10"/>
    <n v="-849"/>
    <n v="345"/>
    <n v="-504"/>
    <n v="240"/>
    <n v="-264"/>
  </r>
  <r>
    <s v="403-2061189-2949966"/>
    <s v="23/09/2022"/>
    <x v="3"/>
    <x v="59"/>
    <x v="23"/>
    <x v="5"/>
    <x v="0"/>
    <s v="ERNAKULAM"/>
    <x v="9"/>
    <n v="-899"/>
    <n v="375"/>
    <n v="-524"/>
    <n v="240"/>
    <n v="-284"/>
  </r>
  <r>
    <s v="408-7833328-8252319"/>
    <s v="01/11/2022"/>
    <x v="2"/>
    <x v="137"/>
    <x v="0"/>
    <x v="7"/>
    <x v="0"/>
    <s v="NEW DELHI"/>
    <x v="16"/>
    <n v="0"/>
    <n v="0"/>
    <n v="0"/>
    <n v="0"/>
    <n v="0"/>
  </r>
  <r>
    <s v="408-7833328-8252319"/>
    <s v="01/11/2022"/>
    <x v="2"/>
    <x v="172"/>
    <x v="0"/>
    <x v="7"/>
    <x v="0"/>
    <s v="NEW DELHI"/>
    <x v="16"/>
    <n v="0"/>
    <n v="0"/>
    <n v="0"/>
    <n v="0"/>
    <n v="0"/>
  </r>
  <r>
    <s v="405-5703998-0449962"/>
    <s v="01/11/2022"/>
    <x v="0"/>
    <x v="81"/>
    <x v="0"/>
    <x v="7"/>
    <x v="0"/>
    <s v="MOHALI"/>
    <x v="26"/>
    <n v="759.05"/>
    <n v="202"/>
    <n v="557.04999999999995"/>
    <n v="240"/>
    <n v="317.04999999999995"/>
  </r>
  <r>
    <s v="403-2642241-4224324"/>
    <s v="02/11/2022"/>
    <x v="2"/>
    <x v="245"/>
    <x v="1"/>
    <x v="7"/>
    <x v="0"/>
    <s v="BHOPAL"/>
    <x v="13"/>
    <n v="0"/>
    <n v="0"/>
    <n v="0"/>
    <n v="0"/>
    <n v="0"/>
  </r>
  <r>
    <s v="405-3760392-7341121"/>
    <s v="01/11/2022"/>
    <x v="0"/>
    <x v="236"/>
    <x v="0"/>
    <x v="7"/>
    <x v="0"/>
    <s v="TUTICORIN"/>
    <x v="7"/>
    <n v="849"/>
    <n v="250"/>
    <n v="599"/>
    <n v="240"/>
    <n v="359"/>
  </r>
  <r>
    <s v="171-1587255-1696308"/>
    <s v="01/11/2022"/>
    <x v="0"/>
    <x v="69"/>
    <x v="0"/>
    <x v="7"/>
    <x v="0"/>
    <s v="MADURAI"/>
    <x v="7"/>
    <n v="806.55"/>
    <n v="227"/>
    <n v="579.54999999999995"/>
    <n v="240"/>
    <n v="339.54999999999995"/>
  </r>
  <r>
    <s v="407-5669997-5730767"/>
    <s v="01/11/2022"/>
    <x v="0"/>
    <x v="188"/>
    <x v="0"/>
    <x v="7"/>
    <x v="0"/>
    <s v="SRI GANGANAGAR"/>
    <x v="10"/>
    <n v="799"/>
    <n v="205"/>
    <n v="594"/>
    <n v="240"/>
    <n v="354"/>
  </r>
  <r>
    <s v="407-5669997-5730767"/>
    <s v="01/11/2022"/>
    <x v="0"/>
    <x v="151"/>
    <x v="0"/>
    <x v="7"/>
    <x v="0"/>
    <s v="SRI GANGANAGAR"/>
    <x v="10"/>
    <n v="799"/>
    <n v="205"/>
    <n v="594"/>
    <n v="240"/>
    <n v="354"/>
  </r>
  <r>
    <s v="408-4447461-4646752"/>
    <s v="01/11/2022"/>
    <x v="0"/>
    <x v="165"/>
    <x v="0"/>
    <x v="7"/>
    <x v="0"/>
    <s v="HYDERABAD"/>
    <x v="8"/>
    <n v="799"/>
    <n v="205"/>
    <n v="594"/>
    <n v="240"/>
    <n v="354"/>
  </r>
  <r>
    <s v="408-7833328-8252319"/>
    <s v="01/11/2022"/>
    <x v="0"/>
    <x v="137"/>
    <x v="0"/>
    <x v="7"/>
    <x v="0"/>
    <s v="NEW DELHI"/>
    <x v="16"/>
    <n v="849"/>
    <n v="250"/>
    <n v="599"/>
    <n v="240"/>
    <n v="359"/>
  </r>
  <r>
    <s v="408-7833328-8252319"/>
    <s v="01/11/2022"/>
    <x v="0"/>
    <x v="172"/>
    <x v="0"/>
    <x v="7"/>
    <x v="0"/>
    <s v="NEW DELHI"/>
    <x v="16"/>
    <n v="799"/>
    <n v="205"/>
    <n v="594"/>
    <n v="240"/>
    <n v="354"/>
  </r>
  <r>
    <s v="406-4534223-2038720"/>
    <s v="02/11/2022"/>
    <x v="0"/>
    <x v="202"/>
    <x v="1"/>
    <x v="7"/>
    <x v="0"/>
    <s v="MADURAI"/>
    <x v="7"/>
    <n v="949.05"/>
    <n v="306"/>
    <n v="643.04999999999995"/>
    <n v="240"/>
    <n v="403.04999999999995"/>
  </r>
  <r>
    <s v="402-6089504-5834714"/>
    <s v="02/11/2022"/>
    <x v="0"/>
    <x v="15"/>
    <x v="1"/>
    <x v="7"/>
    <x v="0"/>
    <s v="KOTA"/>
    <x v="10"/>
    <n v="849"/>
    <n v="250"/>
    <n v="599"/>
    <n v="240"/>
    <n v="359"/>
  </r>
  <r>
    <s v="407-1113747-0802764"/>
    <s v="02/11/2022"/>
    <x v="0"/>
    <x v="80"/>
    <x v="1"/>
    <x v="7"/>
    <x v="0"/>
    <s v="AMRITSAR"/>
    <x v="26"/>
    <n v="899"/>
    <n v="295"/>
    <n v="604"/>
    <n v="240"/>
    <n v="364"/>
  </r>
  <r>
    <s v="403-2642241-4224324"/>
    <s v="02/11/2022"/>
    <x v="0"/>
    <x v="245"/>
    <x v="1"/>
    <x v="7"/>
    <x v="0"/>
    <s v="BHOPAL"/>
    <x v="13"/>
    <n v="799"/>
    <n v="205"/>
    <n v="594"/>
    <n v="240"/>
    <n v="354"/>
  </r>
  <r>
    <s v="407-7848826-5465941"/>
    <s v="03/11/2022"/>
    <x v="0"/>
    <x v="59"/>
    <x v="2"/>
    <x v="7"/>
    <x v="0"/>
    <s v="PUNE"/>
    <x v="6"/>
    <n v="854.05"/>
    <n v="270"/>
    <n v="584.04999999999995"/>
    <n v="240"/>
    <n v="344.04999999999995"/>
  </r>
  <r>
    <s v="408-6855035-9937165"/>
    <s v="03/11/2022"/>
    <x v="0"/>
    <x v="25"/>
    <x v="2"/>
    <x v="7"/>
    <x v="0"/>
    <s v="NAVI MUMBAI"/>
    <x v="6"/>
    <n v="759.05"/>
    <n v="202"/>
    <n v="557.04999999999995"/>
    <n v="240"/>
    <n v="317.04999999999995"/>
  </r>
  <r>
    <s v="404-2021999-1399514"/>
    <s v="03/11/2022"/>
    <x v="0"/>
    <x v="154"/>
    <x v="2"/>
    <x v="7"/>
    <x v="0"/>
    <s v="HUBBALLI"/>
    <x v="5"/>
    <n v="799"/>
    <n v="205"/>
    <n v="594"/>
    <n v="240"/>
    <n v="354"/>
  </r>
  <r>
    <s v="171-7477716-2029107"/>
    <s v="04/11/2022"/>
    <x v="0"/>
    <x v="88"/>
    <x v="3"/>
    <x v="7"/>
    <x v="0"/>
    <s v="Thane"/>
    <x v="6"/>
    <n v="854.05"/>
    <n v="270"/>
    <n v="584.04999999999995"/>
    <n v="240"/>
    <n v="344.04999999999995"/>
  </r>
  <r>
    <s v="403-7363239-8991536"/>
    <s v="04/11/2022"/>
    <x v="0"/>
    <x v="221"/>
    <x v="3"/>
    <x v="7"/>
    <x v="0"/>
    <s v="BENGALURU"/>
    <x v="5"/>
    <n v="849"/>
    <n v="250"/>
    <n v="599"/>
    <n v="240"/>
    <n v="359"/>
  </r>
  <r>
    <s v="404-2694237-1057158"/>
    <s v="05/11/2022"/>
    <x v="2"/>
    <x v="125"/>
    <x v="4"/>
    <x v="7"/>
    <x v="0"/>
    <s v="CHENNAI"/>
    <x v="7"/>
    <n v="0"/>
    <n v="0"/>
    <n v="0"/>
    <n v="0"/>
    <n v="0"/>
  </r>
  <r>
    <s v="405-1750170-8610765"/>
    <s v="04/11/2022"/>
    <x v="0"/>
    <x v="52"/>
    <x v="3"/>
    <x v="7"/>
    <x v="0"/>
    <s v="MUMBAI"/>
    <x v="6"/>
    <n v="899"/>
    <n v="295"/>
    <n v="604"/>
    <n v="240"/>
    <n v="364"/>
  </r>
  <r>
    <s v="404-1061862-4609139"/>
    <s v="05/11/2022"/>
    <x v="0"/>
    <x v="145"/>
    <x v="4"/>
    <x v="7"/>
    <x v="0"/>
    <s v="BENGALURU"/>
    <x v="5"/>
    <n v="799"/>
    <n v="205"/>
    <n v="594"/>
    <n v="240"/>
    <n v="354"/>
  </r>
  <r>
    <s v="403-5683848-9658742"/>
    <s v="05/11/2022"/>
    <x v="0"/>
    <x v="188"/>
    <x v="4"/>
    <x v="7"/>
    <x v="0"/>
    <s v="KOLKATA"/>
    <x v="18"/>
    <n v="799"/>
    <n v="205"/>
    <n v="594"/>
    <n v="240"/>
    <n v="354"/>
  </r>
  <r>
    <s v="407-3022054-9622764"/>
    <s v="04/11/2022"/>
    <x v="0"/>
    <x v="175"/>
    <x v="3"/>
    <x v="7"/>
    <x v="0"/>
    <s v="HYDERABAD"/>
    <x v="8"/>
    <n v="799"/>
    <n v="205"/>
    <n v="594"/>
    <n v="240"/>
    <n v="354"/>
  </r>
  <r>
    <s v="402-1064632-7071529"/>
    <s v="04/11/2022"/>
    <x v="0"/>
    <x v="15"/>
    <x v="3"/>
    <x v="7"/>
    <x v="0"/>
    <s v="RAMNAGAR"/>
    <x v="0"/>
    <n v="806.55"/>
    <n v="227"/>
    <n v="579.54999999999995"/>
    <n v="240"/>
    <n v="339.54999999999995"/>
  </r>
  <r>
    <s v="404-5648705-3461929"/>
    <s v="05/11/2022"/>
    <x v="0"/>
    <x v="187"/>
    <x v="4"/>
    <x v="7"/>
    <x v="0"/>
    <s v="BENGALURU"/>
    <x v="5"/>
    <n v="799"/>
    <n v="205"/>
    <n v="594"/>
    <n v="240"/>
    <n v="354"/>
  </r>
  <r>
    <s v="403-0818304-7504367"/>
    <s v="04/11/2022"/>
    <x v="0"/>
    <x v="163"/>
    <x v="3"/>
    <x v="7"/>
    <x v="0"/>
    <s v="Gandhinagar"/>
    <x v="3"/>
    <n v="799"/>
    <n v="205"/>
    <n v="594"/>
    <n v="240"/>
    <n v="354"/>
  </r>
  <r>
    <s v="403-8811790-1801948"/>
    <s v="04/11/2022"/>
    <x v="0"/>
    <x v="4"/>
    <x v="3"/>
    <x v="7"/>
    <x v="0"/>
    <s v="MUMBAI"/>
    <x v="6"/>
    <n v="849"/>
    <n v="250"/>
    <n v="599"/>
    <n v="240"/>
    <n v="359"/>
  </r>
  <r>
    <s v="405-0402119-1824310"/>
    <s v="05/11/2022"/>
    <x v="0"/>
    <x v="15"/>
    <x v="4"/>
    <x v="7"/>
    <x v="0"/>
    <s v="MUMBAI"/>
    <x v="6"/>
    <n v="849"/>
    <n v="250"/>
    <n v="599"/>
    <n v="240"/>
    <n v="359"/>
  </r>
  <r>
    <s v="402-1002473-3735551"/>
    <s v="05/11/2022"/>
    <x v="0"/>
    <x v="190"/>
    <x v="4"/>
    <x v="7"/>
    <x v="0"/>
    <s v="SOUTH GOA"/>
    <x v="21"/>
    <n v="799"/>
    <n v="205"/>
    <n v="594"/>
    <n v="240"/>
    <n v="354"/>
  </r>
  <r>
    <s v="402-1002473-3735551"/>
    <s v="05/11/2022"/>
    <x v="0"/>
    <x v="75"/>
    <x v="4"/>
    <x v="7"/>
    <x v="0"/>
    <s v="SOUTH GOA"/>
    <x v="21"/>
    <n v="799"/>
    <n v="205"/>
    <n v="594"/>
    <n v="240"/>
    <n v="354"/>
  </r>
  <r>
    <s v="403-5719319-1032354"/>
    <s v="04/11/2022"/>
    <x v="0"/>
    <x v="136"/>
    <x v="3"/>
    <x v="7"/>
    <x v="0"/>
    <s v="KAKINADA"/>
    <x v="2"/>
    <n v="849"/>
    <n v="250"/>
    <n v="599"/>
    <n v="240"/>
    <n v="359"/>
  </r>
  <r>
    <s v="171-4966193-1334764"/>
    <s v="04/11/2022"/>
    <x v="0"/>
    <x v="158"/>
    <x v="3"/>
    <x v="7"/>
    <x v="0"/>
    <s v="CHANNARAYAPATNA"/>
    <x v="5"/>
    <n v="849"/>
    <n v="250"/>
    <n v="599"/>
    <n v="240"/>
    <n v="359"/>
  </r>
  <r>
    <s v="403-6832875-4689905"/>
    <s v="04/11/2022"/>
    <x v="0"/>
    <x v="15"/>
    <x v="3"/>
    <x v="7"/>
    <x v="0"/>
    <s v="Nashik"/>
    <x v="6"/>
    <n v="806.55"/>
    <n v="227"/>
    <n v="579.54999999999995"/>
    <n v="240"/>
    <n v="339.54999999999995"/>
  </r>
  <r>
    <s v="406-6002736-8348351"/>
    <s v="04/11/2022"/>
    <x v="0"/>
    <x v="69"/>
    <x v="3"/>
    <x v="7"/>
    <x v="0"/>
    <s v="Margao"/>
    <x v="21"/>
    <n v="1698"/>
    <n v="407"/>
    <n v="1291"/>
    <n v="240"/>
    <n v="1051"/>
  </r>
  <r>
    <s v="171-9895783-1900368"/>
    <s v="06/11/2022"/>
    <x v="2"/>
    <x v="136"/>
    <x v="5"/>
    <x v="7"/>
    <x v="0"/>
    <s v="VADODARA"/>
    <x v="3"/>
    <n v="0"/>
    <n v="0"/>
    <n v="0"/>
    <n v="0"/>
    <n v="0"/>
  </r>
  <r>
    <s v="405-2767779-9014711"/>
    <s v="06/11/2022"/>
    <x v="0"/>
    <x v="124"/>
    <x v="5"/>
    <x v="7"/>
    <x v="0"/>
    <s v="PIMPRI CHINCHWAD"/>
    <x v="6"/>
    <n v="999"/>
    <n v="325"/>
    <n v="674"/>
    <n v="240"/>
    <n v="434"/>
  </r>
  <r>
    <s v="405-2767779-9014711"/>
    <s v="06/11/2022"/>
    <x v="0"/>
    <x v="98"/>
    <x v="5"/>
    <x v="7"/>
    <x v="0"/>
    <s v="PIMPRI CHINCHWAD"/>
    <x v="6"/>
    <n v="899"/>
    <n v="295"/>
    <n v="604"/>
    <n v="240"/>
    <n v="364"/>
  </r>
  <r>
    <s v="408-7833328-8252319"/>
    <s v="01/11/2022"/>
    <x v="3"/>
    <x v="172"/>
    <x v="0"/>
    <x v="7"/>
    <x v="0"/>
    <s v="NEW DELHI"/>
    <x v="16"/>
    <n v="-799"/>
    <n v="320"/>
    <n v="-479"/>
    <n v="240"/>
    <n v="-239"/>
  </r>
  <r>
    <s v="404-5648705-3461929"/>
    <s v="05/11/2022"/>
    <x v="3"/>
    <x v="187"/>
    <x v="4"/>
    <x v="7"/>
    <x v="0"/>
    <s v="BENGALURU"/>
    <x v="5"/>
    <n v="-799"/>
    <n v="320"/>
    <n v="-479"/>
    <n v="240"/>
    <n v="-239"/>
  </r>
  <r>
    <s v="408-4447461-4646752"/>
    <s v="01/11/2022"/>
    <x v="3"/>
    <x v="165"/>
    <x v="0"/>
    <x v="7"/>
    <x v="0"/>
    <s v="HYDERABAD"/>
    <x v="8"/>
    <n v="-799"/>
    <n v="320"/>
    <n v="-479"/>
    <n v="240"/>
    <n v="-239"/>
  </r>
  <r>
    <s v="408-6726933-1013930"/>
    <s v="06/11/2022"/>
    <x v="1"/>
    <x v="124"/>
    <x v="5"/>
    <x v="7"/>
    <x v="0"/>
    <s v="NAVI MUMBAI"/>
    <x v="6"/>
    <n v="0"/>
    <n v="0"/>
    <n v="0"/>
    <n v="0"/>
    <n v="0"/>
  </r>
  <r>
    <s v="405-6213271-5634757"/>
    <s v="06/11/2022"/>
    <x v="0"/>
    <x v="202"/>
    <x v="5"/>
    <x v="7"/>
    <x v="0"/>
    <s v="PATNA"/>
    <x v="0"/>
    <n v="949.05"/>
    <n v="306"/>
    <n v="643.04999999999995"/>
    <n v="240"/>
    <n v="403.04999999999995"/>
  </r>
  <r>
    <s v="404-0289972-4810735"/>
    <s v="06/11/2022"/>
    <x v="0"/>
    <x v="44"/>
    <x v="5"/>
    <x v="7"/>
    <x v="0"/>
    <s v="HYDERABAD"/>
    <x v="8"/>
    <n v="854.05"/>
    <n v="270"/>
    <n v="584.04999999999995"/>
    <n v="240"/>
    <n v="344.04999999999995"/>
  </r>
  <r>
    <s v="171-9895783-1900368"/>
    <s v="06/11/2022"/>
    <x v="0"/>
    <x v="136"/>
    <x v="5"/>
    <x v="7"/>
    <x v="0"/>
    <s v="VADODARA"/>
    <x v="3"/>
    <n v="849"/>
    <n v="250"/>
    <n v="599"/>
    <n v="240"/>
    <n v="359"/>
  </r>
  <r>
    <s v="404-8462547-6317946"/>
    <s v="06/11/2022"/>
    <x v="0"/>
    <x v="15"/>
    <x v="5"/>
    <x v="7"/>
    <x v="0"/>
    <s v="DHARMAPURI"/>
    <x v="7"/>
    <n v="849"/>
    <n v="250"/>
    <n v="599"/>
    <n v="240"/>
    <n v="359"/>
  </r>
  <r>
    <s v="405-7404388-5865926"/>
    <s v="06/11/2022"/>
    <x v="0"/>
    <x v="155"/>
    <x v="5"/>
    <x v="7"/>
    <x v="0"/>
    <s v="PATNA"/>
    <x v="0"/>
    <n v="849"/>
    <n v="250"/>
    <n v="599"/>
    <n v="240"/>
    <n v="359"/>
  </r>
  <r>
    <s v="405-9048887-7964316"/>
    <s v="08/11/2022"/>
    <x v="2"/>
    <x v="157"/>
    <x v="6"/>
    <x v="7"/>
    <x v="0"/>
    <s v="PORT BLAIR"/>
    <x v="32"/>
    <n v="0"/>
    <n v="0"/>
    <n v="0"/>
    <n v="0"/>
    <n v="0"/>
  </r>
  <r>
    <s v="404-1061862-4609139"/>
    <s v="05/11/2022"/>
    <x v="3"/>
    <x v="145"/>
    <x v="4"/>
    <x v="7"/>
    <x v="0"/>
    <s v="BENGALURU"/>
    <x v="5"/>
    <n v="-799"/>
    <n v="320"/>
    <n v="-479"/>
    <n v="240"/>
    <n v="-239"/>
  </r>
  <r>
    <s v="408-9678778-2992300"/>
    <s v="07/11/2022"/>
    <x v="0"/>
    <x v="15"/>
    <x v="7"/>
    <x v="7"/>
    <x v="0"/>
    <s v="RENGALI"/>
    <x v="14"/>
    <n v="849"/>
    <n v="250"/>
    <n v="599"/>
    <n v="240"/>
    <n v="359"/>
  </r>
  <r>
    <s v="408-5423069-9473914"/>
    <s v="08/11/2022"/>
    <x v="0"/>
    <x v="95"/>
    <x v="6"/>
    <x v="7"/>
    <x v="0"/>
    <s v="BENGALURU"/>
    <x v="5"/>
    <n v="854.05"/>
    <n v="270"/>
    <n v="584.04999999999995"/>
    <n v="240"/>
    <n v="344.04999999999995"/>
  </r>
  <r>
    <s v="171-0951968-0021111"/>
    <s v="07/11/2022"/>
    <x v="0"/>
    <x v="133"/>
    <x v="7"/>
    <x v="7"/>
    <x v="0"/>
    <s v="NEW DELHI"/>
    <x v="16"/>
    <n v="799"/>
    <n v="205"/>
    <n v="594"/>
    <n v="240"/>
    <n v="354"/>
  </r>
  <r>
    <s v="405-4225370-3965931"/>
    <s v="07/11/2022"/>
    <x v="0"/>
    <x v="202"/>
    <x v="7"/>
    <x v="7"/>
    <x v="0"/>
    <s v="BENGALURU"/>
    <x v="5"/>
    <n v="999"/>
    <n v="325"/>
    <n v="674"/>
    <n v="240"/>
    <n v="434"/>
  </r>
  <r>
    <s v="408-8807628-3134737"/>
    <s v="07/11/2022"/>
    <x v="0"/>
    <x v="154"/>
    <x v="7"/>
    <x v="7"/>
    <x v="0"/>
    <s v="AHMEDABAD"/>
    <x v="3"/>
    <n v="799"/>
    <n v="205"/>
    <n v="594"/>
    <n v="240"/>
    <n v="354"/>
  </r>
  <r>
    <s v="404-0520558-0282745"/>
    <s v="07/11/2022"/>
    <x v="0"/>
    <x v="128"/>
    <x v="7"/>
    <x v="7"/>
    <x v="0"/>
    <s v="HYDERABAD"/>
    <x v="8"/>
    <n v="949.05"/>
    <n v="306"/>
    <n v="643.04999999999995"/>
    <n v="240"/>
    <n v="403.04999999999995"/>
  </r>
  <r>
    <s v="402-2589974-2047541"/>
    <s v="07/11/2022"/>
    <x v="0"/>
    <x v="107"/>
    <x v="7"/>
    <x v="7"/>
    <x v="0"/>
    <s v="HYDERABAD"/>
    <x v="8"/>
    <n v="799"/>
    <n v="205"/>
    <n v="594"/>
    <n v="240"/>
    <n v="354"/>
  </r>
  <r>
    <s v="407-5669997-5730767"/>
    <s v="01/11/2022"/>
    <x v="3"/>
    <x v="151"/>
    <x v="0"/>
    <x v="7"/>
    <x v="0"/>
    <s v="SRI GANGANAGAR"/>
    <x v="10"/>
    <n v="-799"/>
    <n v="320"/>
    <n v="-479"/>
    <n v="240"/>
    <n v="-239"/>
  </r>
  <r>
    <s v="408-7833328-8252319"/>
    <s v="01/11/2022"/>
    <x v="3"/>
    <x v="137"/>
    <x v="0"/>
    <x v="7"/>
    <x v="0"/>
    <s v="NEW DELHI"/>
    <x v="16"/>
    <n v="-849"/>
    <n v="345"/>
    <n v="-504"/>
    <n v="240"/>
    <n v="-264"/>
  </r>
  <r>
    <s v="402-2271259-5107569"/>
    <s v="09/11/2022"/>
    <x v="2"/>
    <x v="165"/>
    <x v="8"/>
    <x v="7"/>
    <x v="0"/>
    <s v="COIMBATORE"/>
    <x v="7"/>
    <n v="0"/>
    <n v="0"/>
    <n v="0"/>
    <n v="0"/>
    <n v="0"/>
  </r>
  <r>
    <s v="403-2294568-7220351"/>
    <s v="08/11/2022"/>
    <x v="0"/>
    <x v="83"/>
    <x v="6"/>
    <x v="7"/>
    <x v="0"/>
    <s v="VASAI VIRAR"/>
    <x v="6"/>
    <n v="899"/>
    <n v="295"/>
    <n v="604"/>
    <n v="240"/>
    <n v="364"/>
  </r>
  <r>
    <s v="404-0024067-5770762"/>
    <s v="08/11/2022"/>
    <x v="0"/>
    <x v="246"/>
    <x v="6"/>
    <x v="7"/>
    <x v="0"/>
    <s v="PATNA"/>
    <x v="0"/>
    <n v="799"/>
    <n v="205"/>
    <n v="594"/>
    <n v="240"/>
    <n v="354"/>
  </r>
  <r>
    <s v="402-7840802-3673137"/>
    <s v="09/11/2022"/>
    <x v="0"/>
    <x v="98"/>
    <x v="8"/>
    <x v="7"/>
    <x v="0"/>
    <s v="PARLAKHEMUNDI"/>
    <x v="14"/>
    <n v="854.05"/>
    <n v="270"/>
    <n v="584.04999999999995"/>
    <n v="240"/>
    <n v="344.04999999999995"/>
  </r>
  <r>
    <s v="171-1440900-5994769"/>
    <s v="09/11/2022"/>
    <x v="0"/>
    <x v="193"/>
    <x v="8"/>
    <x v="7"/>
    <x v="0"/>
    <s v="PATHANAMTHITTA"/>
    <x v="9"/>
    <n v="799"/>
    <n v="205"/>
    <n v="594"/>
    <n v="240"/>
    <n v="354"/>
  </r>
  <r>
    <s v="405-2468479-7771519"/>
    <s v="09/11/2022"/>
    <x v="0"/>
    <x v="81"/>
    <x v="8"/>
    <x v="7"/>
    <x v="0"/>
    <s v="BENGALURU"/>
    <x v="5"/>
    <n v="759.05"/>
    <n v="202"/>
    <n v="557.04999999999995"/>
    <n v="240"/>
    <n v="317.04999999999995"/>
  </r>
  <r>
    <s v="407-1592140-4409147"/>
    <s v="09/11/2022"/>
    <x v="0"/>
    <x v="128"/>
    <x v="8"/>
    <x v="7"/>
    <x v="0"/>
    <s v="MORBI"/>
    <x v="3"/>
    <n v="999"/>
    <n v="325"/>
    <n v="674"/>
    <n v="240"/>
    <n v="434"/>
  </r>
  <r>
    <s v="404-1903198-0342734"/>
    <s v="09/11/2022"/>
    <x v="0"/>
    <x v="15"/>
    <x v="8"/>
    <x v="7"/>
    <x v="0"/>
    <s v="THANE"/>
    <x v="6"/>
    <n v="806.55"/>
    <n v="227"/>
    <n v="579.54999999999995"/>
    <n v="240"/>
    <n v="339.54999999999995"/>
  </r>
  <r>
    <s v="408-4276982-9459509"/>
    <s v="09/11/2022"/>
    <x v="0"/>
    <x v="69"/>
    <x v="8"/>
    <x v="7"/>
    <x v="0"/>
    <s v="DEVADANAPATTI"/>
    <x v="7"/>
    <n v="849"/>
    <n v="250"/>
    <n v="599"/>
    <n v="240"/>
    <n v="359"/>
  </r>
  <r>
    <s v="406-9854997-6029131"/>
    <s v="09/11/2022"/>
    <x v="0"/>
    <x v="217"/>
    <x v="8"/>
    <x v="7"/>
    <x v="0"/>
    <s v="NAVI MUMBAI"/>
    <x v="6"/>
    <n v="799"/>
    <n v="205"/>
    <n v="594"/>
    <n v="240"/>
    <n v="354"/>
  </r>
  <r>
    <s v="405-8100217-6705143"/>
    <s v="08/11/2022"/>
    <x v="0"/>
    <x v="193"/>
    <x v="6"/>
    <x v="7"/>
    <x v="0"/>
    <s v="PORT BLAIR"/>
    <x v="32"/>
    <n v="799"/>
    <n v="205"/>
    <n v="594"/>
    <n v="240"/>
    <n v="354"/>
  </r>
  <r>
    <s v="404-8741267-5653967"/>
    <s v="09/11/2022"/>
    <x v="0"/>
    <x v="155"/>
    <x v="8"/>
    <x v="7"/>
    <x v="0"/>
    <s v="CHENNAI"/>
    <x v="7"/>
    <n v="849"/>
    <n v="250"/>
    <n v="599"/>
    <n v="240"/>
    <n v="359"/>
  </r>
  <r>
    <s v="403-9351034-7435538"/>
    <s v="09/11/2022"/>
    <x v="0"/>
    <x v="247"/>
    <x v="8"/>
    <x v="7"/>
    <x v="0"/>
    <s v="Kattathurai"/>
    <x v="7"/>
    <n v="799"/>
    <n v="205"/>
    <n v="594"/>
    <n v="240"/>
    <n v="354"/>
  </r>
  <r>
    <s v="402-7234585-3795508"/>
    <s v="10/11/2022"/>
    <x v="0"/>
    <x v="25"/>
    <x v="10"/>
    <x v="7"/>
    <x v="0"/>
    <s v="THIRUNINRAVUR"/>
    <x v="7"/>
    <n v="759.05"/>
    <n v="202"/>
    <n v="557.04999999999995"/>
    <n v="240"/>
    <n v="317.04999999999995"/>
  </r>
  <r>
    <s v="171-9237955-4352364"/>
    <s v="10/11/2022"/>
    <x v="0"/>
    <x v="74"/>
    <x v="10"/>
    <x v="7"/>
    <x v="0"/>
    <s v="Thane"/>
    <x v="6"/>
    <n v="854.05"/>
    <n v="270"/>
    <n v="584.04999999999995"/>
    <n v="240"/>
    <n v="344.04999999999995"/>
  </r>
  <r>
    <s v="406-4792294-3700350"/>
    <s v="09/11/2022"/>
    <x v="0"/>
    <x v="202"/>
    <x v="8"/>
    <x v="7"/>
    <x v="0"/>
    <s v="PANIPAT"/>
    <x v="15"/>
    <n v="999"/>
    <n v="325"/>
    <n v="674"/>
    <n v="240"/>
    <n v="434"/>
  </r>
  <r>
    <s v="403-7730691-3843508"/>
    <s v="09/11/2022"/>
    <x v="0"/>
    <x v="131"/>
    <x v="8"/>
    <x v="7"/>
    <x v="0"/>
    <s v="KALOL GANDHINAGAR DISTRICT"/>
    <x v="3"/>
    <n v="799"/>
    <n v="205"/>
    <n v="594"/>
    <n v="240"/>
    <n v="354"/>
  </r>
  <r>
    <s v="402-4623447-3864355"/>
    <s v="09/11/2022"/>
    <x v="0"/>
    <x v="155"/>
    <x v="8"/>
    <x v="7"/>
    <x v="0"/>
    <s v="Belagavi"/>
    <x v="5"/>
    <n v="849"/>
    <n v="250"/>
    <n v="599"/>
    <n v="240"/>
    <n v="359"/>
  </r>
  <r>
    <s v="406-8547224-6287521"/>
    <s v="10/11/2022"/>
    <x v="0"/>
    <x v="191"/>
    <x v="10"/>
    <x v="7"/>
    <x v="0"/>
    <s v="KOLKATA"/>
    <x v="18"/>
    <n v="799"/>
    <n v="205"/>
    <n v="594"/>
    <n v="240"/>
    <n v="354"/>
  </r>
  <r>
    <s v="402-2126665-1884305"/>
    <s v="09/11/2022"/>
    <x v="0"/>
    <x v="68"/>
    <x v="8"/>
    <x v="7"/>
    <x v="0"/>
    <s v="Otur  Pune"/>
    <x v="6"/>
    <n v="799"/>
    <n v="205"/>
    <n v="594"/>
    <n v="240"/>
    <n v="354"/>
  </r>
  <r>
    <s v="402-2271259-5107569"/>
    <s v="09/11/2022"/>
    <x v="0"/>
    <x v="165"/>
    <x v="8"/>
    <x v="7"/>
    <x v="0"/>
    <s v="COIMBATORE"/>
    <x v="7"/>
    <n v="799"/>
    <n v="205"/>
    <n v="594"/>
    <n v="240"/>
    <n v="354"/>
  </r>
  <r>
    <s v="403-4049075-9209125"/>
    <s v="10/11/2022"/>
    <x v="0"/>
    <x v="157"/>
    <x v="10"/>
    <x v="7"/>
    <x v="0"/>
    <s v="AZAMGARH"/>
    <x v="1"/>
    <n v="799"/>
    <n v="205"/>
    <n v="594"/>
    <n v="240"/>
    <n v="354"/>
  </r>
  <r>
    <s v="408-4438324-3353160"/>
    <s v="11/11/2022"/>
    <x v="0"/>
    <x v="154"/>
    <x v="9"/>
    <x v="7"/>
    <x v="0"/>
    <s v="NEW DELHI"/>
    <x v="16"/>
    <n v="799"/>
    <n v="205"/>
    <n v="594"/>
    <n v="240"/>
    <n v="354"/>
  </r>
  <r>
    <s v="404-3494842-9607510"/>
    <s v="11/11/2022"/>
    <x v="0"/>
    <x v="176"/>
    <x v="9"/>
    <x v="7"/>
    <x v="0"/>
    <s v="MUMBAI"/>
    <x v="6"/>
    <n v="899"/>
    <n v="295"/>
    <n v="604"/>
    <n v="240"/>
    <n v="364"/>
  </r>
  <r>
    <s v="407-7906727-1546769"/>
    <s v="11/11/2022"/>
    <x v="0"/>
    <x v="80"/>
    <x v="9"/>
    <x v="7"/>
    <x v="0"/>
    <s v="GREATER NOIDA"/>
    <x v="1"/>
    <n v="854.05"/>
    <n v="270"/>
    <n v="584.04999999999995"/>
    <n v="240"/>
    <n v="344.04999999999995"/>
  </r>
  <r>
    <s v="402-1387752-8871553"/>
    <s v="11/11/2022"/>
    <x v="0"/>
    <x v="88"/>
    <x v="9"/>
    <x v="7"/>
    <x v="0"/>
    <s v="GUWAHATI"/>
    <x v="4"/>
    <n v="899"/>
    <n v="295"/>
    <n v="604"/>
    <n v="240"/>
    <n v="364"/>
  </r>
  <r>
    <s v="406-2759210-3050758"/>
    <s v="11/11/2022"/>
    <x v="0"/>
    <x v="12"/>
    <x v="9"/>
    <x v="7"/>
    <x v="0"/>
    <s v="MANGRULPIR"/>
    <x v="6"/>
    <n v="849"/>
    <n v="250"/>
    <n v="599"/>
    <n v="240"/>
    <n v="359"/>
  </r>
  <r>
    <s v="406-5337795-1416305"/>
    <s v="11/11/2022"/>
    <x v="0"/>
    <x v="25"/>
    <x v="9"/>
    <x v="7"/>
    <x v="0"/>
    <s v="FARIDABAD"/>
    <x v="15"/>
    <n v="759.05"/>
    <n v="202"/>
    <n v="557.04999999999995"/>
    <n v="240"/>
    <n v="317.04999999999995"/>
  </r>
  <r>
    <s v="406-2199056-3097105"/>
    <s v="10/11/2022"/>
    <x v="0"/>
    <x v="120"/>
    <x v="10"/>
    <x v="7"/>
    <x v="0"/>
    <s v="ADALAJ"/>
    <x v="3"/>
    <n v="849"/>
    <n v="250"/>
    <n v="599"/>
    <n v="240"/>
    <n v="359"/>
  </r>
  <r>
    <s v="404-3729874-2273122"/>
    <s v="12/11/2022"/>
    <x v="2"/>
    <x v="12"/>
    <x v="11"/>
    <x v="7"/>
    <x v="0"/>
    <s v="PUNE"/>
    <x v="6"/>
    <n v="0"/>
    <n v="0"/>
    <n v="0"/>
    <n v="0"/>
    <n v="0"/>
  </r>
  <r>
    <s v="407-7305446-0189153"/>
    <s v="12/11/2022"/>
    <x v="2"/>
    <x v="248"/>
    <x v="11"/>
    <x v="7"/>
    <x v="0"/>
    <s v="NOIDA"/>
    <x v="1"/>
    <n v="0"/>
    <n v="0"/>
    <n v="0"/>
    <n v="0"/>
    <n v="0"/>
  </r>
  <r>
    <s v="407-7305446-0189153"/>
    <s v="12/11/2022"/>
    <x v="2"/>
    <x v="81"/>
    <x v="11"/>
    <x v="7"/>
    <x v="0"/>
    <s v="NOIDA"/>
    <x v="1"/>
    <n v="0"/>
    <n v="0"/>
    <n v="0"/>
    <n v="0"/>
    <n v="0"/>
  </r>
  <r>
    <s v="407-7305446-0189153"/>
    <s v="12/11/2022"/>
    <x v="2"/>
    <x v="121"/>
    <x v="11"/>
    <x v="7"/>
    <x v="0"/>
    <s v="NOIDA"/>
    <x v="1"/>
    <n v="0"/>
    <n v="0"/>
    <n v="0"/>
    <n v="0"/>
    <n v="0"/>
  </r>
  <r>
    <s v="402-6950936-5477158"/>
    <s v="12/11/2022"/>
    <x v="0"/>
    <x v="139"/>
    <x v="11"/>
    <x v="7"/>
    <x v="0"/>
    <s v="HYDERABAD"/>
    <x v="8"/>
    <n v="799"/>
    <n v="205"/>
    <n v="594"/>
    <n v="240"/>
    <n v="354"/>
  </r>
  <r>
    <s v="404-0556973-6893912"/>
    <s v="11/11/2022"/>
    <x v="0"/>
    <x v="137"/>
    <x v="9"/>
    <x v="7"/>
    <x v="0"/>
    <s v="VASCO DA GAMA"/>
    <x v="21"/>
    <n v="849"/>
    <n v="250"/>
    <n v="599"/>
    <n v="240"/>
    <n v="359"/>
  </r>
  <r>
    <s v="402-8557960-5596349"/>
    <s v="11/11/2022"/>
    <x v="0"/>
    <x v="88"/>
    <x v="9"/>
    <x v="7"/>
    <x v="0"/>
    <s v="PATNA"/>
    <x v="0"/>
    <n v="899"/>
    <n v="295"/>
    <n v="604"/>
    <n v="240"/>
    <n v="364"/>
  </r>
  <r>
    <s v="407-7376980-6783511"/>
    <s v="12/11/2022"/>
    <x v="0"/>
    <x v="44"/>
    <x v="11"/>
    <x v="7"/>
    <x v="0"/>
    <s v="GUA"/>
    <x v="11"/>
    <n v="899"/>
    <n v="295"/>
    <n v="604"/>
    <n v="240"/>
    <n v="364"/>
  </r>
  <r>
    <s v="171-7611557-9397131"/>
    <s v="12/11/2022"/>
    <x v="0"/>
    <x v="25"/>
    <x v="11"/>
    <x v="7"/>
    <x v="0"/>
    <s v="NEW DELHI"/>
    <x v="16"/>
    <n v="799"/>
    <n v="205"/>
    <n v="594"/>
    <n v="240"/>
    <n v="354"/>
  </r>
  <r>
    <s v="171-1783231-4341954"/>
    <s v="11/11/2022"/>
    <x v="0"/>
    <x v="239"/>
    <x v="9"/>
    <x v="7"/>
    <x v="0"/>
    <s v="PIMPRI CHINCHWAD"/>
    <x v="6"/>
    <n v="759.05"/>
    <n v="202"/>
    <n v="557.04999999999995"/>
    <n v="240"/>
    <n v="317.04999999999995"/>
  </r>
  <r>
    <s v="406-6002736-8348351"/>
    <s v="04/11/2022"/>
    <x v="3"/>
    <x v="69"/>
    <x v="3"/>
    <x v="7"/>
    <x v="0"/>
    <s v="Margao"/>
    <x v="21"/>
    <n v="-1698"/>
    <n v="425"/>
    <n v="-1273"/>
    <n v="240"/>
    <n v="-1033"/>
  </r>
  <r>
    <s v="404-0289972-4810735"/>
    <s v="06/11/2022"/>
    <x v="3"/>
    <x v="44"/>
    <x v="5"/>
    <x v="7"/>
    <x v="0"/>
    <s v="HYDERABAD"/>
    <x v="8"/>
    <n v="-854.05"/>
    <n v="345"/>
    <n v="-509.04999999999995"/>
    <n v="240"/>
    <n v="-269.04999999999995"/>
  </r>
  <r>
    <s v="404-2038051-8004355"/>
    <s v="13/11/2022"/>
    <x v="0"/>
    <x v="25"/>
    <x v="12"/>
    <x v="7"/>
    <x v="0"/>
    <s v="AMBATTUR"/>
    <x v="7"/>
    <n v="759.05"/>
    <n v="202"/>
    <n v="557.04999999999995"/>
    <n v="240"/>
    <n v="317.04999999999995"/>
  </r>
  <r>
    <s v="408-0910559-7206749"/>
    <s v="13/11/2022"/>
    <x v="0"/>
    <x v="187"/>
    <x v="12"/>
    <x v="7"/>
    <x v="0"/>
    <s v="KOLKATA"/>
    <x v="18"/>
    <n v="799"/>
    <n v="205"/>
    <n v="594"/>
    <n v="240"/>
    <n v="354"/>
  </r>
  <r>
    <s v="406-0995257-1833120"/>
    <s v="13/11/2022"/>
    <x v="0"/>
    <x v="95"/>
    <x v="12"/>
    <x v="7"/>
    <x v="0"/>
    <s v="KANPUR"/>
    <x v="1"/>
    <n v="899"/>
    <n v="295"/>
    <n v="604"/>
    <n v="240"/>
    <n v="364"/>
  </r>
  <r>
    <s v="405-2009973-3223556"/>
    <s v="13/11/2022"/>
    <x v="0"/>
    <x v="137"/>
    <x v="12"/>
    <x v="7"/>
    <x v="0"/>
    <s v="PIMPRI CHINCHWAD"/>
    <x v="6"/>
    <n v="849"/>
    <n v="250"/>
    <n v="599"/>
    <n v="240"/>
    <n v="359"/>
  </r>
  <r>
    <s v="405-2009973-3223556"/>
    <s v="13/11/2022"/>
    <x v="0"/>
    <x v="136"/>
    <x v="12"/>
    <x v="7"/>
    <x v="0"/>
    <s v="PIMPRI CHINCHWAD"/>
    <x v="6"/>
    <n v="849"/>
    <n v="250"/>
    <n v="599"/>
    <n v="240"/>
    <n v="359"/>
  </r>
  <r>
    <s v="408-7982223-6101112"/>
    <s v="13/11/2022"/>
    <x v="0"/>
    <x v="15"/>
    <x v="12"/>
    <x v="7"/>
    <x v="0"/>
    <s v="Bangalore"/>
    <x v="5"/>
    <n v="849"/>
    <n v="250"/>
    <n v="599"/>
    <n v="240"/>
    <n v="359"/>
  </r>
  <r>
    <s v="407-1312508-8781138"/>
    <s v="12/11/2022"/>
    <x v="0"/>
    <x v="249"/>
    <x v="11"/>
    <x v="7"/>
    <x v="0"/>
    <s v="NOIDA"/>
    <x v="1"/>
    <n v="799"/>
    <n v="205"/>
    <n v="594"/>
    <n v="240"/>
    <n v="354"/>
  </r>
  <r>
    <s v="407-1312508-8781138"/>
    <s v="12/11/2022"/>
    <x v="0"/>
    <x v="250"/>
    <x v="11"/>
    <x v="7"/>
    <x v="0"/>
    <s v="NOIDA"/>
    <x v="1"/>
    <n v="799"/>
    <n v="205"/>
    <n v="594"/>
    <n v="240"/>
    <n v="354"/>
  </r>
  <r>
    <s v="407-0370666-6546701"/>
    <s v="12/11/2022"/>
    <x v="0"/>
    <x v="248"/>
    <x v="11"/>
    <x v="7"/>
    <x v="0"/>
    <s v="NOIDA"/>
    <x v="1"/>
    <n v="799"/>
    <n v="205"/>
    <n v="594"/>
    <n v="240"/>
    <n v="354"/>
  </r>
  <r>
    <s v="408-8580520-8043557"/>
    <s v="13/11/2022"/>
    <x v="0"/>
    <x v="124"/>
    <x v="12"/>
    <x v="7"/>
    <x v="0"/>
    <s v="BARKAKANA"/>
    <x v="11"/>
    <n v="999"/>
    <n v="325"/>
    <n v="674"/>
    <n v="240"/>
    <n v="434"/>
  </r>
  <r>
    <s v="406-5989694-1473939"/>
    <s v="12/11/2022"/>
    <x v="0"/>
    <x v="186"/>
    <x v="11"/>
    <x v="7"/>
    <x v="0"/>
    <s v="UPPALA"/>
    <x v="9"/>
    <n v="849"/>
    <n v="250"/>
    <n v="599"/>
    <n v="240"/>
    <n v="359"/>
  </r>
  <r>
    <s v="402-2589974-2047541"/>
    <s v="07/11/2022"/>
    <x v="3"/>
    <x v="107"/>
    <x v="7"/>
    <x v="7"/>
    <x v="0"/>
    <s v="HYDERABAD"/>
    <x v="8"/>
    <n v="-799"/>
    <n v="320"/>
    <n v="-479"/>
    <n v="240"/>
    <n v="-239"/>
  </r>
  <r>
    <s v="407-5669997-5730767"/>
    <s v="01/11/2022"/>
    <x v="3"/>
    <x v="188"/>
    <x v="0"/>
    <x v="7"/>
    <x v="0"/>
    <s v="SRI GANGANAGAR"/>
    <x v="10"/>
    <n v="-799"/>
    <n v="320"/>
    <n v="-479"/>
    <n v="240"/>
    <n v="-239"/>
  </r>
  <r>
    <s v="402-3358234-2350752"/>
    <s v="14/11/2022"/>
    <x v="2"/>
    <x v="21"/>
    <x v="13"/>
    <x v="7"/>
    <x v="0"/>
    <s v="Wada"/>
    <x v="6"/>
    <n v="0"/>
    <n v="0"/>
    <n v="0"/>
    <n v="0"/>
    <n v="0"/>
  </r>
  <r>
    <s v="403-6992262-7677158"/>
    <s v="14/11/2022"/>
    <x v="0"/>
    <x v="15"/>
    <x v="13"/>
    <x v="7"/>
    <x v="0"/>
    <s v="SECUNDERABAD"/>
    <x v="8"/>
    <n v="849"/>
    <n v="250"/>
    <n v="599"/>
    <n v="240"/>
    <n v="359"/>
  </r>
  <r>
    <s v="171-9387718-5873913"/>
    <s v="13/11/2022"/>
    <x v="0"/>
    <x v="98"/>
    <x v="12"/>
    <x v="7"/>
    <x v="0"/>
    <s v="HANUMAN JUNCTION"/>
    <x v="2"/>
    <n v="899"/>
    <n v="295"/>
    <n v="604"/>
    <n v="240"/>
    <n v="364"/>
  </r>
  <r>
    <s v="171-6617080-4485106"/>
    <s v="14/11/2022"/>
    <x v="0"/>
    <x v="156"/>
    <x v="13"/>
    <x v="7"/>
    <x v="0"/>
    <s v="NAVI MUMBAI"/>
    <x v="6"/>
    <n v="799"/>
    <n v="205"/>
    <n v="594"/>
    <n v="240"/>
    <n v="354"/>
  </r>
  <r>
    <s v="406-5196374-7118748"/>
    <s v="14/11/2022"/>
    <x v="0"/>
    <x v="136"/>
    <x v="13"/>
    <x v="7"/>
    <x v="0"/>
    <s v="MUMBAI"/>
    <x v="6"/>
    <n v="849"/>
    <n v="250"/>
    <n v="599"/>
    <n v="240"/>
    <n v="359"/>
  </r>
  <r>
    <s v="404-3802289-2265147"/>
    <s v="13/11/2022"/>
    <x v="0"/>
    <x v="173"/>
    <x v="12"/>
    <x v="7"/>
    <x v="0"/>
    <s v="Dahod"/>
    <x v="3"/>
    <n v="799"/>
    <n v="205"/>
    <n v="594"/>
    <n v="240"/>
    <n v="354"/>
  </r>
  <r>
    <s v="405-4094627-3547537"/>
    <s v="13/11/2022"/>
    <x v="0"/>
    <x v="216"/>
    <x v="12"/>
    <x v="7"/>
    <x v="0"/>
    <s v="NAVI MUMBAI"/>
    <x v="6"/>
    <n v="799"/>
    <n v="205"/>
    <n v="594"/>
    <n v="240"/>
    <n v="354"/>
  </r>
  <r>
    <s v="404-2690252-0947538"/>
    <s v="14/11/2022"/>
    <x v="0"/>
    <x v="69"/>
    <x v="13"/>
    <x v="7"/>
    <x v="0"/>
    <s v="NOIDA"/>
    <x v="1"/>
    <n v="849"/>
    <n v="250"/>
    <n v="599"/>
    <n v="240"/>
    <n v="359"/>
  </r>
  <r>
    <s v="408-0403789-1713969"/>
    <s v="14/11/2022"/>
    <x v="0"/>
    <x v="15"/>
    <x v="13"/>
    <x v="7"/>
    <x v="0"/>
    <s v="TALCHER"/>
    <x v="14"/>
    <n v="806.55"/>
    <n v="227"/>
    <n v="579.54999999999995"/>
    <n v="240"/>
    <n v="339.54999999999995"/>
  </r>
  <r>
    <s v="408-8930524-1637967"/>
    <s v="14/11/2022"/>
    <x v="0"/>
    <x v="98"/>
    <x v="13"/>
    <x v="7"/>
    <x v="0"/>
    <s v="CANDOLIM"/>
    <x v="21"/>
    <n v="899"/>
    <n v="295"/>
    <n v="604"/>
    <n v="240"/>
    <n v="364"/>
  </r>
  <r>
    <s v="402-5533459-1005960"/>
    <s v="13/11/2022"/>
    <x v="0"/>
    <x v="143"/>
    <x v="12"/>
    <x v="7"/>
    <x v="0"/>
    <s v="Bengaluru"/>
    <x v="5"/>
    <n v="849"/>
    <n v="250"/>
    <n v="599"/>
    <n v="240"/>
    <n v="359"/>
  </r>
  <r>
    <s v="407-7561187-4758716"/>
    <s v="13/11/2022"/>
    <x v="0"/>
    <x v="168"/>
    <x v="12"/>
    <x v="7"/>
    <x v="0"/>
    <s v="NEW DELHI"/>
    <x v="16"/>
    <n v="799"/>
    <n v="205"/>
    <n v="594"/>
    <n v="240"/>
    <n v="354"/>
  </r>
  <r>
    <s v="405-9915474-7877142"/>
    <s v="14/11/2022"/>
    <x v="0"/>
    <x v="134"/>
    <x v="13"/>
    <x v="7"/>
    <x v="0"/>
    <s v="CHHARRA RAFATPUR"/>
    <x v="1"/>
    <n v="849"/>
    <n v="250"/>
    <n v="599"/>
    <n v="240"/>
    <n v="359"/>
  </r>
  <r>
    <s v="404-1204930-9205114"/>
    <s v="14/11/2022"/>
    <x v="0"/>
    <x v="68"/>
    <x v="13"/>
    <x v="7"/>
    <x v="0"/>
    <s v="MUMBAI"/>
    <x v="6"/>
    <n v="759.05"/>
    <n v="202"/>
    <n v="557.04999999999995"/>
    <n v="240"/>
    <n v="317.04999999999995"/>
  </r>
  <r>
    <s v="408-5423069-9473914"/>
    <s v="08/11/2022"/>
    <x v="3"/>
    <x v="95"/>
    <x v="6"/>
    <x v="7"/>
    <x v="0"/>
    <s v="BENGALURU"/>
    <x v="5"/>
    <n v="-854.05"/>
    <n v="345"/>
    <n v="-509.04999999999995"/>
    <n v="240"/>
    <n v="-269.04999999999995"/>
  </r>
  <r>
    <s v="408-4438324-3353160"/>
    <s v="11/11/2022"/>
    <x v="3"/>
    <x v="154"/>
    <x v="9"/>
    <x v="7"/>
    <x v="0"/>
    <s v="NEW DELHI"/>
    <x v="16"/>
    <n v="-799"/>
    <n v="320"/>
    <n v="-479"/>
    <n v="240"/>
    <n v="-239"/>
  </r>
  <r>
    <s v="408-9678778-2992300"/>
    <s v="07/11/2022"/>
    <x v="3"/>
    <x v="15"/>
    <x v="7"/>
    <x v="7"/>
    <x v="0"/>
    <s v="RENGALI"/>
    <x v="14"/>
    <n v="-849"/>
    <n v="345"/>
    <n v="-504"/>
    <n v="240"/>
    <n v="-264"/>
  </r>
  <r>
    <s v="171-2128501-7125109"/>
    <s v="14/11/2022"/>
    <x v="0"/>
    <x v="136"/>
    <x v="13"/>
    <x v="7"/>
    <x v="0"/>
    <s v="Pune"/>
    <x v="6"/>
    <n v="849"/>
    <n v="250"/>
    <n v="599"/>
    <n v="240"/>
    <n v="359"/>
  </r>
  <r>
    <s v="404-5464995-4244358"/>
    <s v="15/11/2022"/>
    <x v="0"/>
    <x v="81"/>
    <x v="14"/>
    <x v="7"/>
    <x v="0"/>
    <s v="AMBEHTA"/>
    <x v="1"/>
    <n v="759.05"/>
    <n v="202"/>
    <n v="557.04999999999995"/>
    <n v="240"/>
    <n v="317.04999999999995"/>
  </r>
  <r>
    <s v="407-9951860-2536324"/>
    <s v="15/11/2022"/>
    <x v="0"/>
    <x v="157"/>
    <x v="14"/>
    <x v="7"/>
    <x v="0"/>
    <s v="BARRACKPORE"/>
    <x v="18"/>
    <n v="799"/>
    <n v="205"/>
    <n v="594"/>
    <n v="240"/>
    <n v="354"/>
  </r>
  <r>
    <s v="171-0001068-1199555"/>
    <s v="15/11/2022"/>
    <x v="0"/>
    <x v="177"/>
    <x v="14"/>
    <x v="7"/>
    <x v="0"/>
    <s v="AIZAWL"/>
    <x v="28"/>
    <n v="759.05"/>
    <n v="202"/>
    <n v="557.04999999999995"/>
    <n v="240"/>
    <n v="317.04999999999995"/>
  </r>
  <r>
    <s v="171-3806952-4829141"/>
    <s v="15/11/2022"/>
    <x v="0"/>
    <x v="68"/>
    <x v="14"/>
    <x v="7"/>
    <x v="0"/>
    <s v="MALBAZAR"/>
    <x v="18"/>
    <n v="799"/>
    <n v="205"/>
    <n v="594"/>
    <n v="240"/>
    <n v="354"/>
  </r>
  <r>
    <s v="405-7369439-4985951"/>
    <s v="14/11/2022"/>
    <x v="0"/>
    <x v="136"/>
    <x v="13"/>
    <x v="7"/>
    <x v="0"/>
    <s v="HYDERABAD"/>
    <x v="8"/>
    <n v="849"/>
    <n v="250"/>
    <n v="599"/>
    <n v="240"/>
    <n v="359"/>
  </r>
  <r>
    <s v="406-5326937-7913117"/>
    <s v="14/11/2022"/>
    <x v="0"/>
    <x v="204"/>
    <x v="13"/>
    <x v="7"/>
    <x v="0"/>
    <s v="CHENNAI"/>
    <x v="7"/>
    <n v="799"/>
    <n v="205"/>
    <n v="594"/>
    <n v="240"/>
    <n v="354"/>
  </r>
  <r>
    <s v="405-7227906-6983511"/>
    <s v="15/11/2022"/>
    <x v="0"/>
    <x v="251"/>
    <x v="14"/>
    <x v="7"/>
    <x v="0"/>
    <s v="MAHWA"/>
    <x v="10"/>
    <n v="799"/>
    <n v="205"/>
    <n v="594"/>
    <n v="240"/>
    <n v="354"/>
  </r>
  <r>
    <s v="404-0209398-7828360"/>
    <s v="15/11/2022"/>
    <x v="0"/>
    <x v="121"/>
    <x v="14"/>
    <x v="7"/>
    <x v="0"/>
    <s v="GURUGRAM"/>
    <x v="15"/>
    <n v="759.05"/>
    <n v="202"/>
    <n v="557.04999999999995"/>
    <n v="240"/>
    <n v="317.04999999999995"/>
  </r>
  <r>
    <s v="408-6146915-2668321"/>
    <s v="15/11/2022"/>
    <x v="0"/>
    <x v="241"/>
    <x v="14"/>
    <x v="7"/>
    <x v="0"/>
    <s v="NEW DELHI"/>
    <x v="16"/>
    <n v="799"/>
    <n v="205"/>
    <n v="594"/>
    <n v="240"/>
    <n v="354"/>
  </r>
  <r>
    <s v="404-1886902-4480367"/>
    <s v="14/11/2022"/>
    <x v="0"/>
    <x v="15"/>
    <x v="13"/>
    <x v="7"/>
    <x v="0"/>
    <s v="NEW DELHI"/>
    <x v="16"/>
    <n v="806.55"/>
    <n v="227"/>
    <n v="579.54999999999995"/>
    <n v="240"/>
    <n v="339.54999999999995"/>
  </r>
  <r>
    <s v="406-5472319-2353944"/>
    <s v="14/11/2022"/>
    <x v="0"/>
    <x v="15"/>
    <x v="13"/>
    <x v="7"/>
    <x v="0"/>
    <s v="MANGRULPIR"/>
    <x v="6"/>
    <n v="806.55"/>
    <n v="227"/>
    <n v="579.54999999999995"/>
    <n v="240"/>
    <n v="339.54999999999995"/>
  </r>
  <r>
    <s v="406-3344787-6784307"/>
    <s v="15/11/2022"/>
    <x v="0"/>
    <x v="200"/>
    <x v="14"/>
    <x v="7"/>
    <x v="0"/>
    <s v="Bengaluru"/>
    <x v="5"/>
    <n v="949.05"/>
    <n v="306"/>
    <n v="643.04999999999995"/>
    <n v="240"/>
    <n v="403.04999999999995"/>
  </r>
  <r>
    <s v="407-0920358-3089147"/>
    <s v="15/11/2022"/>
    <x v="0"/>
    <x v="59"/>
    <x v="14"/>
    <x v="7"/>
    <x v="0"/>
    <s v="Bangalore"/>
    <x v="5"/>
    <n v="899"/>
    <n v="295"/>
    <n v="604"/>
    <n v="240"/>
    <n v="364"/>
  </r>
  <r>
    <s v="407-5258225-4343564"/>
    <s v="15/11/2022"/>
    <x v="0"/>
    <x v="69"/>
    <x v="14"/>
    <x v="7"/>
    <x v="0"/>
    <s v="RAJAMPET"/>
    <x v="2"/>
    <n v="849"/>
    <n v="250"/>
    <n v="599"/>
    <n v="240"/>
    <n v="359"/>
  </r>
  <r>
    <s v="407-9532504-8781166"/>
    <s v="15/11/2022"/>
    <x v="0"/>
    <x v="59"/>
    <x v="14"/>
    <x v="7"/>
    <x v="0"/>
    <s v="BARRACKPORE"/>
    <x v="18"/>
    <n v="854.05"/>
    <n v="270"/>
    <n v="584.04999999999995"/>
    <n v="240"/>
    <n v="344.04999999999995"/>
  </r>
  <r>
    <s v="171-7777260-2113144"/>
    <s v="15/11/2022"/>
    <x v="0"/>
    <x v="59"/>
    <x v="14"/>
    <x v="7"/>
    <x v="0"/>
    <s v="SUJANGARH"/>
    <x v="10"/>
    <n v="854.05"/>
    <n v="270"/>
    <n v="584.04999999999995"/>
    <n v="240"/>
    <n v="344.04999999999995"/>
  </r>
  <r>
    <s v="407-5818619-9349112"/>
    <s v="15/11/2022"/>
    <x v="0"/>
    <x v="206"/>
    <x v="14"/>
    <x v="7"/>
    <x v="0"/>
    <s v="NAGPUR"/>
    <x v="6"/>
    <n v="899"/>
    <n v="295"/>
    <n v="604"/>
    <n v="240"/>
    <n v="364"/>
  </r>
  <r>
    <s v="403-7469217-3037936"/>
    <s v="15/11/2022"/>
    <x v="0"/>
    <x v="31"/>
    <x v="14"/>
    <x v="7"/>
    <x v="0"/>
    <s v="CHENNAI"/>
    <x v="7"/>
    <n v="799"/>
    <n v="205"/>
    <n v="594"/>
    <n v="240"/>
    <n v="354"/>
  </r>
  <r>
    <s v="405-8768056-7125914"/>
    <s v="15/11/2022"/>
    <x v="0"/>
    <x v="75"/>
    <x v="14"/>
    <x v="7"/>
    <x v="0"/>
    <s v="BILGI"/>
    <x v="5"/>
    <n v="799"/>
    <n v="205"/>
    <n v="594"/>
    <n v="240"/>
    <n v="354"/>
  </r>
  <r>
    <s v="402-7075890-2535511"/>
    <s v="15/11/2022"/>
    <x v="0"/>
    <x v="180"/>
    <x v="14"/>
    <x v="7"/>
    <x v="0"/>
    <s v="ERNAKULAM"/>
    <x v="9"/>
    <n v="759.05"/>
    <n v="202"/>
    <n v="557.04999999999995"/>
    <n v="240"/>
    <n v="317.04999999999995"/>
  </r>
  <r>
    <s v="406-4792294-3700350"/>
    <s v="09/11/2022"/>
    <x v="3"/>
    <x v="202"/>
    <x v="8"/>
    <x v="7"/>
    <x v="0"/>
    <s v="PANIPAT"/>
    <x v="15"/>
    <n v="-999"/>
    <n v="395"/>
    <n v="-604"/>
    <n v="240"/>
    <n v="-364"/>
  </r>
  <r>
    <s v="405-2767779-9014711"/>
    <s v="06/11/2022"/>
    <x v="3"/>
    <x v="98"/>
    <x v="5"/>
    <x v="7"/>
    <x v="0"/>
    <s v="PIMPRI CHINCHWAD"/>
    <x v="6"/>
    <n v="-899"/>
    <n v="375"/>
    <n v="-524"/>
    <n v="240"/>
    <n v="-284"/>
  </r>
  <r>
    <s v="406-2759210-3050758"/>
    <s v="11/11/2022"/>
    <x v="3"/>
    <x v="12"/>
    <x v="9"/>
    <x v="7"/>
    <x v="0"/>
    <s v="MANGRULPIR"/>
    <x v="6"/>
    <n v="-849"/>
    <n v="345"/>
    <n v="-504"/>
    <n v="240"/>
    <n v="-264"/>
  </r>
  <r>
    <s v="403-0968081-3088309"/>
    <s v="16/11/2022"/>
    <x v="0"/>
    <x v="123"/>
    <x v="15"/>
    <x v="7"/>
    <x v="0"/>
    <s v="MUMBAI"/>
    <x v="6"/>
    <n v="949.05"/>
    <n v="306"/>
    <n v="643.04999999999995"/>
    <n v="240"/>
    <n v="403.04999999999995"/>
  </r>
  <r>
    <s v="408-7066429-7180305"/>
    <s v="16/11/2022"/>
    <x v="0"/>
    <x v="123"/>
    <x v="15"/>
    <x v="7"/>
    <x v="0"/>
    <s v="HYDERABAD"/>
    <x v="8"/>
    <n v="999"/>
    <n v="325"/>
    <n v="674"/>
    <n v="240"/>
    <n v="434"/>
  </r>
  <r>
    <s v="405-7350742-6681121"/>
    <s v="16/11/2022"/>
    <x v="0"/>
    <x v="161"/>
    <x v="15"/>
    <x v="7"/>
    <x v="0"/>
    <s v="DHANBAD"/>
    <x v="11"/>
    <n v="799"/>
    <n v="205"/>
    <n v="594"/>
    <n v="240"/>
    <n v="354"/>
  </r>
  <r>
    <s v="402-1664857-5792325"/>
    <s v="16/11/2022"/>
    <x v="0"/>
    <x v="31"/>
    <x v="15"/>
    <x v="7"/>
    <x v="0"/>
    <s v="MADURAI"/>
    <x v="7"/>
    <n v="759.05"/>
    <n v="202"/>
    <n v="557.04999999999995"/>
    <n v="240"/>
    <n v="317.04999999999995"/>
  </r>
  <r>
    <s v="402-4444674-0863560"/>
    <s v="16/11/2022"/>
    <x v="0"/>
    <x v="128"/>
    <x v="15"/>
    <x v="7"/>
    <x v="0"/>
    <s v="PIMPRI CHINCHWAD"/>
    <x v="6"/>
    <n v="999"/>
    <n v="325"/>
    <n v="674"/>
    <n v="240"/>
    <n v="434"/>
  </r>
  <r>
    <s v="402-4554787-4157112"/>
    <s v="16/11/2022"/>
    <x v="0"/>
    <x v="59"/>
    <x v="15"/>
    <x v="7"/>
    <x v="0"/>
    <s v="Wada"/>
    <x v="6"/>
    <n v="899"/>
    <n v="295"/>
    <n v="604"/>
    <n v="240"/>
    <n v="364"/>
  </r>
  <r>
    <s v="408-9214462-2753133"/>
    <s v="16/11/2022"/>
    <x v="0"/>
    <x v="137"/>
    <x v="15"/>
    <x v="7"/>
    <x v="0"/>
    <s v="BEGUSARAI"/>
    <x v="0"/>
    <n v="849"/>
    <n v="250"/>
    <n v="599"/>
    <n v="240"/>
    <n v="359"/>
  </r>
  <r>
    <s v="404-2361208-0263553"/>
    <s v="16/11/2022"/>
    <x v="0"/>
    <x v="21"/>
    <x v="15"/>
    <x v="7"/>
    <x v="0"/>
    <s v="BENGALURU"/>
    <x v="5"/>
    <n v="854.05"/>
    <n v="270"/>
    <n v="584.04999999999995"/>
    <n v="240"/>
    <n v="344.04999999999995"/>
  </r>
  <r>
    <s v="402-0738849-6566716"/>
    <s v="16/11/2022"/>
    <x v="0"/>
    <x v="187"/>
    <x v="15"/>
    <x v="7"/>
    <x v="0"/>
    <s v="RISHIKESH"/>
    <x v="24"/>
    <n v="799"/>
    <n v="205"/>
    <n v="594"/>
    <n v="240"/>
    <n v="354"/>
  </r>
  <r>
    <s v="407-3843000-4308348"/>
    <s v="16/11/2022"/>
    <x v="0"/>
    <x v="52"/>
    <x v="15"/>
    <x v="7"/>
    <x v="0"/>
    <s v="VASCO DA GAMA"/>
    <x v="21"/>
    <n v="899"/>
    <n v="295"/>
    <n v="604"/>
    <n v="240"/>
    <n v="364"/>
  </r>
  <r>
    <s v="403-5747084-7157941"/>
    <s v="16/11/2022"/>
    <x v="0"/>
    <x v="98"/>
    <x v="15"/>
    <x v="7"/>
    <x v="0"/>
    <s v="GREATER NOIDA"/>
    <x v="1"/>
    <n v="899"/>
    <n v="295"/>
    <n v="604"/>
    <n v="240"/>
    <n v="364"/>
  </r>
  <r>
    <s v="403-3430246-4244309"/>
    <s v="16/11/2022"/>
    <x v="0"/>
    <x v="59"/>
    <x v="15"/>
    <x v="7"/>
    <x v="0"/>
    <s v="FARIDABAD"/>
    <x v="15"/>
    <n v="899"/>
    <n v="295"/>
    <n v="604"/>
    <n v="240"/>
    <n v="364"/>
  </r>
  <r>
    <s v="406-1509246-8154740"/>
    <s v="16/11/2022"/>
    <x v="0"/>
    <x v="142"/>
    <x v="15"/>
    <x v="7"/>
    <x v="0"/>
    <s v="mumbai"/>
    <x v="6"/>
    <n v="799"/>
    <n v="205"/>
    <n v="594"/>
    <n v="240"/>
    <n v="354"/>
  </r>
  <r>
    <s v="402-6818683-8997900"/>
    <s v="16/11/2022"/>
    <x v="0"/>
    <x v="252"/>
    <x v="15"/>
    <x v="7"/>
    <x v="0"/>
    <s v="SOUTH GOA"/>
    <x v="21"/>
    <n v="1598"/>
    <n v="365"/>
    <n v="1233"/>
    <n v="240"/>
    <n v="993"/>
  </r>
  <r>
    <s v="404-3055057-1940346"/>
    <s v="17/11/2022"/>
    <x v="2"/>
    <x v="184"/>
    <x v="16"/>
    <x v="7"/>
    <x v="0"/>
    <s v="HYDERABAD"/>
    <x v="8"/>
    <n v="0"/>
    <n v="0"/>
    <n v="0"/>
    <n v="0"/>
    <n v="0"/>
  </r>
  <r>
    <s v="405-7404388-5865926"/>
    <s v="06/11/2022"/>
    <x v="3"/>
    <x v="155"/>
    <x v="5"/>
    <x v="7"/>
    <x v="0"/>
    <s v="PATNA"/>
    <x v="0"/>
    <n v="-849"/>
    <n v="345"/>
    <n v="-504"/>
    <n v="240"/>
    <n v="-264"/>
  </r>
  <r>
    <s v="407-8579151-4730749"/>
    <s v="17/11/2022"/>
    <x v="0"/>
    <x v="137"/>
    <x v="16"/>
    <x v="7"/>
    <x v="0"/>
    <s v="GANGAVALLI"/>
    <x v="7"/>
    <n v="849"/>
    <n v="250"/>
    <n v="599"/>
    <n v="240"/>
    <n v="359"/>
  </r>
  <r>
    <s v="406-1954844-0523530"/>
    <s v="17/11/2022"/>
    <x v="0"/>
    <x v="253"/>
    <x v="16"/>
    <x v="7"/>
    <x v="0"/>
    <s v="BILIMORA"/>
    <x v="3"/>
    <n v="799"/>
    <n v="205"/>
    <n v="594"/>
    <n v="240"/>
    <n v="354"/>
  </r>
  <r>
    <s v="406-5319241-5284334"/>
    <s v="17/11/2022"/>
    <x v="0"/>
    <x v="75"/>
    <x v="16"/>
    <x v="7"/>
    <x v="0"/>
    <s v="PUDUCHERRY"/>
    <x v="27"/>
    <n v="799"/>
    <n v="205"/>
    <n v="594"/>
    <n v="240"/>
    <n v="354"/>
  </r>
  <r>
    <s v="407-1817179-9277909"/>
    <s v="17/11/2022"/>
    <x v="0"/>
    <x v="136"/>
    <x v="16"/>
    <x v="7"/>
    <x v="0"/>
    <s v="NEW TOWN"/>
    <x v="18"/>
    <n v="849"/>
    <n v="250"/>
    <n v="599"/>
    <n v="240"/>
    <n v="359"/>
  </r>
  <r>
    <s v="408-3219980-1278725"/>
    <s v="17/11/2022"/>
    <x v="0"/>
    <x v="166"/>
    <x v="16"/>
    <x v="7"/>
    <x v="0"/>
    <s v="HYDERABAD"/>
    <x v="8"/>
    <n v="849"/>
    <n v="250"/>
    <n v="599"/>
    <n v="240"/>
    <n v="359"/>
  </r>
  <r>
    <s v="408-3219980-1278725"/>
    <s v="17/11/2022"/>
    <x v="0"/>
    <x v="69"/>
    <x v="16"/>
    <x v="7"/>
    <x v="0"/>
    <s v="HYDERABAD"/>
    <x v="8"/>
    <n v="849"/>
    <n v="250"/>
    <n v="599"/>
    <n v="240"/>
    <n v="359"/>
  </r>
  <r>
    <s v="404-3055057-1940346"/>
    <s v="17/11/2022"/>
    <x v="0"/>
    <x v="184"/>
    <x v="16"/>
    <x v="7"/>
    <x v="0"/>
    <s v="HYDERABAD"/>
    <x v="8"/>
    <n v="849"/>
    <n v="250"/>
    <n v="599"/>
    <n v="240"/>
    <n v="359"/>
  </r>
  <r>
    <s v="408-3219980-1278725"/>
    <s v="17/11/2022"/>
    <x v="0"/>
    <x v="197"/>
    <x v="16"/>
    <x v="7"/>
    <x v="0"/>
    <s v="HYDERABAD"/>
    <x v="8"/>
    <n v="849"/>
    <n v="250"/>
    <n v="599"/>
    <n v="240"/>
    <n v="359"/>
  </r>
  <r>
    <s v="406-8276696-3265108"/>
    <s v="17/11/2022"/>
    <x v="0"/>
    <x v="81"/>
    <x v="16"/>
    <x v="7"/>
    <x v="0"/>
    <s v="SIVAGIRI TENKASI DISTRICT"/>
    <x v="7"/>
    <n v="759.05"/>
    <n v="202"/>
    <n v="557.04999999999995"/>
    <n v="240"/>
    <n v="317.04999999999995"/>
  </r>
  <r>
    <s v="407-6027160-6689127"/>
    <s v="17/11/2022"/>
    <x v="0"/>
    <x v="68"/>
    <x v="16"/>
    <x v="7"/>
    <x v="0"/>
    <s v="VIJAPURA"/>
    <x v="5"/>
    <n v="799"/>
    <n v="205"/>
    <n v="594"/>
    <n v="240"/>
    <n v="354"/>
  </r>
  <r>
    <s v="406-9671262-5498759"/>
    <s v="17/11/2022"/>
    <x v="0"/>
    <x v="31"/>
    <x v="16"/>
    <x v="7"/>
    <x v="0"/>
    <s v="Nandikotkur"/>
    <x v="2"/>
    <n v="799"/>
    <n v="205"/>
    <n v="594"/>
    <n v="240"/>
    <n v="354"/>
  </r>
  <r>
    <s v="407-9123594-3417130"/>
    <s v="17/11/2022"/>
    <x v="0"/>
    <x v="148"/>
    <x v="16"/>
    <x v="7"/>
    <x v="0"/>
    <s v="CHENNAI"/>
    <x v="7"/>
    <n v="799"/>
    <n v="205"/>
    <n v="594"/>
    <n v="240"/>
    <n v="354"/>
  </r>
  <r>
    <s v="408-7741625-8029150"/>
    <s v="17/11/2022"/>
    <x v="0"/>
    <x v="147"/>
    <x v="16"/>
    <x v="7"/>
    <x v="0"/>
    <s v="NORTH GUWAHATI"/>
    <x v="4"/>
    <n v="799"/>
    <n v="205"/>
    <n v="594"/>
    <n v="240"/>
    <n v="354"/>
  </r>
  <r>
    <s v="408-6219794-9036314"/>
    <s v="17/11/2022"/>
    <x v="1"/>
    <x v="249"/>
    <x v="16"/>
    <x v="7"/>
    <x v="0"/>
    <s v="NOIDA"/>
    <x v="1"/>
    <n v="0"/>
    <n v="0"/>
    <n v="0"/>
    <n v="0"/>
    <n v="0"/>
  </r>
  <r>
    <s v="403-0937323-9641135"/>
    <s v="17/11/2022"/>
    <x v="0"/>
    <x v="147"/>
    <x v="16"/>
    <x v="7"/>
    <x v="0"/>
    <s v="HOWRAH"/>
    <x v="18"/>
    <n v="799"/>
    <n v="205"/>
    <n v="594"/>
    <n v="240"/>
    <n v="354"/>
  </r>
  <r>
    <s v="406-3212767-2245145"/>
    <s v="17/11/2022"/>
    <x v="0"/>
    <x v="155"/>
    <x v="16"/>
    <x v="7"/>
    <x v="0"/>
    <s v="PUNE"/>
    <x v="6"/>
    <n v="849"/>
    <n v="250"/>
    <n v="599"/>
    <n v="240"/>
    <n v="359"/>
  </r>
  <r>
    <s v="404-0024067-5770762"/>
    <s v="08/11/2022"/>
    <x v="3"/>
    <x v="246"/>
    <x v="6"/>
    <x v="7"/>
    <x v="0"/>
    <s v="PATNA"/>
    <x v="0"/>
    <n v="-799"/>
    <n v="320"/>
    <n v="-479"/>
    <n v="240"/>
    <n v="-239"/>
  </r>
  <r>
    <s v="171-5811796-1988365"/>
    <s v="18/11/2022"/>
    <x v="2"/>
    <x v="151"/>
    <x v="18"/>
    <x v="7"/>
    <x v="0"/>
    <s v="ELURU"/>
    <x v="2"/>
    <n v="0"/>
    <n v="0"/>
    <n v="0"/>
    <n v="0"/>
    <n v="0"/>
  </r>
  <r>
    <s v="171-2732507-7589164"/>
    <s v="17/11/2022"/>
    <x v="0"/>
    <x v="254"/>
    <x v="16"/>
    <x v="7"/>
    <x v="0"/>
    <s v="BHOPAL"/>
    <x v="13"/>
    <n v="799"/>
    <n v="205"/>
    <n v="594"/>
    <n v="240"/>
    <n v="354"/>
  </r>
  <r>
    <s v="171-2460326-6374704"/>
    <s v="19/11/2022"/>
    <x v="0"/>
    <x v="25"/>
    <x v="17"/>
    <x v="7"/>
    <x v="0"/>
    <s v="New Delhi"/>
    <x v="16"/>
    <n v="799"/>
    <n v="205"/>
    <n v="594"/>
    <n v="240"/>
    <n v="354"/>
  </r>
  <r>
    <s v="408-3745311-2595561"/>
    <s v="18/11/2022"/>
    <x v="1"/>
    <x v="21"/>
    <x v="18"/>
    <x v="7"/>
    <x v="0"/>
    <s v="FARIDABAD"/>
    <x v="15"/>
    <n v="0"/>
    <n v="0"/>
    <n v="0"/>
    <n v="0"/>
    <n v="0"/>
  </r>
  <r>
    <s v="407-5169925-6644300"/>
    <s v="18/11/2022"/>
    <x v="0"/>
    <x v="133"/>
    <x v="18"/>
    <x v="7"/>
    <x v="0"/>
    <s v="LUCKNOW"/>
    <x v="1"/>
    <n v="799"/>
    <n v="205"/>
    <n v="594"/>
    <n v="240"/>
    <n v="354"/>
  </r>
  <r>
    <s v="171-5725685-7792330"/>
    <s v="18/11/2022"/>
    <x v="0"/>
    <x v="123"/>
    <x v="18"/>
    <x v="7"/>
    <x v="0"/>
    <s v="KANNIYAKUMARI DISTRICT"/>
    <x v="7"/>
    <n v="999"/>
    <n v="325"/>
    <n v="674"/>
    <n v="240"/>
    <n v="434"/>
  </r>
  <r>
    <s v="406-1230981-2893924"/>
    <s v="18/11/2022"/>
    <x v="0"/>
    <x v="124"/>
    <x v="18"/>
    <x v="7"/>
    <x v="0"/>
    <s v="VARANASI"/>
    <x v="1"/>
    <n v="949.05"/>
    <n v="306"/>
    <n v="643.04999999999995"/>
    <n v="240"/>
    <n v="403.04999999999995"/>
  </r>
  <r>
    <s v="407-3865323-1330713"/>
    <s v="18/11/2022"/>
    <x v="0"/>
    <x v="251"/>
    <x v="18"/>
    <x v="7"/>
    <x v="0"/>
    <s v="GREATER NOIDA"/>
    <x v="1"/>
    <n v="799"/>
    <n v="205"/>
    <n v="594"/>
    <n v="240"/>
    <n v="354"/>
  </r>
  <r>
    <s v="407-6351437-1543529"/>
    <s v="19/11/2022"/>
    <x v="2"/>
    <x v="137"/>
    <x v="17"/>
    <x v="7"/>
    <x v="0"/>
    <s v="CANACONA"/>
    <x v="21"/>
    <n v="0"/>
    <n v="0"/>
    <n v="0"/>
    <n v="0"/>
    <n v="0"/>
  </r>
  <r>
    <s v="408-8580520-8043557"/>
    <s v="13/11/2022"/>
    <x v="3"/>
    <x v="124"/>
    <x v="12"/>
    <x v="7"/>
    <x v="0"/>
    <s v="BARKAKANA"/>
    <x v="11"/>
    <n v="-999"/>
    <n v="395"/>
    <n v="-604"/>
    <n v="240"/>
    <n v="-364"/>
  </r>
  <r>
    <s v="405-1925699-6833908"/>
    <s v="19/11/2022"/>
    <x v="0"/>
    <x v="128"/>
    <x v="17"/>
    <x v="7"/>
    <x v="0"/>
    <s v="CHENNAI"/>
    <x v="7"/>
    <n v="949.05"/>
    <n v="306"/>
    <n v="643.04999999999995"/>
    <n v="240"/>
    <n v="403.04999999999995"/>
  </r>
  <r>
    <s v="171-3264474-7095515"/>
    <s v="19/11/2022"/>
    <x v="0"/>
    <x v="122"/>
    <x v="17"/>
    <x v="7"/>
    <x v="0"/>
    <s v="NEW DELHI"/>
    <x v="16"/>
    <n v="849"/>
    <n v="250"/>
    <n v="599"/>
    <n v="240"/>
    <n v="359"/>
  </r>
  <r>
    <s v="406-4975241-3860315"/>
    <s v="19/11/2022"/>
    <x v="0"/>
    <x v="193"/>
    <x v="17"/>
    <x v="7"/>
    <x v="0"/>
    <s v="THANE"/>
    <x v="6"/>
    <n v="799"/>
    <n v="205"/>
    <n v="594"/>
    <n v="240"/>
    <n v="354"/>
  </r>
  <r>
    <s v="171-5601532-5765967"/>
    <s v="19/11/2022"/>
    <x v="0"/>
    <x v="244"/>
    <x v="17"/>
    <x v="7"/>
    <x v="0"/>
    <s v="PAITHAN"/>
    <x v="6"/>
    <n v="799"/>
    <n v="205"/>
    <n v="594"/>
    <n v="240"/>
    <n v="354"/>
  </r>
  <r>
    <s v="404-2481305-6260334"/>
    <s v="19/11/2022"/>
    <x v="0"/>
    <x v="124"/>
    <x v="17"/>
    <x v="7"/>
    <x v="0"/>
    <s v="DAHIVADI"/>
    <x v="6"/>
    <n v="999"/>
    <n v="325"/>
    <n v="674"/>
    <n v="240"/>
    <n v="434"/>
  </r>
  <r>
    <s v="405-9512066-9212307"/>
    <s v="19/11/2022"/>
    <x v="0"/>
    <x v="125"/>
    <x v="17"/>
    <x v="7"/>
    <x v="0"/>
    <s v="JAIPUR"/>
    <x v="10"/>
    <n v="949.05"/>
    <n v="306"/>
    <n v="643.04999999999995"/>
    <n v="240"/>
    <n v="403.04999999999995"/>
  </r>
  <r>
    <s v="405-9267003-5523552"/>
    <s v="19/11/2022"/>
    <x v="0"/>
    <x v="80"/>
    <x v="17"/>
    <x v="7"/>
    <x v="0"/>
    <s v="NAGPUR"/>
    <x v="6"/>
    <n v="899"/>
    <n v="295"/>
    <n v="604"/>
    <n v="240"/>
    <n v="364"/>
  </r>
  <r>
    <s v="407-0617322-8690731"/>
    <s v="19/11/2022"/>
    <x v="0"/>
    <x v="15"/>
    <x v="17"/>
    <x v="7"/>
    <x v="0"/>
    <s v="NORTH GUWAHATI"/>
    <x v="4"/>
    <n v="806.55"/>
    <n v="227"/>
    <n v="579.54999999999995"/>
    <n v="240"/>
    <n v="339.54999999999995"/>
  </r>
  <r>
    <s v="171-7507901-5233960"/>
    <s v="19/11/2022"/>
    <x v="0"/>
    <x v="86"/>
    <x v="17"/>
    <x v="7"/>
    <x v="0"/>
    <s v="ALLAHABAD"/>
    <x v="1"/>
    <n v="854.05"/>
    <n v="270"/>
    <n v="584.04999999999995"/>
    <n v="240"/>
    <n v="344.04999999999995"/>
  </r>
  <r>
    <s v="171-7522785-7281118"/>
    <s v="19/11/2022"/>
    <x v="0"/>
    <x v="139"/>
    <x v="17"/>
    <x v="7"/>
    <x v="0"/>
    <s v="BENGALURU"/>
    <x v="5"/>
    <n v="799"/>
    <n v="205"/>
    <n v="594"/>
    <n v="240"/>
    <n v="354"/>
  </r>
  <r>
    <s v="404-6247702-1644367"/>
    <s v="19/11/2022"/>
    <x v="0"/>
    <x v="25"/>
    <x v="17"/>
    <x v="7"/>
    <x v="0"/>
    <s v="BAREILLY"/>
    <x v="1"/>
    <n v="799"/>
    <n v="205"/>
    <n v="594"/>
    <n v="240"/>
    <n v="354"/>
  </r>
  <r>
    <s v="408-5732631-9749917"/>
    <s v="19/11/2022"/>
    <x v="0"/>
    <x v="15"/>
    <x v="17"/>
    <x v="7"/>
    <x v="0"/>
    <s v="THIRUVALLA"/>
    <x v="9"/>
    <n v="849"/>
    <n v="250"/>
    <n v="599"/>
    <n v="240"/>
    <n v="359"/>
  </r>
  <r>
    <s v="407-8715133-9167562"/>
    <s v="19/11/2022"/>
    <x v="0"/>
    <x v="44"/>
    <x v="17"/>
    <x v="7"/>
    <x v="0"/>
    <s v="TIRUPPUR"/>
    <x v="7"/>
    <n v="899"/>
    <n v="295"/>
    <n v="604"/>
    <n v="240"/>
    <n v="364"/>
  </r>
  <r>
    <s v="406-3243536-8220362"/>
    <s v="19/11/2022"/>
    <x v="0"/>
    <x v="123"/>
    <x v="17"/>
    <x v="7"/>
    <x v="0"/>
    <s v="PANIPAT"/>
    <x v="15"/>
    <n v="949.05"/>
    <n v="306"/>
    <n v="643.04999999999995"/>
    <n v="240"/>
    <n v="403.04999999999995"/>
  </r>
  <r>
    <s v="171-4173049-8193901"/>
    <s v="19/11/2022"/>
    <x v="0"/>
    <x v="255"/>
    <x v="17"/>
    <x v="7"/>
    <x v="0"/>
    <s v="Banda"/>
    <x v="1"/>
    <n v="799"/>
    <n v="205"/>
    <n v="594"/>
    <n v="240"/>
    <n v="354"/>
  </r>
  <r>
    <s v="407-6351437-1543529"/>
    <s v="19/11/2022"/>
    <x v="0"/>
    <x v="137"/>
    <x v="17"/>
    <x v="7"/>
    <x v="0"/>
    <s v="CANACONA"/>
    <x v="21"/>
    <n v="849"/>
    <n v="250"/>
    <n v="599"/>
    <n v="240"/>
    <n v="359"/>
  </r>
  <r>
    <s v="405-2009973-3223556"/>
    <s v="13/11/2022"/>
    <x v="3"/>
    <x v="136"/>
    <x v="12"/>
    <x v="7"/>
    <x v="0"/>
    <s v="PIMPRI CHINCHWAD"/>
    <x v="6"/>
    <n v="-849"/>
    <n v="345"/>
    <n v="-504"/>
    <n v="240"/>
    <n v="-264"/>
  </r>
  <r>
    <s v="171-4966193-1334764"/>
    <s v="04/11/2022"/>
    <x v="3"/>
    <x v="158"/>
    <x v="3"/>
    <x v="7"/>
    <x v="0"/>
    <s v="CHANNARAYAPATNA"/>
    <x v="5"/>
    <n v="-849"/>
    <n v="345"/>
    <n v="-504"/>
    <n v="240"/>
    <n v="-264"/>
  </r>
  <r>
    <s v="405-4094627-3547537"/>
    <s v="13/11/2022"/>
    <x v="3"/>
    <x v="216"/>
    <x v="12"/>
    <x v="7"/>
    <x v="0"/>
    <s v="NAVI MUMBAI"/>
    <x v="6"/>
    <n v="-799"/>
    <n v="320"/>
    <n v="-479"/>
    <n v="240"/>
    <n v="-239"/>
  </r>
  <r>
    <s v="408-0403789-1713969"/>
    <s v="14/11/2022"/>
    <x v="3"/>
    <x v="15"/>
    <x v="13"/>
    <x v="7"/>
    <x v="0"/>
    <s v="TALCHER"/>
    <x v="14"/>
    <n v="-806.55"/>
    <n v="345"/>
    <n v="-461.54999999999995"/>
    <n v="240"/>
    <n v="-221.54999999999995"/>
  </r>
  <r>
    <s v="171-6939365-9373168"/>
    <s v="20/11/2022"/>
    <x v="2"/>
    <x v="81"/>
    <x v="19"/>
    <x v="7"/>
    <x v="0"/>
    <s v="GURUGRAM"/>
    <x v="15"/>
    <n v="0"/>
    <n v="0"/>
    <n v="0"/>
    <n v="0"/>
    <n v="0"/>
  </r>
  <r>
    <s v="402-7484392-3478725"/>
    <s v="20/11/2022"/>
    <x v="0"/>
    <x v="120"/>
    <x v="19"/>
    <x v="7"/>
    <x v="0"/>
    <s v="Gurugram"/>
    <x v="15"/>
    <n v="849"/>
    <n v="250"/>
    <n v="599"/>
    <n v="240"/>
    <n v="359"/>
  </r>
  <r>
    <s v="405-4679153-2382700"/>
    <s v="20/11/2022"/>
    <x v="0"/>
    <x v="86"/>
    <x v="19"/>
    <x v="7"/>
    <x v="0"/>
    <s v="CHANNAPATNA"/>
    <x v="5"/>
    <n v="899"/>
    <n v="295"/>
    <n v="604"/>
    <n v="240"/>
    <n v="364"/>
  </r>
  <r>
    <s v="402-6294377-1186702"/>
    <s v="20/11/2022"/>
    <x v="0"/>
    <x v="164"/>
    <x v="19"/>
    <x v="7"/>
    <x v="0"/>
    <s v="DIBRUGARH"/>
    <x v="4"/>
    <n v="849"/>
    <n v="250"/>
    <n v="599"/>
    <n v="240"/>
    <n v="359"/>
  </r>
  <r>
    <s v="406-6349504-7153933"/>
    <s v="20/11/2022"/>
    <x v="0"/>
    <x v="136"/>
    <x v="19"/>
    <x v="7"/>
    <x v="0"/>
    <s v="DHAULPUR"/>
    <x v="10"/>
    <n v="849"/>
    <n v="250"/>
    <n v="599"/>
    <n v="240"/>
    <n v="359"/>
  </r>
  <r>
    <s v="171-6939365-9373168"/>
    <s v="20/11/2022"/>
    <x v="0"/>
    <x v="81"/>
    <x v="19"/>
    <x v="7"/>
    <x v="0"/>
    <s v="GURUGRAM"/>
    <x v="15"/>
    <n v="799"/>
    <n v="205"/>
    <n v="594"/>
    <n v="240"/>
    <n v="354"/>
  </r>
  <r>
    <s v="403-9913297-6239523"/>
    <s v="20/11/2022"/>
    <x v="0"/>
    <x v="25"/>
    <x v="19"/>
    <x v="7"/>
    <x v="0"/>
    <s v="BENGALURU"/>
    <x v="5"/>
    <n v="759.05"/>
    <n v="202"/>
    <n v="557.04999999999995"/>
    <n v="240"/>
    <n v="317.04999999999995"/>
  </r>
  <r>
    <s v="404-5761211-6406755"/>
    <s v="20/11/2022"/>
    <x v="0"/>
    <x v="184"/>
    <x v="19"/>
    <x v="7"/>
    <x v="0"/>
    <s v="BANGALORE"/>
    <x v="5"/>
    <n v="849"/>
    <n v="250"/>
    <n v="599"/>
    <n v="240"/>
    <n v="359"/>
  </r>
  <r>
    <s v="408-8930524-1637967"/>
    <s v="14/11/2022"/>
    <x v="3"/>
    <x v="98"/>
    <x v="13"/>
    <x v="7"/>
    <x v="0"/>
    <s v="CANDOLIM"/>
    <x v="21"/>
    <n v="-899"/>
    <n v="375"/>
    <n v="-524"/>
    <n v="240"/>
    <n v="-284"/>
  </r>
  <r>
    <s v="407-8579151-4730749"/>
    <s v="17/11/2022"/>
    <x v="3"/>
    <x v="137"/>
    <x v="16"/>
    <x v="7"/>
    <x v="0"/>
    <s v="GANGAVALLI"/>
    <x v="7"/>
    <n v="-849"/>
    <n v="345"/>
    <n v="-504"/>
    <n v="240"/>
    <n v="-264"/>
  </r>
  <r>
    <s v="407-1312508-8781138"/>
    <s v="12/11/2022"/>
    <x v="3"/>
    <x v="249"/>
    <x v="11"/>
    <x v="7"/>
    <x v="0"/>
    <s v="NOIDA"/>
    <x v="1"/>
    <n v="-799"/>
    <n v="320"/>
    <n v="-479"/>
    <n v="240"/>
    <n v="-239"/>
  </r>
  <r>
    <s v="406-7502926-5586744"/>
    <s v="21/11/2022"/>
    <x v="0"/>
    <x v="68"/>
    <x v="20"/>
    <x v="7"/>
    <x v="0"/>
    <s v="NEW DELHI"/>
    <x v="16"/>
    <n v="799"/>
    <n v="205"/>
    <n v="594"/>
    <n v="240"/>
    <n v="354"/>
  </r>
  <r>
    <s v="406-1397606-6665152"/>
    <s v="20/11/2022"/>
    <x v="0"/>
    <x v="197"/>
    <x v="19"/>
    <x v="7"/>
    <x v="0"/>
    <s v="MANGROL"/>
    <x v="3"/>
    <n v="849"/>
    <n v="250"/>
    <n v="599"/>
    <n v="240"/>
    <n v="359"/>
  </r>
  <r>
    <s v="403-5411965-9722749"/>
    <s v="20/11/2022"/>
    <x v="0"/>
    <x v="193"/>
    <x v="19"/>
    <x v="7"/>
    <x v="0"/>
    <s v="BETTIAH"/>
    <x v="0"/>
    <n v="799"/>
    <n v="205"/>
    <n v="594"/>
    <n v="240"/>
    <n v="354"/>
  </r>
  <r>
    <s v="407-1090889-6109162"/>
    <s v="21/11/2022"/>
    <x v="0"/>
    <x v="81"/>
    <x v="20"/>
    <x v="7"/>
    <x v="0"/>
    <s v="HYDERABAD"/>
    <x v="8"/>
    <n v="799"/>
    <n v="205"/>
    <n v="594"/>
    <n v="240"/>
    <n v="354"/>
  </r>
  <r>
    <s v="406-1261143-6414736"/>
    <s v="21/11/2022"/>
    <x v="0"/>
    <x v="156"/>
    <x v="20"/>
    <x v="7"/>
    <x v="0"/>
    <s v="RAYAGADA RAYAGADA DISTRICT"/>
    <x v="14"/>
    <n v="799"/>
    <n v="205"/>
    <n v="594"/>
    <n v="240"/>
    <n v="354"/>
  </r>
  <r>
    <s v="171-4568938-5955500"/>
    <s v="21/11/2022"/>
    <x v="0"/>
    <x v="15"/>
    <x v="20"/>
    <x v="7"/>
    <x v="0"/>
    <s v="KOLKATA"/>
    <x v="18"/>
    <n v="849"/>
    <n v="250"/>
    <n v="599"/>
    <n v="240"/>
    <n v="359"/>
  </r>
  <r>
    <s v="405-7149125-5773133"/>
    <s v="21/11/2022"/>
    <x v="0"/>
    <x v="15"/>
    <x v="20"/>
    <x v="7"/>
    <x v="0"/>
    <s v="GHAZIABAD"/>
    <x v="1"/>
    <n v="806.55"/>
    <n v="227"/>
    <n v="579.54999999999995"/>
    <n v="240"/>
    <n v="339.54999999999995"/>
  </r>
  <r>
    <s v="403-7995053-4940306"/>
    <s v="21/11/2022"/>
    <x v="0"/>
    <x v="147"/>
    <x v="20"/>
    <x v="7"/>
    <x v="0"/>
    <s v="LUCKNOW"/>
    <x v="1"/>
    <n v="799"/>
    <n v="205"/>
    <n v="594"/>
    <n v="240"/>
    <n v="354"/>
  </r>
  <r>
    <s v="403-9498504-1018701"/>
    <s v="21/11/2022"/>
    <x v="0"/>
    <x v="88"/>
    <x v="20"/>
    <x v="7"/>
    <x v="0"/>
    <s v="BHUSAWAL"/>
    <x v="6"/>
    <n v="854.05"/>
    <n v="270"/>
    <n v="584.04999999999995"/>
    <n v="240"/>
    <n v="344.04999999999995"/>
  </r>
  <r>
    <s v="404-4033906-7071500"/>
    <s v="21/11/2022"/>
    <x v="0"/>
    <x v="154"/>
    <x v="20"/>
    <x v="7"/>
    <x v="0"/>
    <s v="MUMBAI"/>
    <x v="6"/>
    <n v="799"/>
    <n v="205"/>
    <n v="594"/>
    <n v="240"/>
    <n v="354"/>
  </r>
  <r>
    <s v="404-7790146-3562715"/>
    <s v="21/11/2022"/>
    <x v="0"/>
    <x v="98"/>
    <x v="20"/>
    <x v="7"/>
    <x v="0"/>
    <s v="PALI"/>
    <x v="10"/>
    <n v="854.05"/>
    <n v="270"/>
    <n v="584.04999999999995"/>
    <n v="240"/>
    <n v="344.04999999999995"/>
  </r>
  <r>
    <s v="405-0080714-2505974"/>
    <s v="21/11/2022"/>
    <x v="0"/>
    <x v="166"/>
    <x v="20"/>
    <x v="7"/>
    <x v="0"/>
    <s v="MYSURU"/>
    <x v="5"/>
    <n v="849"/>
    <n v="250"/>
    <n v="599"/>
    <n v="240"/>
    <n v="359"/>
  </r>
  <r>
    <s v="407-6062702-9039525"/>
    <s v="21/11/2022"/>
    <x v="0"/>
    <x v="133"/>
    <x v="20"/>
    <x v="7"/>
    <x v="0"/>
    <s v="NOIDA"/>
    <x v="1"/>
    <n v="759.05"/>
    <n v="202"/>
    <n v="557.04999999999995"/>
    <n v="240"/>
    <n v="317.04999999999995"/>
  </r>
  <r>
    <s v="405-5670641-2707531"/>
    <s v="21/11/2022"/>
    <x v="0"/>
    <x v="44"/>
    <x v="20"/>
    <x v="7"/>
    <x v="0"/>
    <s v="SATHUPALLY"/>
    <x v="8"/>
    <n v="899"/>
    <n v="295"/>
    <n v="604"/>
    <n v="240"/>
    <n v="364"/>
  </r>
  <r>
    <s v="403-8495682-1285915"/>
    <s v="21/11/2022"/>
    <x v="0"/>
    <x v="69"/>
    <x v="20"/>
    <x v="7"/>
    <x v="0"/>
    <s v="GONDA"/>
    <x v="1"/>
    <n v="849"/>
    <n v="250"/>
    <n v="599"/>
    <n v="240"/>
    <n v="359"/>
  </r>
  <r>
    <s v="402-1291473-4154746"/>
    <s v="20/11/2022"/>
    <x v="0"/>
    <x v="256"/>
    <x v="19"/>
    <x v="7"/>
    <x v="0"/>
    <s v="KALYAN Dombivali"/>
    <x v="6"/>
    <n v="799"/>
    <n v="205"/>
    <n v="594"/>
    <n v="240"/>
    <n v="354"/>
  </r>
  <r>
    <s v="405-5694515-2957115"/>
    <s v="21/11/2022"/>
    <x v="0"/>
    <x v="25"/>
    <x v="20"/>
    <x v="7"/>
    <x v="0"/>
    <s v="PHULERA"/>
    <x v="10"/>
    <n v="759.05"/>
    <n v="202"/>
    <n v="557.04999999999995"/>
    <n v="240"/>
    <n v="317.04999999999995"/>
  </r>
  <r>
    <s v="408-9408408-1314708"/>
    <s v="21/11/2022"/>
    <x v="0"/>
    <x v="25"/>
    <x v="20"/>
    <x v="7"/>
    <x v="0"/>
    <s v="Cheraneloore"/>
    <x v="9"/>
    <n v="759.05"/>
    <n v="202"/>
    <n v="557.04999999999995"/>
    <n v="240"/>
    <n v="317.04999999999995"/>
  </r>
  <r>
    <s v="171-3628485-9965133"/>
    <s v="21/11/2022"/>
    <x v="0"/>
    <x v="192"/>
    <x v="20"/>
    <x v="7"/>
    <x v="0"/>
    <s v="SHAHJAHANPUR"/>
    <x v="1"/>
    <n v="799"/>
    <n v="205"/>
    <n v="594"/>
    <n v="240"/>
    <n v="354"/>
  </r>
  <r>
    <s v="406-9154604-9153965"/>
    <s v="21/11/2022"/>
    <x v="0"/>
    <x v="202"/>
    <x v="20"/>
    <x v="7"/>
    <x v="0"/>
    <s v="KOTA"/>
    <x v="10"/>
    <n v="999"/>
    <n v="325"/>
    <n v="674"/>
    <n v="240"/>
    <n v="434"/>
  </r>
  <r>
    <s v="403-3430246-4244309"/>
    <s v="16/11/2022"/>
    <x v="3"/>
    <x v="59"/>
    <x v="15"/>
    <x v="7"/>
    <x v="0"/>
    <s v="FARIDABAD"/>
    <x v="15"/>
    <n v="-899"/>
    <n v="375"/>
    <n v="-524"/>
    <n v="240"/>
    <n v="-284"/>
  </r>
  <r>
    <s v="404-5468753-5796361"/>
    <s v="22/11/2022"/>
    <x v="2"/>
    <x v="98"/>
    <x v="21"/>
    <x v="7"/>
    <x v="0"/>
    <s v="NEW DELHI"/>
    <x v="16"/>
    <n v="0"/>
    <n v="0"/>
    <n v="0"/>
    <n v="0"/>
    <n v="0"/>
  </r>
  <r>
    <s v="407-9619522-3286728"/>
    <s v="23/11/2022"/>
    <x v="2"/>
    <x v="187"/>
    <x v="23"/>
    <x v="7"/>
    <x v="0"/>
    <s v="PIMPRI CHINCHWAD"/>
    <x v="6"/>
    <n v="0"/>
    <n v="0"/>
    <n v="0"/>
    <n v="0"/>
    <n v="0"/>
  </r>
  <r>
    <s v="405-9452955-7276355"/>
    <s v="22/11/2022"/>
    <x v="0"/>
    <x v="133"/>
    <x v="21"/>
    <x v="7"/>
    <x v="0"/>
    <s v="BARABANKI"/>
    <x v="1"/>
    <n v="759.05"/>
    <n v="202"/>
    <n v="557.04999999999995"/>
    <n v="240"/>
    <n v="317.04999999999995"/>
  </r>
  <r>
    <s v="171-9641921-4321106"/>
    <s v="21/11/2022"/>
    <x v="0"/>
    <x v="68"/>
    <x v="20"/>
    <x v="7"/>
    <x v="0"/>
    <s v="NAVI MUMBAI"/>
    <x v="6"/>
    <n v="759.05"/>
    <n v="202"/>
    <n v="557.04999999999995"/>
    <n v="240"/>
    <n v="317.04999999999995"/>
  </r>
  <r>
    <s v="403-2410024-2731515"/>
    <s v="22/11/2022"/>
    <x v="0"/>
    <x v="79"/>
    <x v="21"/>
    <x v="7"/>
    <x v="0"/>
    <s v="DEHRADUN"/>
    <x v="24"/>
    <n v="899"/>
    <n v="295"/>
    <n v="604"/>
    <n v="240"/>
    <n v="364"/>
  </r>
  <r>
    <s v="406-8606783-4232305"/>
    <s v="21/11/2022"/>
    <x v="0"/>
    <x v="74"/>
    <x v="20"/>
    <x v="7"/>
    <x v="0"/>
    <s v="BADLAPUR"/>
    <x v="6"/>
    <n v="899"/>
    <n v="295"/>
    <n v="604"/>
    <n v="240"/>
    <n v="364"/>
  </r>
  <r>
    <s v="404-1650033-5088364"/>
    <s v="22/11/2022"/>
    <x v="0"/>
    <x v="44"/>
    <x v="21"/>
    <x v="7"/>
    <x v="0"/>
    <s v="YELLAPUR"/>
    <x v="5"/>
    <n v="899"/>
    <n v="295"/>
    <n v="604"/>
    <n v="240"/>
    <n v="364"/>
  </r>
  <r>
    <s v="171-9319048-4152352"/>
    <s v="22/11/2022"/>
    <x v="0"/>
    <x v="123"/>
    <x v="21"/>
    <x v="7"/>
    <x v="0"/>
    <s v="Roorkee"/>
    <x v="24"/>
    <n v="949.05"/>
    <n v="306"/>
    <n v="643.04999999999995"/>
    <n v="240"/>
    <n v="403.04999999999995"/>
  </r>
  <r>
    <s v="403-4950526-3755564"/>
    <s v="22/11/2022"/>
    <x v="0"/>
    <x v="193"/>
    <x v="21"/>
    <x v="7"/>
    <x v="0"/>
    <s v="MUMBAI"/>
    <x v="6"/>
    <n v="799"/>
    <n v="205"/>
    <n v="594"/>
    <n v="240"/>
    <n v="354"/>
  </r>
  <r>
    <s v="407-5289087-3588344"/>
    <s v="21/11/2022"/>
    <x v="0"/>
    <x v="80"/>
    <x v="20"/>
    <x v="7"/>
    <x v="0"/>
    <s v="Gurdaspur"/>
    <x v="26"/>
    <n v="854.05"/>
    <n v="270"/>
    <n v="584.04999999999995"/>
    <n v="240"/>
    <n v="344.04999999999995"/>
  </r>
  <r>
    <s v="404-9445806-1390704"/>
    <s v="22/11/2022"/>
    <x v="0"/>
    <x v="98"/>
    <x v="21"/>
    <x v="7"/>
    <x v="0"/>
    <s v="NAGPUR"/>
    <x v="6"/>
    <n v="854.05"/>
    <n v="270"/>
    <n v="584.04999999999995"/>
    <n v="240"/>
    <n v="344.04999999999995"/>
  </r>
  <r>
    <s v="408-9191020-7519541"/>
    <s v="22/11/2022"/>
    <x v="0"/>
    <x v="202"/>
    <x v="21"/>
    <x v="7"/>
    <x v="0"/>
    <s v="VADAKKANANDAL"/>
    <x v="7"/>
    <n v="999"/>
    <n v="325"/>
    <n v="674"/>
    <n v="240"/>
    <n v="434"/>
  </r>
  <r>
    <s v="402-4766515-0887532"/>
    <s v="22/11/2022"/>
    <x v="0"/>
    <x v="120"/>
    <x v="21"/>
    <x v="7"/>
    <x v="0"/>
    <s v="COIMBATORE"/>
    <x v="7"/>
    <n v="849"/>
    <n v="250"/>
    <n v="599"/>
    <n v="240"/>
    <n v="359"/>
  </r>
  <r>
    <s v="171-3283552-5638712"/>
    <s v="23/11/2022"/>
    <x v="2"/>
    <x v="248"/>
    <x v="23"/>
    <x v="7"/>
    <x v="0"/>
    <s v="BELA PRATAPGARH"/>
    <x v="1"/>
    <n v="0"/>
    <n v="0"/>
    <n v="0"/>
    <n v="0"/>
    <n v="0"/>
  </r>
  <r>
    <s v="405-7369439-4985951"/>
    <s v="14/11/2022"/>
    <x v="3"/>
    <x v="136"/>
    <x v="13"/>
    <x v="7"/>
    <x v="0"/>
    <s v="HYDERABAD"/>
    <x v="8"/>
    <n v="-849"/>
    <n v="345"/>
    <n v="-504"/>
    <n v="240"/>
    <n v="-264"/>
  </r>
  <r>
    <s v="407-2790168-3688350"/>
    <s v="23/11/2022"/>
    <x v="0"/>
    <x v="83"/>
    <x v="23"/>
    <x v="7"/>
    <x v="0"/>
    <s v="SABARKANTHA"/>
    <x v="3"/>
    <n v="854.05"/>
    <n v="270"/>
    <n v="584.04999999999995"/>
    <n v="240"/>
    <n v="344.04999999999995"/>
  </r>
  <r>
    <s v="405-6474489-0038759"/>
    <s v="22/11/2022"/>
    <x v="0"/>
    <x v="15"/>
    <x v="21"/>
    <x v="7"/>
    <x v="0"/>
    <s v="CHENNAI"/>
    <x v="7"/>
    <n v="849"/>
    <n v="250"/>
    <n v="599"/>
    <n v="240"/>
    <n v="359"/>
  </r>
  <r>
    <s v="407-6456151-5905131"/>
    <s v="23/11/2022"/>
    <x v="0"/>
    <x v="206"/>
    <x v="23"/>
    <x v="7"/>
    <x v="0"/>
    <s v="SABARKANTHA"/>
    <x v="3"/>
    <n v="899"/>
    <n v="295"/>
    <n v="604"/>
    <n v="240"/>
    <n v="364"/>
  </r>
  <r>
    <s v="408-9198590-3546710"/>
    <s v="23/11/2022"/>
    <x v="0"/>
    <x v="15"/>
    <x v="23"/>
    <x v="7"/>
    <x v="0"/>
    <s v="PRAYAGRAJ"/>
    <x v="1"/>
    <n v="806.55"/>
    <n v="227"/>
    <n v="579.54999999999995"/>
    <n v="240"/>
    <n v="339.54999999999995"/>
  </r>
  <r>
    <s v="403-8208152-5044300"/>
    <s v="23/11/2022"/>
    <x v="0"/>
    <x v="136"/>
    <x v="23"/>
    <x v="7"/>
    <x v="0"/>
    <s v="PATNA"/>
    <x v="0"/>
    <n v="849"/>
    <n v="250"/>
    <n v="599"/>
    <n v="240"/>
    <n v="359"/>
  </r>
  <r>
    <s v="403-8662116-3912304"/>
    <s v="22/11/2022"/>
    <x v="0"/>
    <x v="206"/>
    <x v="21"/>
    <x v="7"/>
    <x v="0"/>
    <s v="AMRITSAR"/>
    <x v="26"/>
    <n v="899"/>
    <n v="295"/>
    <n v="604"/>
    <n v="240"/>
    <n v="364"/>
  </r>
  <r>
    <s v="403-2696163-8223540"/>
    <s v="23/11/2022"/>
    <x v="0"/>
    <x v="123"/>
    <x v="23"/>
    <x v="7"/>
    <x v="0"/>
    <s v="NEW DELHI"/>
    <x v="16"/>
    <n v="999"/>
    <n v="325"/>
    <n v="674"/>
    <n v="240"/>
    <n v="434"/>
  </r>
  <r>
    <s v="404-5468753-5796361"/>
    <s v="22/11/2022"/>
    <x v="0"/>
    <x v="98"/>
    <x v="21"/>
    <x v="7"/>
    <x v="0"/>
    <s v="NEW DELHI"/>
    <x v="16"/>
    <n v="899"/>
    <n v="295"/>
    <n v="604"/>
    <n v="240"/>
    <n v="364"/>
  </r>
  <r>
    <s v="403-6687815-6694742"/>
    <s v="22/11/2022"/>
    <x v="0"/>
    <x v="257"/>
    <x v="21"/>
    <x v="7"/>
    <x v="0"/>
    <s v="HYDERABAD"/>
    <x v="8"/>
    <n v="799"/>
    <n v="205"/>
    <n v="594"/>
    <n v="240"/>
    <n v="354"/>
  </r>
  <r>
    <s v="171-3557133-6653926"/>
    <s v="23/11/2022"/>
    <x v="0"/>
    <x v="193"/>
    <x v="23"/>
    <x v="7"/>
    <x v="0"/>
    <s v="NEW DELHI"/>
    <x v="16"/>
    <n v="799"/>
    <n v="205"/>
    <n v="594"/>
    <n v="240"/>
    <n v="354"/>
  </r>
  <r>
    <s v="405-2019101-4062755"/>
    <s v="22/11/2022"/>
    <x v="0"/>
    <x v="258"/>
    <x v="21"/>
    <x v="7"/>
    <x v="0"/>
    <s v="Manjummel"/>
    <x v="9"/>
    <n v="799"/>
    <n v="205"/>
    <n v="594"/>
    <n v="240"/>
    <n v="354"/>
  </r>
  <r>
    <s v="405-2789771-1518714"/>
    <s v="24/11/2022"/>
    <x v="0"/>
    <x v="124"/>
    <x v="22"/>
    <x v="7"/>
    <x v="0"/>
    <s v="GURUGRAM"/>
    <x v="15"/>
    <n v="949.05"/>
    <n v="306"/>
    <n v="643.04999999999995"/>
    <n v="240"/>
    <n v="403.04999999999995"/>
  </r>
  <r>
    <s v="171-6713560-3772329"/>
    <s v="23/11/2022"/>
    <x v="0"/>
    <x v="171"/>
    <x v="23"/>
    <x v="7"/>
    <x v="0"/>
    <s v="HYDERABAD"/>
    <x v="8"/>
    <n v="799"/>
    <n v="205"/>
    <n v="594"/>
    <n v="240"/>
    <n v="354"/>
  </r>
  <r>
    <s v="403-6572828-9709901"/>
    <s v="23/11/2022"/>
    <x v="0"/>
    <x v="213"/>
    <x v="23"/>
    <x v="7"/>
    <x v="0"/>
    <s v="AURAIYA"/>
    <x v="1"/>
    <n v="799"/>
    <n v="205"/>
    <n v="594"/>
    <n v="240"/>
    <n v="354"/>
  </r>
  <r>
    <s v="403-6572828-9709901"/>
    <s v="23/11/2022"/>
    <x v="0"/>
    <x v="172"/>
    <x v="23"/>
    <x v="7"/>
    <x v="0"/>
    <s v="AURAIYA"/>
    <x v="1"/>
    <n v="799"/>
    <n v="205"/>
    <n v="594"/>
    <n v="240"/>
    <n v="354"/>
  </r>
  <r>
    <s v="404-6911413-6293144"/>
    <s v="23/11/2022"/>
    <x v="0"/>
    <x v="95"/>
    <x v="23"/>
    <x v="7"/>
    <x v="0"/>
    <s v="HYDERABAD"/>
    <x v="8"/>
    <n v="854.05"/>
    <n v="270"/>
    <n v="584.04999999999995"/>
    <n v="240"/>
    <n v="344.04999999999995"/>
  </r>
  <r>
    <s v="403-1557458-6686718"/>
    <s v="23/11/2022"/>
    <x v="0"/>
    <x v="259"/>
    <x v="23"/>
    <x v="7"/>
    <x v="0"/>
    <s v="LUCKNOW"/>
    <x v="1"/>
    <n v="799"/>
    <n v="205"/>
    <n v="594"/>
    <n v="240"/>
    <n v="354"/>
  </r>
  <r>
    <s v="407-9487380-6077158"/>
    <s v="23/11/2022"/>
    <x v="0"/>
    <x v="68"/>
    <x v="23"/>
    <x v="7"/>
    <x v="0"/>
    <s v="ERODE"/>
    <x v="7"/>
    <n v="799"/>
    <n v="205"/>
    <n v="594"/>
    <n v="240"/>
    <n v="354"/>
  </r>
  <r>
    <s v="407-9619522-3286728"/>
    <s v="23/11/2022"/>
    <x v="0"/>
    <x v="187"/>
    <x v="23"/>
    <x v="7"/>
    <x v="0"/>
    <s v="PIMPRI CHINCHWAD"/>
    <x v="6"/>
    <n v="799"/>
    <n v="205"/>
    <n v="594"/>
    <n v="240"/>
    <n v="354"/>
  </r>
  <r>
    <s v="404-0209398-7828360"/>
    <s v="15/11/2022"/>
    <x v="3"/>
    <x v="121"/>
    <x v="14"/>
    <x v="7"/>
    <x v="0"/>
    <s v="GURUGRAM"/>
    <x v="15"/>
    <n v="-759.05"/>
    <n v="320"/>
    <n v="-439.04999999999995"/>
    <n v="240"/>
    <n v="-199.04999999999995"/>
  </r>
  <r>
    <s v="402-6767052-4269946"/>
    <s v="24/11/2022"/>
    <x v="2"/>
    <x v="260"/>
    <x v="22"/>
    <x v="7"/>
    <x v="0"/>
    <s v="Hanutiya"/>
    <x v="10"/>
    <n v="0"/>
    <n v="0"/>
    <n v="0"/>
    <n v="0"/>
    <n v="0"/>
  </r>
  <r>
    <s v="408-2313224-0936307"/>
    <s v="24/11/2022"/>
    <x v="2"/>
    <x v="261"/>
    <x v="22"/>
    <x v="7"/>
    <x v="0"/>
    <s v="TIRUCHIRAPPALLI"/>
    <x v="7"/>
    <n v="0"/>
    <n v="0"/>
    <n v="0"/>
    <n v="0"/>
    <n v="0"/>
  </r>
  <r>
    <s v="404-6115483-0788349"/>
    <s v="21/11/2022"/>
    <x v="2"/>
    <x v="126"/>
    <x v="20"/>
    <x v="7"/>
    <x v="0"/>
    <s v="HYDERABAD"/>
    <x v="8"/>
    <n v="0"/>
    <n v="0"/>
    <n v="0"/>
    <n v="0"/>
    <n v="0"/>
  </r>
  <r>
    <s v="406-9963119-4917938"/>
    <s v="23/11/2022"/>
    <x v="0"/>
    <x v="123"/>
    <x v="23"/>
    <x v="7"/>
    <x v="0"/>
    <s v="MELLAHALLI"/>
    <x v="5"/>
    <n v="999"/>
    <n v="325"/>
    <n v="674"/>
    <n v="240"/>
    <n v="434"/>
  </r>
  <r>
    <s v="408-6086826-7453157"/>
    <s v="24/11/2022"/>
    <x v="0"/>
    <x v="81"/>
    <x v="22"/>
    <x v="7"/>
    <x v="0"/>
    <s v="HARRAIYA"/>
    <x v="1"/>
    <n v="759.05"/>
    <n v="202"/>
    <n v="557.04999999999995"/>
    <n v="240"/>
    <n v="317.04999999999995"/>
  </r>
  <r>
    <s v="408-8119443-5776339"/>
    <s v="24/11/2022"/>
    <x v="0"/>
    <x v="83"/>
    <x v="22"/>
    <x v="7"/>
    <x v="0"/>
    <s v="HIMMATNAGAR"/>
    <x v="3"/>
    <n v="899"/>
    <n v="295"/>
    <n v="604"/>
    <n v="240"/>
    <n v="364"/>
  </r>
  <r>
    <s v="405-1012016-9138727"/>
    <s v="24/11/2022"/>
    <x v="0"/>
    <x v="15"/>
    <x v="22"/>
    <x v="7"/>
    <x v="0"/>
    <s v="CHENNAI"/>
    <x v="7"/>
    <n v="849"/>
    <n v="250"/>
    <n v="599"/>
    <n v="240"/>
    <n v="359"/>
  </r>
  <r>
    <s v="402-9403213-6633967"/>
    <s v="24/11/2022"/>
    <x v="0"/>
    <x v="133"/>
    <x v="22"/>
    <x v="7"/>
    <x v="0"/>
    <s v="AMRAVATI"/>
    <x v="6"/>
    <n v="799"/>
    <n v="205"/>
    <n v="594"/>
    <n v="240"/>
    <n v="354"/>
  </r>
  <r>
    <s v="406-7926462-1442764"/>
    <s v="24/11/2022"/>
    <x v="0"/>
    <x v="69"/>
    <x v="22"/>
    <x v="7"/>
    <x v="0"/>
    <s v="MUMBAI"/>
    <x v="6"/>
    <n v="806.55"/>
    <n v="227"/>
    <n v="579.54999999999995"/>
    <n v="240"/>
    <n v="339.54999999999995"/>
  </r>
  <r>
    <s v="171-1865035-3303537"/>
    <s v="23/11/2022"/>
    <x v="0"/>
    <x v="137"/>
    <x v="23"/>
    <x v="7"/>
    <x v="0"/>
    <s v="MAYUR VIHAR PHASE 1"/>
    <x v="16"/>
    <n v="849"/>
    <n v="250"/>
    <n v="599"/>
    <n v="240"/>
    <n v="359"/>
  </r>
  <r>
    <s v="405-5404248-3552368"/>
    <s v="24/11/2022"/>
    <x v="0"/>
    <x v="120"/>
    <x v="22"/>
    <x v="7"/>
    <x v="0"/>
    <s v="PUNE"/>
    <x v="6"/>
    <n v="849"/>
    <n v="250"/>
    <n v="599"/>
    <n v="240"/>
    <n v="359"/>
  </r>
  <r>
    <s v="171-0049884-5863528"/>
    <s v="24/11/2022"/>
    <x v="0"/>
    <x v="237"/>
    <x v="22"/>
    <x v="7"/>
    <x v="0"/>
    <s v="BELA PRATAPGARH"/>
    <x v="1"/>
    <n v="799"/>
    <n v="205"/>
    <n v="594"/>
    <n v="240"/>
    <n v="354"/>
  </r>
  <r>
    <s v="405-9525876-4196307"/>
    <s v="24/11/2022"/>
    <x v="0"/>
    <x v="15"/>
    <x v="22"/>
    <x v="7"/>
    <x v="0"/>
    <s v="NEW DELHI"/>
    <x v="16"/>
    <n v="849"/>
    <n v="250"/>
    <n v="599"/>
    <n v="240"/>
    <n v="359"/>
  </r>
  <r>
    <s v="403-6525155-0169154"/>
    <s v="24/11/2022"/>
    <x v="0"/>
    <x v="131"/>
    <x v="22"/>
    <x v="7"/>
    <x v="0"/>
    <s v="GURUGRAM"/>
    <x v="15"/>
    <n v="799"/>
    <n v="205"/>
    <n v="594"/>
    <n v="240"/>
    <n v="354"/>
  </r>
  <r>
    <s v="402-4847873-9185932"/>
    <s v="24/11/2022"/>
    <x v="0"/>
    <x v="262"/>
    <x v="22"/>
    <x v="7"/>
    <x v="0"/>
    <s v="Hanutiya"/>
    <x v="10"/>
    <n v="799"/>
    <n v="205"/>
    <n v="594"/>
    <n v="240"/>
    <n v="354"/>
  </r>
  <r>
    <s v="403-0220682-6101170"/>
    <s v="23/11/2022"/>
    <x v="0"/>
    <x v="31"/>
    <x v="23"/>
    <x v="7"/>
    <x v="0"/>
    <s v="Bengaluru"/>
    <x v="5"/>
    <n v="799"/>
    <n v="205"/>
    <n v="594"/>
    <n v="240"/>
    <n v="354"/>
  </r>
  <r>
    <s v="408-7488003-5882738"/>
    <s v="24/11/2022"/>
    <x v="0"/>
    <x v="15"/>
    <x v="22"/>
    <x v="7"/>
    <x v="0"/>
    <s v="Vasai"/>
    <x v="6"/>
    <n v="849"/>
    <n v="250"/>
    <n v="599"/>
    <n v="240"/>
    <n v="359"/>
  </r>
  <r>
    <s v="406-6129781-3369945"/>
    <s v="23/11/2022"/>
    <x v="0"/>
    <x v="75"/>
    <x v="23"/>
    <x v="7"/>
    <x v="0"/>
    <s v="BENGALURU"/>
    <x v="5"/>
    <n v="799"/>
    <n v="205"/>
    <n v="594"/>
    <n v="240"/>
    <n v="354"/>
  </r>
  <r>
    <s v="406-7361833-1555515"/>
    <s v="23/11/2022"/>
    <x v="0"/>
    <x v="83"/>
    <x v="23"/>
    <x v="7"/>
    <x v="0"/>
    <s v="BARARA"/>
    <x v="15"/>
    <n v="899"/>
    <n v="295"/>
    <n v="604"/>
    <n v="240"/>
    <n v="364"/>
  </r>
  <r>
    <s v="403-7266136-9285951"/>
    <s v="24/11/2022"/>
    <x v="0"/>
    <x v="128"/>
    <x v="22"/>
    <x v="7"/>
    <x v="0"/>
    <s v="CHOWWARA"/>
    <x v="9"/>
    <n v="999"/>
    <n v="325"/>
    <n v="674"/>
    <n v="240"/>
    <n v="434"/>
  </r>
  <r>
    <s v="408-5569192-4084313"/>
    <s v="24/11/2022"/>
    <x v="0"/>
    <x v="31"/>
    <x v="22"/>
    <x v="7"/>
    <x v="0"/>
    <s v="TIRUCHIRAPPALLI"/>
    <x v="7"/>
    <n v="759.05"/>
    <n v="202"/>
    <n v="557.04999999999995"/>
    <n v="240"/>
    <n v="317.04999999999995"/>
  </r>
  <r>
    <s v="405-2857747-8631552"/>
    <s v="24/11/2022"/>
    <x v="0"/>
    <x v="68"/>
    <x v="22"/>
    <x v="7"/>
    <x v="0"/>
    <s v="JAMSHEDPUR"/>
    <x v="11"/>
    <n v="799"/>
    <n v="205"/>
    <n v="594"/>
    <n v="240"/>
    <n v="354"/>
  </r>
  <r>
    <s v="408-1502975-0641151"/>
    <s v="23/11/2022"/>
    <x v="0"/>
    <x v="151"/>
    <x v="23"/>
    <x v="7"/>
    <x v="0"/>
    <s v="COIMBATORE"/>
    <x v="7"/>
    <n v="799"/>
    <n v="205"/>
    <n v="594"/>
    <n v="240"/>
    <n v="354"/>
  </r>
  <r>
    <s v="407-5810819-2951510"/>
    <s v="24/11/2022"/>
    <x v="0"/>
    <x v="15"/>
    <x v="22"/>
    <x v="7"/>
    <x v="0"/>
    <s v="CHENNAI"/>
    <x v="7"/>
    <n v="806.55"/>
    <n v="227"/>
    <n v="579.54999999999995"/>
    <n v="240"/>
    <n v="339.54999999999995"/>
  </r>
  <r>
    <s v="408-9715943-8735512"/>
    <s v="25/11/2022"/>
    <x v="2"/>
    <x v="239"/>
    <x v="24"/>
    <x v="7"/>
    <x v="0"/>
    <s v="VADODARA"/>
    <x v="3"/>
    <n v="0"/>
    <n v="0"/>
    <n v="0"/>
    <n v="0"/>
    <n v="0"/>
  </r>
  <r>
    <s v="402-6429644-6243536"/>
    <s v="25/11/2022"/>
    <x v="2"/>
    <x v="81"/>
    <x v="24"/>
    <x v="7"/>
    <x v="0"/>
    <s v="ICHAK"/>
    <x v="11"/>
    <n v="0"/>
    <n v="0"/>
    <n v="0"/>
    <n v="0"/>
    <n v="0"/>
  </r>
  <r>
    <s v="407-6027160-6689127"/>
    <s v="17/11/2022"/>
    <x v="3"/>
    <x v="68"/>
    <x v="16"/>
    <x v="7"/>
    <x v="0"/>
    <s v="VIJAPURA"/>
    <x v="5"/>
    <n v="-799"/>
    <n v="320"/>
    <n v="-479"/>
    <n v="240"/>
    <n v="-239"/>
  </r>
  <r>
    <s v="403-8208152-5044300"/>
    <s v="21/11/2022"/>
    <x v="3"/>
    <x v="136"/>
    <x v="20"/>
    <x v="7"/>
    <x v="0"/>
    <s v="PATNA"/>
    <x v="0"/>
    <n v="-849"/>
    <n v="345"/>
    <n v="-504"/>
    <n v="240"/>
    <n v="-264"/>
  </r>
  <r>
    <s v="403-4174359-6670744"/>
    <s v="25/11/2022"/>
    <x v="0"/>
    <x v="124"/>
    <x v="24"/>
    <x v="7"/>
    <x v="0"/>
    <s v="SECUNDERABAD"/>
    <x v="8"/>
    <n v="999"/>
    <n v="325"/>
    <n v="674"/>
    <n v="240"/>
    <n v="434"/>
  </r>
  <r>
    <s v="402-7080649-7773111"/>
    <s v="25/11/2022"/>
    <x v="0"/>
    <x v="25"/>
    <x v="24"/>
    <x v="7"/>
    <x v="0"/>
    <s v="ICHAK"/>
    <x v="11"/>
    <n v="759.05"/>
    <n v="202"/>
    <n v="557.04999999999995"/>
    <n v="240"/>
    <n v="317.04999999999995"/>
  </r>
  <r>
    <s v="404-8213571-3932302"/>
    <s v="24/11/2022"/>
    <x v="0"/>
    <x v="137"/>
    <x v="22"/>
    <x v="7"/>
    <x v="0"/>
    <s v="Mangaluru"/>
    <x v="5"/>
    <n v="849"/>
    <n v="250"/>
    <n v="599"/>
    <n v="240"/>
    <n v="359"/>
  </r>
  <r>
    <s v="406-8152172-7377915"/>
    <s v="25/11/2022"/>
    <x v="0"/>
    <x v="69"/>
    <x v="24"/>
    <x v="7"/>
    <x v="0"/>
    <s v="GUNTUR"/>
    <x v="2"/>
    <n v="806.55"/>
    <n v="227"/>
    <n v="579.54999999999995"/>
    <n v="240"/>
    <n v="339.54999999999995"/>
  </r>
  <r>
    <s v="403-6631987-9685937"/>
    <s v="25/11/2022"/>
    <x v="0"/>
    <x v="137"/>
    <x v="24"/>
    <x v="7"/>
    <x v="0"/>
    <s v="AURANGABAD"/>
    <x v="6"/>
    <n v="849"/>
    <n v="250"/>
    <n v="599"/>
    <n v="240"/>
    <n v="359"/>
  </r>
  <r>
    <s v="403-3066814-7474706"/>
    <s v="25/11/2022"/>
    <x v="0"/>
    <x v="206"/>
    <x v="24"/>
    <x v="7"/>
    <x v="0"/>
    <s v="FARIDABAD"/>
    <x v="15"/>
    <n v="854.05"/>
    <n v="270"/>
    <n v="584.04999999999995"/>
    <n v="240"/>
    <n v="344.04999999999995"/>
  </r>
  <r>
    <s v="404-6115483-0788349"/>
    <s v="25/11/2022"/>
    <x v="0"/>
    <x v="126"/>
    <x v="24"/>
    <x v="7"/>
    <x v="0"/>
    <s v="HYDERABAD"/>
    <x v="8"/>
    <n v="849"/>
    <n v="250"/>
    <n v="599"/>
    <n v="240"/>
    <n v="359"/>
  </r>
  <r>
    <s v="404-7448233-2488332"/>
    <s v="25/11/2022"/>
    <x v="0"/>
    <x v="81"/>
    <x v="24"/>
    <x v="7"/>
    <x v="0"/>
    <s v="GANDHINAGAR"/>
    <x v="3"/>
    <n v="799"/>
    <n v="205"/>
    <n v="594"/>
    <n v="240"/>
    <n v="354"/>
  </r>
  <r>
    <s v="402-3944796-4381126"/>
    <s v="25/11/2022"/>
    <x v="0"/>
    <x v="83"/>
    <x v="24"/>
    <x v="7"/>
    <x v="0"/>
    <s v="CHENNAI"/>
    <x v="7"/>
    <n v="854.05"/>
    <n v="270"/>
    <n v="584.04999999999995"/>
    <n v="240"/>
    <n v="344.04999999999995"/>
  </r>
  <r>
    <s v="403-1457116-2640311"/>
    <s v="25/11/2022"/>
    <x v="0"/>
    <x v="59"/>
    <x v="24"/>
    <x v="7"/>
    <x v="0"/>
    <s v="NEW DELHI"/>
    <x v="16"/>
    <n v="854.05"/>
    <n v="270"/>
    <n v="584.04999999999995"/>
    <n v="240"/>
    <n v="344.04999999999995"/>
  </r>
  <r>
    <s v="171-0049884-5863528"/>
    <s v="24/11/2022"/>
    <x v="3"/>
    <x v="237"/>
    <x v="22"/>
    <x v="7"/>
    <x v="0"/>
    <s v="BELA PRATAPGARH"/>
    <x v="1"/>
    <n v="-799"/>
    <n v="320"/>
    <n v="-479"/>
    <n v="240"/>
    <n v="-239"/>
  </r>
  <r>
    <s v="403-6744003-5005109"/>
    <s v="26/11/2022"/>
    <x v="2"/>
    <x v="236"/>
    <x v="25"/>
    <x v="7"/>
    <x v="0"/>
    <s v="kadapa"/>
    <x v="2"/>
    <n v="0"/>
    <n v="0"/>
    <n v="0"/>
    <n v="0"/>
    <n v="0"/>
  </r>
  <r>
    <s v="405-2009973-3223556"/>
    <s v="13/11/2022"/>
    <x v="3"/>
    <x v="137"/>
    <x v="12"/>
    <x v="7"/>
    <x v="0"/>
    <s v="PIMPRI CHINCHWAD"/>
    <x v="6"/>
    <n v="-849"/>
    <n v="345"/>
    <n v="-504"/>
    <n v="240"/>
    <n v="-264"/>
  </r>
  <r>
    <s v="403-8021572-9061922"/>
    <s v="26/11/2022"/>
    <x v="2"/>
    <x v="211"/>
    <x v="25"/>
    <x v="7"/>
    <x v="0"/>
    <s v="KARWAR"/>
    <x v="5"/>
    <n v="0"/>
    <n v="0"/>
    <n v="0"/>
    <n v="0"/>
    <n v="0"/>
  </r>
  <r>
    <s v="403-9913297-6239523"/>
    <s v="20/11/2022"/>
    <x v="3"/>
    <x v="25"/>
    <x v="19"/>
    <x v="7"/>
    <x v="0"/>
    <s v="BENGALURU"/>
    <x v="5"/>
    <n v="-759.05"/>
    <n v="320"/>
    <n v="-439.04999999999995"/>
    <n v="240"/>
    <n v="-199.04999999999995"/>
  </r>
  <r>
    <s v="171-2128501-7125109"/>
    <s v="14/11/2022"/>
    <x v="3"/>
    <x v="136"/>
    <x v="13"/>
    <x v="7"/>
    <x v="0"/>
    <s v="Pune"/>
    <x v="6"/>
    <n v="-849"/>
    <n v="345"/>
    <n v="-504"/>
    <n v="240"/>
    <n v="-264"/>
  </r>
  <r>
    <s v="403-8495682-1285915"/>
    <s v="21/11/2022"/>
    <x v="3"/>
    <x v="69"/>
    <x v="20"/>
    <x v="7"/>
    <x v="0"/>
    <s v="GONDA"/>
    <x v="1"/>
    <n v="-849"/>
    <n v="345"/>
    <n v="-504"/>
    <n v="240"/>
    <n v="-264"/>
  </r>
  <r>
    <s v="402-1291473-4154746"/>
    <s v="20/11/2022"/>
    <x v="3"/>
    <x v="256"/>
    <x v="19"/>
    <x v="7"/>
    <x v="0"/>
    <s v="KALYAN Dombivali"/>
    <x v="6"/>
    <n v="-799"/>
    <n v="320"/>
    <n v="-479"/>
    <n v="240"/>
    <n v="-239"/>
  </r>
  <r>
    <s v="407-0519524-6147522"/>
    <s v="27/11/2022"/>
    <x v="0"/>
    <x v="15"/>
    <x v="26"/>
    <x v="7"/>
    <x v="0"/>
    <s v="GURUGRAM"/>
    <x v="15"/>
    <n v="806.55"/>
    <n v="227"/>
    <n v="579.54999999999995"/>
    <n v="240"/>
    <n v="339.54999999999995"/>
  </r>
  <r>
    <s v="408-5046669-9763502"/>
    <s v="26/11/2022"/>
    <x v="1"/>
    <x v="88"/>
    <x v="25"/>
    <x v="7"/>
    <x v="0"/>
    <s v="BHUSAWAL"/>
    <x v="6"/>
    <n v="0"/>
    <n v="0"/>
    <n v="0"/>
    <n v="0"/>
    <n v="0"/>
  </r>
  <r>
    <s v="403-2125859-4861923"/>
    <s v="26/11/2022"/>
    <x v="0"/>
    <x v="236"/>
    <x v="25"/>
    <x v="7"/>
    <x v="0"/>
    <s v="kadapa"/>
    <x v="2"/>
    <n v="849"/>
    <n v="250"/>
    <n v="599"/>
    <n v="240"/>
    <n v="359"/>
  </r>
  <r>
    <s v="405-1433648-0573912"/>
    <s v="26/11/2022"/>
    <x v="0"/>
    <x v="12"/>
    <x v="25"/>
    <x v="7"/>
    <x v="0"/>
    <s v="JHUNJHUNUN"/>
    <x v="10"/>
    <n v="849"/>
    <n v="250"/>
    <n v="599"/>
    <n v="240"/>
    <n v="359"/>
  </r>
  <r>
    <s v="403-7386640-5845937"/>
    <s v="26/11/2022"/>
    <x v="0"/>
    <x v="154"/>
    <x v="25"/>
    <x v="7"/>
    <x v="0"/>
    <s v="NASHIK"/>
    <x v="6"/>
    <n v="799"/>
    <n v="205"/>
    <n v="594"/>
    <n v="240"/>
    <n v="354"/>
  </r>
  <r>
    <s v="407-5598834-2561951"/>
    <s v="26/11/2022"/>
    <x v="0"/>
    <x v="98"/>
    <x v="25"/>
    <x v="7"/>
    <x v="0"/>
    <s v="INDORE"/>
    <x v="13"/>
    <n v="899"/>
    <n v="295"/>
    <n v="604"/>
    <n v="240"/>
    <n v="364"/>
  </r>
  <r>
    <s v="408-6884169-4804321"/>
    <s v="27/11/2022"/>
    <x v="0"/>
    <x v="128"/>
    <x v="26"/>
    <x v="7"/>
    <x v="0"/>
    <s v="RANCHI"/>
    <x v="11"/>
    <n v="949.05"/>
    <n v="306"/>
    <n v="643.04999999999995"/>
    <n v="240"/>
    <n v="403.04999999999995"/>
  </r>
  <r>
    <s v="403-7022027-0949129"/>
    <s v="26/11/2022"/>
    <x v="0"/>
    <x v="95"/>
    <x v="25"/>
    <x v="7"/>
    <x v="0"/>
    <s v="ZIRAKPUR"/>
    <x v="26"/>
    <n v="899"/>
    <n v="295"/>
    <n v="604"/>
    <n v="240"/>
    <n v="364"/>
  </r>
  <r>
    <s v="404-1244778-4058750"/>
    <s v="26/11/2022"/>
    <x v="0"/>
    <x v="80"/>
    <x v="25"/>
    <x v="7"/>
    <x v="0"/>
    <s v="BADLAPUR"/>
    <x v="6"/>
    <n v="899"/>
    <n v="295"/>
    <n v="604"/>
    <n v="240"/>
    <n v="364"/>
  </r>
  <r>
    <s v="404-5464995-4244358"/>
    <s v="15/11/2022"/>
    <x v="3"/>
    <x v="81"/>
    <x v="14"/>
    <x v="7"/>
    <x v="0"/>
    <s v="AMBEHTA"/>
    <x v="1"/>
    <n v="-759.05"/>
    <n v="320"/>
    <n v="-439.04999999999995"/>
    <n v="240"/>
    <n v="-199.04999999999995"/>
  </r>
  <r>
    <s v="403-6572828-9709901"/>
    <s v="23/11/2022"/>
    <x v="3"/>
    <x v="213"/>
    <x v="23"/>
    <x v="7"/>
    <x v="0"/>
    <s v="AURAIYA"/>
    <x v="1"/>
    <n v="-799"/>
    <n v="320"/>
    <n v="-479"/>
    <n v="240"/>
    <n v="-239"/>
  </r>
  <r>
    <s v="403-6572828-9709901"/>
    <s v="23/11/2022"/>
    <x v="3"/>
    <x v="172"/>
    <x v="23"/>
    <x v="7"/>
    <x v="0"/>
    <s v="AURAIYA"/>
    <x v="1"/>
    <n v="-799"/>
    <n v="320"/>
    <n v="-479"/>
    <n v="240"/>
    <n v="-239"/>
  </r>
  <r>
    <s v="171-0869423-8581944"/>
    <s v="21/11/2022"/>
    <x v="2"/>
    <x v="263"/>
    <x v="20"/>
    <x v="7"/>
    <x v="0"/>
    <s v="NAHARLAGUN"/>
    <x v="34"/>
    <n v="0"/>
    <n v="0"/>
    <n v="0"/>
    <n v="0"/>
    <n v="0"/>
  </r>
  <r>
    <s v="171-0869423-8581944"/>
    <s v="21/11/2022"/>
    <x v="2"/>
    <x v="189"/>
    <x v="20"/>
    <x v="7"/>
    <x v="0"/>
    <s v="NAHARLAGUN"/>
    <x v="34"/>
    <n v="0"/>
    <n v="0"/>
    <n v="0"/>
    <n v="0"/>
    <n v="0"/>
  </r>
  <r>
    <s v="403-7995053-4940306"/>
    <s v="21/11/2022"/>
    <x v="3"/>
    <x v="147"/>
    <x v="20"/>
    <x v="7"/>
    <x v="0"/>
    <s v="LUCKNOW"/>
    <x v="1"/>
    <n v="-799"/>
    <n v="320"/>
    <n v="-479"/>
    <n v="240"/>
    <n v="-239"/>
  </r>
  <r>
    <s v="171-9641921-4321106"/>
    <s v="21/11/2022"/>
    <x v="3"/>
    <x v="68"/>
    <x v="20"/>
    <x v="7"/>
    <x v="0"/>
    <s v="NAVI MUMBAI"/>
    <x v="6"/>
    <n v="-759.05"/>
    <n v="320"/>
    <n v="-439.04999999999995"/>
    <n v="240"/>
    <n v="-199.04999999999995"/>
  </r>
  <r>
    <s v="171-6939365-9373168"/>
    <s v="20/11/2022"/>
    <x v="3"/>
    <x v="81"/>
    <x v="19"/>
    <x v="7"/>
    <x v="0"/>
    <s v="GURUGRAM"/>
    <x v="15"/>
    <n v="-799"/>
    <n v="320"/>
    <n v="-479"/>
    <n v="240"/>
    <n v="-239"/>
  </r>
  <r>
    <s v="408-2212803-1613100"/>
    <s v="27/11/2022"/>
    <x v="1"/>
    <x v="80"/>
    <x v="26"/>
    <x v="7"/>
    <x v="0"/>
    <s v="SATHUPALLY"/>
    <x v="8"/>
    <n v="0"/>
    <n v="0"/>
    <n v="0"/>
    <n v="0"/>
    <n v="0"/>
  </r>
  <r>
    <s v="407-0948154-4007517"/>
    <s v="27/11/2022"/>
    <x v="0"/>
    <x v="124"/>
    <x v="26"/>
    <x v="7"/>
    <x v="0"/>
    <s v="Ludhiana"/>
    <x v="26"/>
    <n v="999"/>
    <n v="325"/>
    <n v="674"/>
    <n v="240"/>
    <n v="434"/>
  </r>
  <r>
    <s v="406-9292118-3449100"/>
    <s v="27/11/2022"/>
    <x v="0"/>
    <x v="147"/>
    <x v="26"/>
    <x v="7"/>
    <x v="0"/>
    <s v="DHAULPUR"/>
    <x v="10"/>
    <n v="799"/>
    <n v="205"/>
    <n v="594"/>
    <n v="240"/>
    <n v="354"/>
  </r>
  <r>
    <s v="405-3841146-1501133"/>
    <s v="27/11/2022"/>
    <x v="0"/>
    <x v="123"/>
    <x v="26"/>
    <x v="7"/>
    <x v="0"/>
    <s v="RANCHI"/>
    <x v="11"/>
    <n v="999"/>
    <n v="325"/>
    <n v="674"/>
    <n v="240"/>
    <n v="434"/>
  </r>
  <r>
    <s v="407-5945232-6646769"/>
    <s v="27/11/2022"/>
    <x v="0"/>
    <x v="126"/>
    <x v="26"/>
    <x v="7"/>
    <x v="0"/>
    <s v="HYDERABAD"/>
    <x v="8"/>
    <n v="849"/>
    <n v="250"/>
    <n v="599"/>
    <n v="240"/>
    <n v="359"/>
  </r>
  <r>
    <s v="402-4070674-5269921"/>
    <s v="27/11/2022"/>
    <x v="0"/>
    <x v="137"/>
    <x v="26"/>
    <x v="7"/>
    <x v="0"/>
    <s v="KOLKATA"/>
    <x v="18"/>
    <n v="849"/>
    <n v="250"/>
    <n v="599"/>
    <n v="240"/>
    <n v="359"/>
  </r>
  <r>
    <s v="403-8190320-6522724"/>
    <s v="27/11/2022"/>
    <x v="0"/>
    <x v="123"/>
    <x v="26"/>
    <x v="7"/>
    <x v="0"/>
    <s v="NEW DELHI"/>
    <x v="16"/>
    <n v="949.05"/>
    <n v="306"/>
    <n v="643.04999999999995"/>
    <n v="240"/>
    <n v="403.04999999999995"/>
  </r>
  <r>
    <s v="406-9197817-8682718"/>
    <s v="27/11/2022"/>
    <x v="0"/>
    <x v="148"/>
    <x v="26"/>
    <x v="7"/>
    <x v="0"/>
    <s v="TEZPUR"/>
    <x v="4"/>
    <n v="799"/>
    <n v="205"/>
    <n v="594"/>
    <n v="240"/>
    <n v="354"/>
  </r>
  <r>
    <s v="405-3116441-7273159"/>
    <s v="27/11/2022"/>
    <x v="0"/>
    <x v="15"/>
    <x v="26"/>
    <x v="7"/>
    <x v="0"/>
    <s v="MEHATPUR"/>
    <x v="22"/>
    <n v="806.55"/>
    <n v="227"/>
    <n v="579.54999999999995"/>
    <n v="240"/>
    <n v="339.54999999999995"/>
  </r>
  <r>
    <s v="404-3693594-0209933"/>
    <s v="27/11/2022"/>
    <x v="0"/>
    <x v="193"/>
    <x v="26"/>
    <x v="7"/>
    <x v="0"/>
    <s v="VADODARA"/>
    <x v="3"/>
    <n v="799"/>
    <n v="205"/>
    <n v="594"/>
    <n v="240"/>
    <n v="354"/>
  </r>
  <r>
    <s v="402-0357356-5229962"/>
    <s v="27/11/2022"/>
    <x v="0"/>
    <x v="120"/>
    <x v="26"/>
    <x v="7"/>
    <x v="0"/>
    <s v="VADODARA"/>
    <x v="3"/>
    <n v="849"/>
    <n v="250"/>
    <n v="599"/>
    <n v="240"/>
    <n v="359"/>
  </r>
  <r>
    <s v="171-1514047-3169127"/>
    <s v="27/11/2022"/>
    <x v="0"/>
    <x v="244"/>
    <x v="26"/>
    <x v="7"/>
    <x v="0"/>
    <s v="PAITHAN"/>
    <x v="6"/>
    <n v="799"/>
    <n v="205"/>
    <n v="594"/>
    <n v="240"/>
    <n v="354"/>
  </r>
  <r>
    <s v="407-2397415-0469939"/>
    <s v="27/11/2022"/>
    <x v="0"/>
    <x v="69"/>
    <x v="26"/>
    <x v="7"/>
    <x v="0"/>
    <s v="New Delhi"/>
    <x v="16"/>
    <n v="806.55"/>
    <n v="227"/>
    <n v="579.54999999999995"/>
    <n v="240"/>
    <n v="339.54999999999995"/>
  </r>
  <r>
    <s v="404-2691375-9645146"/>
    <s v="27/11/2022"/>
    <x v="0"/>
    <x v="120"/>
    <x v="26"/>
    <x v="7"/>
    <x v="0"/>
    <s v="PILANI TOWN"/>
    <x v="10"/>
    <n v="849"/>
    <n v="250"/>
    <n v="599"/>
    <n v="240"/>
    <n v="359"/>
  </r>
  <r>
    <s v="405-5694515-2957115"/>
    <s v="21/11/2022"/>
    <x v="3"/>
    <x v="25"/>
    <x v="20"/>
    <x v="7"/>
    <x v="0"/>
    <s v="PHULERA"/>
    <x v="10"/>
    <n v="-759.05"/>
    <n v="320"/>
    <n v="-439.04999999999995"/>
    <n v="240"/>
    <n v="-199.04999999999995"/>
  </r>
  <r>
    <s v="171-1865035-3303537"/>
    <s v="21/11/2022"/>
    <x v="3"/>
    <x v="137"/>
    <x v="20"/>
    <x v="7"/>
    <x v="0"/>
    <s v="MAYUR VIHAR PHASE 1"/>
    <x v="16"/>
    <n v="-849"/>
    <n v="345"/>
    <n v="-504"/>
    <n v="240"/>
    <n v="-264"/>
  </r>
  <r>
    <s v="403-0968081-3088309"/>
    <s v="16/11/2022"/>
    <x v="3"/>
    <x v="123"/>
    <x v="15"/>
    <x v="7"/>
    <x v="0"/>
    <s v="MUMBAI"/>
    <x v="6"/>
    <n v="-949.05"/>
    <n v="395"/>
    <n v="-554.04999999999995"/>
    <n v="240"/>
    <n v="-314.04999999999995"/>
  </r>
  <r>
    <s v="404-7247536-2615548"/>
    <s v="21/11/2022"/>
    <x v="2"/>
    <x v="115"/>
    <x v="20"/>
    <x v="7"/>
    <x v="0"/>
    <s v="NEW DELHI"/>
    <x v="16"/>
    <n v="0"/>
    <n v="0"/>
    <n v="0"/>
    <n v="0"/>
    <n v="0"/>
  </r>
  <r>
    <s v="407-8526968-9951507"/>
    <s v="28/11/2022"/>
    <x v="0"/>
    <x v="44"/>
    <x v="27"/>
    <x v="7"/>
    <x v="0"/>
    <s v="BHARUCH"/>
    <x v="3"/>
    <n v="899"/>
    <n v="295"/>
    <n v="604"/>
    <n v="240"/>
    <n v="364"/>
  </r>
  <r>
    <s v="402-2268406-9842732"/>
    <s v="28/11/2022"/>
    <x v="0"/>
    <x v="253"/>
    <x v="27"/>
    <x v="7"/>
    <x v="0"/>
    <s v="NANDIVARAM GUDUVANCHERI"/>
    <x v="7"/>
    <n v="799"/>
    <n v="205"/>
    <n v="594"/>
    <n v="240"/>
    <n v="354"/>
  </r>
  <r>
    <s v="405-9053017-0892339"/>
    <s v="28/11/2022"/>
    <x v="0"/>
    <x v="187"/>
    <x v="27"/>
    <x v="7"/>
    <x v="0"/>
    <s v="MUZAFFARPUR"/>
    <x v="0"/>
    <n v="799"/>
    <n v="205"/>
    <n v="594"/>
    <n v="240"/>
    <n v="354"/>
  </r>
  <r>
    <s v="408-4453037-7618752"/>
    <s v="28/11/2022"/>
    <x v="0"/>
    <x v="15"/>
    <x v="27"/>
    <x v="7"/>
    <x v="0"/>
    <s v="Surat"/>
    <x v="3"/>
    <n v="849"/>
    <n v="250"/>
    <n v="599"/>
    <n v="240"/>
    <n v="359"/>
  </r>
  <r>
    <s v="406-8313860-7334723"/>
    <s v="28/11/2022"/>
    <x v="0"/>
    <x v="137"/>
    <x v="27"/>
    <x v="7"/>
    <x v="0"/>
    <s v="MYSURU"/>
    <x v="5"/>
    <n v="849"/>
    <n v="250"/>
    <n v="599"/>
    <n v="240"/>
    <n v="359"/>
  </r>
  <r>
    <s v="408-7300586-9486717"/>
    <s v="28/11/2022"/>
    <x v="0"/>
    <x v="206"/>
    <x v="27"/>
    <x v="7"/>
    <x v="0"/>
    <s v="NEW DELHI"/>
    <x v="16"/>
    <n v="854.05"/>
    <n v="270"/>
    <n v="584.04999999999995"/>
    <n v="240"/>
    <n v="344.04999999999995"/>
  </r>
  <r>
    <s v="171-2259463-3095553"/>
    <s v="28/11/2022"/>
    <x v="0"/>
    <x v="23"/>
    <x v="27"/>
    <x v="7"/>
    <x v="0"/>
    <s v="PUNE"/>
    <x v="6"/>
    <n v="849"/>
    <n v="250"/>
    <n v="599"/>
    <n v="240"/>
    <n v="359"/>
  </r>
  <r>
    <s v="403-7266493-8515528"/>
    <s v="28/11/2022"/>
    <x v="0"/>
    <x v="264"/>
    <x v="27"/>
    <x v="7"/>
    <x v="0"/>
    <s v="BALAGHAT"/>
    <x v="13"/>
    <n v="999"/>
    <n v="325"/>
    <n v="674"/>
    <n v="240"/>
    <n v="434"/>
  </r>
  <r>
    <s v="407-8997151-3773104"/>
    <s v="28/11/2022"/>
    <x v="0"/>
    <x v="15"/>
    <x v="27"/>
    <x v="7"/>
    <x v="0"/>
    <s v="Shahada"/>
    <x v="6"/>
    <n v="849"/>
    <n v="250"/>
    <n v="599"/>
    <n v="240"/>
    <n v="359"/>
  </r>
  <r>
    <s v="407-8487980-3086730"/>
    <s v="28/11/2022"/>
    <x v="0"/>
    <x v="128"/>
    <x v="27"/>
    <x v="7"/>
    <x v="0"/>
    <s v="Shahada"/>
    <x v="6"/>
    <n v="999"/>
    <n v="325"/>
    <n v="674"/>
    <n v="240"/>
    <n v="434"/>
  </r>
  <r>
    <s v="408-8522091-3260307"/>
    <s v="27/11/2022"/>
    <x v="0"/>
    <x v="265"/>
    <x v="26"/>
    <x v="7"/>
    <x v="0"/>
    <s v="MUMBAI"/>
    <x v="6"/>
    <n v="799"/>
    <n v="205"/>
    <n v="594"/>
    <n v="240"/>
    <n v="354"/>
  </r>
  <r>
    <s v="408-9237391-7601158"/>
    <s v="27/11/2022"/>
    <x v="1"/>
    <x v="220"/>
    <x v="26"/>
    <x v="7"/>
    <x v="0"/>
    <s v="SOUTH GOA"/>
    <x v="21"/>
    <n v="0"/>
    <n v="0"/>
    <n v="0"/>
    <n v="0"/>
    <n v="0"/>
  </r>
  <r>
    <s v="402-3337563-7345110"/>
    <s v="28/11/2022"/>
    <x v="0"/>
    <x v="232"/>
    <x v="27"/>
    <x v="7"/>
    <x v="0"/>
    <s v="CHITTOOR district"/>
    <x v="2"/>
    <n v="849"/>
    <n v="250"/>
    <n v="599"/>
    <n v="240"/>
    <n v="359"/>
  </r>
  <r>
    <s v="402-5841414-1665924"/>
    <s v="27/11/2022"/>
    <x v="0"/>
    <x v="266"/>
    <x v="26"/>
    <x v="7"/>
    <x v="0"/>
    <s v="NAVI MUMBAI"/>
    <x v="6"/>
    <n v="799"/>
    <n v="205"/>
    <n v="594"/>
    <n v="240"/>
    <n v="354"/>
  </r>
  <r>
    <s v="405-1018360-4508317"/>
    <s v="28/11/2022"/>
    <x v="0"/>
    <x v="15"/>
    <x v="27"/>
    <x v="7"/>
    <x v="0"/>
    <s v="Anpara"/>
    <x v="1"/>
    <n v="806.55"/>
    <n v="227"/>
    <n v="579.54999999999995"/>
    <n v="240"/>
    <n v="339.54999999999995"/>
  </r>
  <r>
    <s v="402-0669368-6406748"/>
    <s v="28/11/2022"/>
    <x v="0"/>
    <x v="241"/>
    <x v="27"/>
    <x v="7"/>
    <x v="0"/>
    <s v="HYDERABAD"/>
    <x v="8"/>
    <n v="759.05"/>
    <n v="202"/>
    <n v="557.04999999999995"/>
    <n v="240"/>
    <n v="317.04999999999995"/>
  </r>
  <r>
    <s v="405-9525876-4196307"/>
    <s v="24/11/2022"/>
    <x v="3"/>
    <x v="15"/>
    <x v="22"/>
    <x v="7"/>
    <x v="0"/>
    <s v="NEW DELHI"/>
    <x v="16"/>
    <n v="-849"/>
    <n v="345"/>
    <n v="-504"/>
    <n v="240"/>
    <n v="-264"/>
  </r>
  <r>
    <s v="171-6713560-3772329"/>
    <s v="23/11/2022"/>
    <x v="3"/>
    <x v="171"/>
    <x v="23"/>
    <x v="7"/>
    <x v="0"/>
    <s v="HYDERABAD"/>
    <x v="8"/>
    <n v="-799"/>
    <n v="320"/>
    <n v="-479"/>
    <n v="240"/>
    <n v="-239"/>
  </r>
  <r>
    <s v="405-4679153-2382700"/>
    <s v="20/11/2022"/>
    <x v="3"/>
    <x v="86"/>
    <x v="19"/>
    <x v="7"/>
    <x v="0"/>
    <s v="CHANNAPATNA"/>
    <x v="5"/>
    <n v="-899"/>
    <n v="375"/>
    <n v="-524"/>
    <n v="240"/>
    <n v="-284"/>
  </r>
  <r>
    <s v="408-9191020-7519541"/>
    <s v="22/11/2022"/>
    <x v="3"/>
    <x v="202"/>
    <x v="21"/>
    <x v="7"/>
    <x v="0"/>
    <s v="VADAKKANANDAL"/>
    <x v="7"/>
    <n v="-999"/>
    <n v="395"/>
    <n v="-604"/>
    <n v="240"/>
    <n v="-364"/>
  </r>
  <r>
    <s v="405-1370342-6533141"/>
    <s v="29/11/2022"/>
    <x v="2"/>
    <x v="161"/>
    <x v="28"/>
    <x v="7"/>
    <x v="0"/>
    <s v="Suri  Birbhum"/>
    <x v="18"/>
    <n v="0"/>
    <n v="0"/>
    <n v="0"/>
    <n v="0"/>
    <n v="0"/>
  </r>
  <r>
    <s v="407-7376980-6783511"/>
    <s v="12/11/2022"/>
    <x v="3"/>
    <x v="44"/>
    <x v="11"/>
    <x v="7"/>
    <x v="0"/>
    <s v="GUA"/>
    <x v="11"/>
    <n v="-899"/>
    <n v="375"/>
    <n v="-524"/>
    <n v="240"/>
    <n v="-284"/>
  </r>
  <r>
    <s v="407-5542298-9033917"/>
    <s v="29/11/2022"/>
    <x v="0"/>
    <x v="68"/>
    <x v="28"/>
    <x v="7"/>
    <x v="0"/>
    <s v="HYDERABAD"/>
    <x v="8"/>
    <n v="799"/>
    <n v="205"/>
    <n v="594"/>
    <n v="240"/>
    <n v="354"/>
  </r>
  <r>
    <s v="405-1370342-6533141"/>
    <s v="29/11/2022"/>
    <x v="0"/>
    <x v="161"/>
    <x v="28"/>
    <x v="7"/>
    <x v="0"/>
    <s v="Suri  Birbhum"/>
    <x v="18"/>
    <n v="799"/>
    <n v="205"/>
    <n v="594"/>
    <n v="240"/>
    <n v="354"/>
  </r>
  <r>
    <s v="171-0869423-8581944"/>
    <s v="27/11/2022"/>
    <x v="0"/>
    <x v="263"/>
    <x v="26"/>
    <x v="7"/>
    <x v="0"/>
    <s v="NAHARLAGUN"/>
    <x v="34"/>
    <n v="999"/>
    <n v="325"/>
    <n v="674"/>
    <n v="240"/>
    <n v="434"/>
  </r>
  <r>
    <s v="171-0869423-8581944"/>
    <s v="27/11/2022"/>
    <x v="0"/>
    <x v="189"/>
    <x v="26"/>
    <x v="7"/>
    <x v="0"/>
    <s v="NAHARLAGUN"/>
    <x v="34"/>
    <n v="799"/>
    <n v="205"/>
    <n v="594"/>
    <n v="240"/>
    <n v="354"/>
  </r>
  <r>
    <s v="403-5008394-7128368"/>
    <s v="29/11/2022"/>
    <x v="0"/>
    <x v="158"/>
    <x v="28"/>
    <x v="7"/>
    <x v="0"/>
    <s v="Pune"/>
    <x v="6"/>
    <n v="849"/>
    <n v="250"/>
    <n v="599"/>
    <n v="240"/>
    <n v="359"/>
  </r>
  <r>
    <s v="403-0201386-0346701"/>
    <s v="29/11/2022"/>
    <x v="0"/>
    <x v="148"/>
    <x v="28"/>
    <x v="7"/>
    <x v="0"/>
    <s v="Jaipur"/>
    <x v="10"/>
    <n v="799"/>
    <n v="205"/>
    <n v="594"/>
    <n v="240"/>
    <n v="354"/>
  </r>
  <r>
    <s v="408-6395270-2640358"/>
    <s v="29/11/2022"/>
    <x v="0"/>
    <x v="88"/>
    <x v="28"/>
    <x v="7"/>
    <x v="0"/>
    <s v="PARBHANI"/>
    <x v="6"/>
    <n v="854.05"/>
    <n v="270"/>
    <n v="584.04999999999995"/>
    <n v="240"/>
    <n v="344.04999999999995"/>
  </r>
  <r>
    <s v="405-5570908-3370738"/>
    <s v="29/11/2022"/>
    <x v="0"/>
    <x v="15"/>
    <x v="28"/>
    <x v="7"/>
    <x v="0"/>
    <s v="PUNE"/>
    <x v="6"/>
    <n v="806.55"/>
    <n v="227"/>
    <n v="579.54999999999995"/>
    <n v="240"/>
    <n v="339.54999999999995"/>
  </r>
  <r>
    <s v="402-2200185-3161911"/>
    <s v="29/11/2022"/>
    <x v="0"/>
    <x v="133"/>
    <x v="28"/>
    <x v="7"/>
    <x v="0"/>
    <s v="DELHI"/>
    <x v="16"/>
    <n v="759.05"/>
    <n v="202"/>
    <n v="557.04999999999995"/>
    <n v="240"/>
    <n v="317.04999999999995"/>
  </r>
  <r>
    <s v="402-9174823-8188349"/>
    <s v="29/11/2022"/>
    <x v="0"/>
    <x v="137"/>
    <x v="28"/>
    <x v="7"/>
    <x v="0"/>
    <s v="YEMMIGANUR"/>
    <x v="2"/>
    <n v="849"/>
    <n v="250"/>
    <n v="599"/>
    <n v="240"/>
    <n v="359"/>
  </r>
  <r>
    <s v="404-2264294-0406721"/>
    <s v="29/11/2022"/>
    <x v="0"/>
    <x v="31"/>
    <x v="28"/>
    <x v="7"/>
    <x v="0"/>
    <s v="BENGALURU"/>
    <x v="5"/>
    <n v="799"/>
    <n v="205"/>
    <n v="594"/>
    <n v="240"/>
    <n v="354"/>
  </r>
  <r>
    <s v="405-5404248-3552368"/>
    <s v="24/11/2022"/>
    <x v="3"/>
    <x v="120"/>
    <x v="22"/>
    <x v="7"/>
    <x v="0"/>
    <s v="PUNE"/>
    <x v="6"/>
    <n v="-849"/>
    <n v="345"/>
    <n v="-504"/>
    <n v="240"/>
    <n v="-264"/>
  </r>
  <r>
    <s v="407-5289087-3588344"/>
    <s v="21/11/2022"/>
    <x v="3"/>
    <x v="80"/>
    <x v="20"/>
    <x v="7"/>
    <x v="0"/>
    <s v="Gurdaspur"/>
    <x v="26"/>
    <n v="-854.05"/>
    <n v="345"/>
    <n v="-509.04999999999995"/>
    <n v="240"/>
    <n v="-269.04999999999995"/>
  </r>
  <r>
    <s v="403-1557458-6686718"/>
    <s v="23/11/2022"/>
    <x v="3"/>
    <x v="259"/>
    <x v="23"/>
    <x v="7"/>
    <x v="0"/>
    <s v="LUCKNOW"/>
    <x v="1"/>
    <n v="-799"/>
    <n v="320"/>
    <n v="-479"/>
    <n v="240"/>
    <n v="-239"/>
  </r>
  <r>
    <s v="402-7080649-7773111"/>
    <s v="25/11/2022"/>
    <x v="3"/>
    <x v="25"/>
    <x v="24"/>
    <x v="7"/>
    <x v="0"/>
    <s v="ICHAK"/>
    <x v="11"/>
    <n v="-759.05"/>
    <n v="320"/>
    <n v="-439.04999999999995"/>
    <n v="240"/>
    <n v="-199.04999999999995"/>
  </r>
  <r>
    <s v="407-6456151-5905131"/>
    <s v="23/11/2022"/>
    <x v="3"/>
    <x v="206"/>
    <x v="23"/>
    <x v="7"/>
    <x v="0"/>
    <s v="SABARKANTHA"/>
    <x v="3"/>
    <n v="-899"/>
    <n v="375"/>
    <n v="-524"/>
    <n v="240"/>
    <n v="-284"/>
  </r>
  <r>
    <s v="407-2790168-3688350"/>
    <s v="23/11/2022"/>
    <x v="3"/>
    <x v="83"/>
    <x v="23"/>
    <x v="7"/>
    <x v="0"/>
    <s v="SABARKANTHA"/>
    <x v="3"/>
    <n v="-854.05"/>
    <n v="345"/>
    <n v="-509.04999999999995"/>
    <n v="240"/>
    <n v="-269.04999999999995"/>
  </r>
  <r>
    <s v="407-1682402-6013127"/>
    <s v="30/11/2022"/>
    <x v="0"/>
    <x v="133"/>
    <x v="29"/>
    <x v="7"/>
    <x v="0"/>
    <s v="DARBHANGA"/>
    <x v="0"/>
    <n v="799"/>
    <n v="205"/>
    <n v="594"/>
    <n v="240"/>
    <n v="354"/>
  </r>
  <r>
    <s v="405-9705616-3429923"/>
    <s v="30/11/2022"/>
    <x v="0"/>
    <x v="147"/>
    <x v="29"/>
    <x v="7"/>
    <x v="0"/>
    <s v="LUCKNOW"/>
    <x v="1"/>
    <n v="799"/>
    <n v="205"/>
    <n v="594"/>
    <n v="240"/>
    <n v="354"/>
  </r>
  <r>
    <s v="407-4180931-3257964"/>
    <s v="30/11/2022"/>
    <x v="0"/>
    <x v="15"/>
    <x v="29"/>
    <x v="7"/>
    <x v="0"/>
    <s v="HANDIA"/>
    <x v="1"/>
    <n v="806.55"/>
    <n v="227"/>
    <n v="579.54999999999995"/>
    <n v="240"/>
    <n v="339.54999999999995"/>
  </r>
  <r>
    <s v="405-8690138-1064301"/>
    <s v="30/11/2022"/>
    <x v="0"/>
    <x v="15"/>
    <x v="29"/>
    <x v="7"/>
    <x v="0"/>
    <s v="BENGALURU"/>
    <x v="5"/>
    <n v="849"/>
    <n v="250"/>
    <n v="599"/>
    <n v="240"/>
    <n v="359"/>
  </r>
  <r>
    <s v="407-9686198-7206723"/>
    <s v="29/11/2022"/>
    <x v="0"/>
    <x v="145"/>
    <x v="28"/>
    <x v="7"/>
    <x v="0"/>
    <s v="PIMPRI CHINCHWAD"/>
    <x v="6"/>
    <n v="799"/>
    <n v="205"/>
    <n v="594"/>
    <n v="240"/>
    <n v="354"/>
  </r>
  <r>
    <s v="407-9686198-7206723"/>
    <s v="29/11/2022"/>
    <x v="0"/>
    <x v="229"/>
    <x v="28"/>
    <x v="7"/>
    <x v="0"/>
    <s v="PIMPRI CHINCHWAD"/>
    <x v="6"/>
    <n v="799"/>
    <n v="205"/>
    <n v="594"/>
    <n v="240"/>
    <n v="354"/>
  </r>
  <r>
    <s v="408-1032037-8935523"/>
    <s v="29/11/2022"/>
    <x v="0"/>
    <x v="137"/>
    <x v="28"/>
    <x v="7"/>
    <x v="0"/>
    <s v="INDORE"/>
    <x v="13"/>
    <n v="849"/>
    <n v="250"/>
    <n v="599"/>
    <n v="240"/>
    <n v="359"/>
  </r>
  <r>
    <s v="407-9686198-7206723"/>
    <s v="29/11/2022"/>
    <x v="0"/>
    <x v="187"/>
    <x v="28"/>
    <x v="7"/>
    <x v="0"/>
    <s v="PIMPRI CHINCHWAD"/>
    <x v="6"/>
    <n v="799"/>
    <n v="205"/>
    <n v="594"/>
    <n v="240"/>
    <n v="354"/>
  </r>
  <r>
    <s v="406-9517438-8266742"/>
    <s v="30/11/2022"/>
    <x v="0"/>
    <x v="133"/>
    <x v="29"/>
    <x v="7"/>
    <x v="0"/>
    <s v="Mahilpur"/>
    <x v="26"/>
    <n v="759.05"/>
    <n v="202"/>
    <n v="557.04999999999995"/>
    <n v="240"/>
    <n v="317.04999999999995"/>
  </r>
  <r>
    <s v="406-9463582-5993149"/>
    <s v="30/11/2022"/>
    <x v="0"/>
    <x v="81"/>
    <x v="29"/>
    <x v="7"/>
    <x v="0"/>
    <s v="MAHINDRA WORLD CITY"/>
    <x v="7"/>
    <n v="799"/>
    <n v="205"/>
    <n v="594"/>
    <n v="240"/>
    <n v="354"/>
  </r>
  <r>
    <s v="408-8215509-5022755"/>
    <s v="30/11/2022"/>
    <x v="0"/>
    <x v="74"/>
    <x v="29"/>
    <x v="7"/>
    <x v="0"/>
    <s v="BENGALURU"/>
    <x v="5"/>
    <n v="899"/>
    <n v="295"/>
    <n v="604"/>
    <n v="240"/>
    <n v="364"/>
  </r>
  <r>
    <s v="408-3205427-8669902"/>
    <s v="30/11/2022"/>
    <x v="0"/>
    <x v="79"/>
    <x v="29"/>
    <x v="7"/>
    <x v="0"/>
    <s v="UDUPI"/>
    <x v="5"/>
    <n v="854.05"/>
    <n v="270"/>
    <n v="584.04999999999995"/>
    <n v="240"/>
    <n v="344.04999999999995"/>
  </r>
  <r>
    <s v="171-0008329-2857162"/>
    <s v="30/11/2022"/>
    <x v="0"/>
    <x v="171"/>
    <x v="29"/>
    <x v="7"/>
    <x v="0"/>
    <s v="HYDERABAD"/>
    <x v="8"/>
    <n v="799"/>
    <n v="205"/>
    <n v="594"/>
    <n v="240"/>
    <n v="354"/>
  </r>
  <r>
    <s v="406-1139210-3175548"/>
    <s v="30/11/2022"/>
    <x v="0"/>
    <x v="31"/>
    <x v="29"/>
    <x v="7"/>
    <x v="0"/>
    <s v="Pune"/>
    <x v="6"/>
    <n v="759.05"/>
    <n v="202"/>
    <n v="557.04999999999995"/>
    <n v="240"/>
    <n v="317.04999999999995"/>
  </r>
  <r>
    <s v="402-5326544-0178735"/>
    <s v="30/11/2022"/>
    <x v="0"/>
    <x v="148"/>
    <x v="29"/>
    <x v="7"/>
    <x v="0"/>
    <s v="PUNE"/>
    <x v="6"/>
    <n v="799"/>
    <n v="205"/>
    <n v="594"/>
    <n v="240"/>
    <n v="354"/>
  </r>
  <r>
    <s v="408-1703005-1571560"/>
    <s v="30/11/2022"/>
    <x v="0"/>
    <x v="31"/>
    <x v="29"/>
    <x v="7"/>
    <x v="0"/>
    <s v="TENALI"/>
    <x v="2"/>
    <n v="759.05"/>
    <n v="202"/>
    <n v="557.04999999999995"/>
    <n v="240"/>
    <n v="317.04999999999995"/>
  </r>
  <r>
    <s v="405-8378385-7650752"/>
    <s v="30/11/2022"/>
    <x v="0"/>
    <x v="201"/>
    <x v="29"/>
    <x v="7"/>
    <x v="0"/>
    <s v="RUDRAPUR"/>
    <x v="24"/>
    <n v="799"/>
    <n v="205"/>
    <n v="594"/>
    <n v="240"/>
    <n v="354"/>
  </r>
  <r>
    <s v="171-6378643-7048355"/>
    <s v="30/10/2022"/>
    <x v="3"/>
    <x v="243"/>
    <x v="29"/>
    <x v="6"/>
    <x v="0"/>
    <s v="NAVI MUMBAI"/>
    <x v="6"/>
    <n v="-999"/>
    <n v="395"/>
    <n v="-604"/>
    <n v="240"/>
    <n v="-364"/>
  </r>
  <r>
    <s v="403-6478989-4368318"/>
    <s v="30/10/2022"/>
    <x v="3"/>
    <x v="242"/>
    <x v="29"/>
    <x v="6"/>
    <x v="0"/>
    <s v="NEW DELHI"/>
    <x v="16"/>
    <n v="-799"/>
    <n v="320"/>
    <n v="-479"/>
    <n v="240"/>
    <n v="-239"/>
  </r>
  <r>
    <s v="408-8585235-3010764"/>
    <s v="31/10/2022"/>
    <x v="3"/>
    <x v="155"/>
    <x v="30"/>
    <x v="6"/>
    <x v="0"/>
    <s v="CHENNAI"/>
    <x v="7"/>
    <n v="-849"/>
    <n v="345"/>
    <n v="-504"/>
    <n v="240"/>
    <n v="-264"/>
  </r>
  <r>
    <s v="402-3217570-2749145"/>
    <s v="31/10/2022"/>
    <x v="3"/>
    <x v="123"/>
    <x v="30"/>
    <x v="6"/>
    <x v="0"/>
    <s v="NELLORE"/>
    <x v="2"/>
    <n v="-949.05"/>
    <n v="395"/>
    <n v="-554.04999999999995"/>
    <n v="240"/>
    <n v="-314.04999999999995"/>
  </r>
  <r>
    <s v="171-8067943-0764346"/>
    <s v="30/10/2022"/>
    <x v="3"/>
    <x v="25"/>
    <x v="29"/>
    <x v="6"/>
    <x v="0"/>
    <s v="DEOBAND"/>
    <x v="1"/>
    <n v="-799"/>
    <n v="320"/>
    <n v="-479"/>
    <n v="240"/>
    <n v="-239"/>
  </r>
  <r>
    <s v="406-1483513-6206715"/>
    <s v="30/10/2022"/>
    <x v="3"/>
    <x v="164"/>
    <x v="29"/>
    <x v="6"/>
    <x v="0"/>
    <s v="HYDERABAD"/>
    <x v="8"/>
    <n v="-806.55"/>
    <n v="345"/>
    <n v="-461.54999999999995"/>
    <n v="240"/>
    <n v="-221.54999999999995"/>
  </r>
  <r>
    <s v="405-4610979-3111566"/>
    <s v="31/10/2022"/>
    <x v="3"/>
    <x v="121"/>
    <x v="30"/>
    <x v="6"/>
    <x v="0"/>
    <s v="Nadbai"/>
    <x v="10"/>
    <n v="-799"/>
    <n v="320"/>
    <n v="-479"/>
    <n v="240"/>
    <n v="-239"/>
  </r>
  <r>
    <s v="407-2236740-7228309"/>
    <s v="30/10/2022"/>
    <x v="3"/>
    <x v="164"/>
    <x v="29"/>
    <x v="6"/>
    <x v="0"/>
    <s v="PIMPRI CHINCHWAD"/>
    <x v="6"/>
    <n v="-849"/>
    <n v="345"/>
    <n v="-504"/>
    <n v="240"/>
    <n v="-264"/>
  </r>
  <r>
    <s v="405-4134995-1685156"/>
    <s v="01/12/2022"/>
    <x v="2"/>
    <x v="98"/>
    <x v="0"/>
    <x v="8"/>
    <x v="0"/>
    <s v="VISAKHAPATNAM"/>
    <x v="2"/>
    <n v="0"/>
    <n v="0"/>
    <n v="0"/>
    <n v="0"/>
    <n v="0"/>
  </r>
  <r>
    <s v="405-4941229-6049116"/>
    <s v="01/12/2022"/>
    <x v="0"/>
    <x v="267"/>
    <x v="0"/>
    <x v="8"/>
    <x v="0"/>
    <s v="SHEVGAON"/>
    <x v="6"/>
    <n v="999"/>
    <n v="325"/>
    <n v="674"/>
    <n v="240"/>
    <n v="434"/>
  </r>
  <r>
    <s v="406-7998381-2565113"/>
    <s v="01/12/2022"/>
    <x v="0"/>
    <x v="137"/>
    <x v="0"/>
    <x v="8"/>
    <x v="0"/>
    <s v="HYDERABAD"/>
    <x v="8"/>
    <n v="849"/>
    <n v="250"/>
    <n v="599"/>
    <n v="240"/>
    <n v="359"/>
  </r>
  <r>
    <s v="402-7043133-8526714"/>
    <s v="01/12/2022"/>
    <x v="0"/>
    <x v="154"/>
    <x v="0"/>
    <x v="8"/>
    <x v="0"/>
    <s v="NEW DELHI"/>
    <x v="16"/>
    <n v="799"/>
    <n v="205"/>
    <n v="594"/>
    <n v="240"/>
    <n v="354"/>
  </r>
  <r>
    <s v="408-5637680-1352346"/>
    <s v="01/12/2022"/>
    <x v="1"/>
    <x v="15"/>
    <x v="0"/>
    <x v="8"/>
    <x v="0"/>
    <s v="New Delhi"/>
    <x v="16"/>
    <n v="0"/>
    <n v="0"/>
    <n v="0"/>
    <n v="0"/>
    <n v="0"/>
  </r>
  <r>
    <s v="408-8214377-6609903"/>
    <s v="01/12/2022"/>
    <x v="0"/>
    <x v="12"/>
    <x v="0"/>
    <x v="8"/>
    <x v="0"/>
    <s v="BENGALURU"/>
    <x v="5"/>
    <n v="849"/>
    <n v="250"/>
    <n v="599"/>
    <n v="240"/>
    <n v="359"/>
  </r>
  <r>
    <s v="405-4134995-1685156"/>
    <s v="01/12/2022"/>
    <x v="0"/>
    <x v="98"/>
    <x v="0"/>
    <x v="8"/>
    <x v="0"/>
    <s v="VISAKHAPATNAM"/>
    <x v="2"/>
    <n v="854.05"/>
    <n v="270"/>
    <n v="584.04999999999995"/>
    <n v="240"/>
    <n v="344.04999999999995"/>
  </r>
  <r>
    <s v="405-9719757-5412317"/>
    <s v="01/12/2022"/>
    <x v="0"/>
    <x v="31"/>
    <x v="0"/>
    <x v="8"/>
    <x v="0"/>
    <s v="HARDA"/>
    <x v="13"/>
    <n v="759.05"/>
    <n v="202"/>
    <n v="557.04999999999995"/>
    <n v="240"/>
    <n v="317.04999999999995"/>
  </r>
  <r>
    <s v="402-9261732-7250736"/>
    <s v="01/12/2022"/>
    <x v="0"/>
    <x v="147"/>
    <x v="0"/>
    <x v="8"/>
    <x v="0"/>
    <s v="Ranchi"/>
    <x v="11"/>
    <n v="799"/>
    <n v="205"/>
    <n v="594"/>
    <n v="240"/>
    <n v="354"/>
  </r>
  <r>
    <s v="403-5067997-3962769"/>
    <s v="01/12/2022"/>
    <x v="0"/>
    <x v="59"/>
    <x v="0"/>
    <x v="8"/>
    <x v="0"/>
    <s v="Etah"/>
    <x v="1"/>
    <n v="899"/>
    <n v="295"/>
    <n v="604"/>
    <n v="240"/>
    <n v="364"/>
  </r>
  <r>
    <s v="402-9334987-8217140"/>
    <s v="02/12/2022"/>
    <x v="0"/>
    <x v="134"/>
    <x v="1"/>
    <x v="8"/>
    <x v="0"/>
    <s v="HYDERABAD"/>
    <x v="8"/>
    <n v="849"/>
    <n v="250"/>
    <n v="599"/>
    <n v="240"/>
    <n v="359"/>
  </r>
  <r>
    <s v="407-8756783-1513911"/>
    <s v="02/12/2022"/>
    <x v="0"/>
    <x v="59"/>
    <x v="1"/>
    <x v="8"/>
    <x v="0"/>
    <s v="LUCKNOW"/>
    <x v="1"/>
    <n v="854.05"/>
    <n v="270"/>
    <n v="584.04999999999995"/>
    <n v="240"/>
    <n v="344.04999999999995"/>
  </r>
  <r>
    <s v="403-2598141-8074726"/>
    <s v="02/12/2022"/>
    <x v="0"/>
    <x v="25"/>
    <x v="1"/>
    <x v="8"/>
    <x v="0"/>
    <s v="MUMBAI"/>
    <x v="6"/>
    <n v="799"/>
    <n v="205"/>
    <n v="594"/>
    <n v="240"/>
    <n v="354"/>
  </r>
  <r>
    <s v="408-0065641-7097969"/>
    <s v="02/12/2022"/>
    <x v="0"/>
    <x v="80"/>
    <x v="1"/>
    <x v="8"/>
    <x v="0"/>
    <s v="BENGALURU"/>
    <x v="5"/>
    <n v="899"/>
    <n v="295"/>
    <n v="604"/>
    <n v="240"/>
    <n v="364"/>
  </r>
  <r>
    <s v="403-0694498-5381154"/>
    <s v="02/12/2022"/>
    <x v="0"/>
    <x v="136"/>
    <x v="1"/>
    <x v="8"/>
    <x v="0"/>
    <s v="FATEHGARH CHURIAN"/>
    <x v="26"/>
    <n v="849"/>
    <n v="250"/>
    <n v="599"/>
    <n v="240"/>
    <n v="359"/>
  </r>
  <r>
    <s v="407-6696320-9019511"/>
    <s v="02/12/2022"/>
    <x v="0"/>
    <x v="184"/>
    <x v="1"/>
    <x v="8"/>
    <x v="0"/>
    <s v="PUNE"/>
    <x v="6"/>
    <n v="849"/>
    <n v="250"/>
    <n v="599"/>
    <n v="240"/>
    <n v="359"/>
  </r>
  <r>
    <s v="403-5288443-2545944"/>
    <s v="02/12/2022"/>
    <x v="0"/>
    <x v="59"/>
    <x v="1"/>
    <x v="8"/>
    <x v="0"/>
    <s v="NAVI MUMBAI"/>
    <x v="6"/>
    <n v="854.05"/>
    <n v="270"/>
    <n v="584.04999999999995"/>
    <n v="240"/>
    <n v="344.04999999999995"/>
  </r>
  <r>
    <s v="404-2149746-2764343"/>
    <s v="02/12/2022"/>
    <x v="0"/>
    <x v="124"/>
    <x v="1"/>
    <x v="8"/>
    <x v="0"/>
    <s v="PATNA"/>
    <x v="0"/>
    <n v="949.05"/>
    <n v="306"/>
    <n v="643.04999999999995"/>
    <n v="240"/>
    <n v="403.04999999999995"/>
  </r>
  <r>
    <s v="402-1186139-0296301"/>
    <s v="02/12/2022"/>
    <x v="0"/>
    <x v="154"/>
    <x v="1"/>
    <x v="8"/>
    <x v="0"/>
    <s v="HYDERABAD"/>
    <x v="8"/>
    <n v="799"/>
    <n v="205"/>
    <n v="594"/>
    <n v="240"/>
    <n v="354"/>
  </r>
  <r>
    <s v="405-9230965-9965946"/>
    <s v="02/12/2022"/>
    <x v="0"/>
    <x v="133"/>
    <x v="1"/>
    <x v="8"/>
    <x v="0"/>
    <s v="AMRAVATI"/>
    <x v="6"/>
    <n v="799"/>
    <n v="205"/>
    <n v="594"/>
    <n v="240"/>
    <n v="354"/>
  </r>
  <r>
    <s v="402-1149877-6288313"/>
    <s v="02/12/2022"/>
    <x v="0"/>
    <x v="184"/>
    <x v="1"/>
    <x v="8"/>
    <x v="0"/>
    <s v="MUMBAI"/>
    <x v="6"/>
    <n v="849"/>
    <n v="250"/>
    <n v="599"/>
    <n v="240"/>
    <n v="359"/>
  </r>
  <r>
    <s v="407-0189427-7742775"/>
    <s v="02/12/2022"/>
    <x v="0"/>
    <x v="80"/>
    <x v="1"/>
    <x v="8"/>
    <x v="0"/>
    <s v="Jaspur"/>
    <x v="24"/>
    <n v="854.05"/>
    <n v="270"/>
    <n v="584.04999999999995"/>
    <n v="240"/>
    <n v="344.04999999999995"/>
  </r>
  <r>
    <s v="171-2032945-1210700"/>
    <s v="03/12/2022"/>
    <x v="2"/>
    <x v="98"/>
    <x v="2"/>
    <x v="8"/>
    <x v="0"/>
    <s v="MAHESANA"/>
    <x v="3"/>
    <n v="0"/>
    <n v="0"/>
    <n v="0"/>
    <n v="0"/>
    <n v="0"/>
  </r>
  <r>
    <s v="408-0711306-3782731"/>
    <s v="03/12/2022"/>
    <x v="2"/>
    <x v="176"/>
    <x v="2"/>
    <x v="8"/>
    <x v="0"/>
    <s v="SHILLONG"/>
    <x v="23"/>
    <n v="0"/>
    <n v="0"/>
    <n v="0"/>
    <n v="0"/>
    <n v="0"/>
  </r>
  <r>
    <s v="407-1739341-2057133"/>
    <s v="03/12/2022"/>
    <x v="2"/>
    <x v="86"/>
    <x v="2"/>
    <x v="8"/>
    <x v="0"/>
    <s v="KANPUR"/>
    <x v="1"/>
    <n v="0"/>
    <n v="0"/>
    <n v="0"/>
    <n v="0"/>
    <n v="0"/>
  </r>
  <r>
    <s v="171-6884309-0431521"/>
    <s v="03/12/2022"/>
    <x v="0"/>
    <x v="31"/>
    <x v="2"/>
    <x v="8"/>
    <x v="0"/>
    <s v="KALYAN west"/>
    <x v="6"/>
    <n v="759.05"/>
    <n v="202"/>
    <n v="557.04999999999995"/>
    <n v="240"/>
    <n v="317.04999999999995"/>
  </r>
  <r>
    <s v="406-3966289-5562769"/>
    <s v="03/12/2022"/>
    <x v="0"/>
    <x v="128"/>
    <x v="2"/>
    <x v="8"/>
    <x v="0"/>
    <s v="VASAI VIRAR"/>
    <x v="6"/>
    <n v="999"/>
    <n v="325"/>
    <n v="674"/>
    <n v="240"/>
    <n v="434"/>
  </r>
  <r>
    <s v="402-6954920-6759524"/>
    <s v="03/12/2022"/>
    <x v="0"/>
    <x v="12"/>
    <x v="2"/>
    <x v="8"/>
    <x v="0"/>
    <s v="SIWANI"/>
    <x v="15"/>
    <n v="849"/>
    <n v="250"/>
    <n v="599"/>
    <n v="240"/>
    <n v="359"/>
  </r>
  <r>
    <s v="403-6139633-3193106"/>
    <s v="03/12/2022"/>
    <x v="0"/>
    <x v="15"/>
    <x v="2"/>
    <x v="8"/>
    <x v="0"/>
    <s v="JAMSHEDPUR"/>
    <x v="11"/>
    <n v="849"/>
    <n v="250"/>
    <n v="599"/>
    <n v="240"/>
    <n v="359"/>
  </r>
  <r>
    <s v="402-2754752-6585146"/>
    <s v="03/12/2022"/>
    <x v="0"/>
    <x v="137"/>
    <x v="2"/>
    <x v="8"/>
    <x v="0"/>
    <s v="BHATKAL"/>
    <x v="5"/>
    <n v="849"/>
    <n v="250"/>
    <n v="599"/>
    <n v="240"/>
    <n v="359"/>
  </r>
  <r>
    <s v="407-5246087-3784366"/>
    <s v="03/12/2022"/>
    <x v="0"/>
    <x v="129"/>
    <x v="2"/>
    <x v="8"/>
    <x v="0"/>
    <s v="KARORAN"/>
    <x v="26"/>
    <n v="759.05"/>
    <n v="202"/>
    <n v="557.04999999999995"/>
    <n v="240"/>
    <n v="317.04999999999995"/>
  </r>
  <r>
    <s v="402-7611110-9245955"/>
    <s v="03/12/2022"/>
    <x v="0"/>
    <x v="123"/>
    <x v="2"/>
    <x v="8"/>
    <x v="0"/>
    <s v="HYDERABAD"/>
    <x v="8"/>
    <n v="949.05"/>
    <n v="306"/>
    <n v="643.04999999999995"/>
    <n v="240"/>
    <n v="403.04999999999995"/>
  </r>
  <r>
    <s v="402-3348684-6443540"/>
    <s v="03/12/2022"/>
    <x v="0"/>
    <x v="268"/>
    <x v="2"/>
    <x v="8"/>
    <x v="0"/>
    <s v="LUCKNOW"/>
    <x v="1"/>
    <n v="799"/>
    <n v="205"/>
    <n v="594"/>
    <n v="240"/>
    <n v="354"/>
  </r>
  <r>
    <s v="408-1840609-8244323"/>
    <s v="03/12/2022"/>
    <x v="0"/>
    <x v="229"/>
    <x v="2"/>
    <x v="8"/>
    <x v="0"/>
    <s v="PIMPRI CHINCHWAD"/>
    <x v="6"/>
    <n v="799"/>
    <n v="205"/>
    <n v="594"/>
    <n v="240"/>
    <n v="354"/>
  </r>
  <r>
    <s v="402-0030845-6116301"/>
    <s v="03/12/2022"/>
    <x v="0"/>
    <x v="128"/>
    <x v="2"/>
    <x v="8"/>
    <x v="0"/>
    <s v="HYDERABAD"/>
    <x v="8"/>
    <n v="999"/>
    <n v="325"/>
    <n v="674"/>
    <n v="240"/>
    <n v="434"/>
  </r>
  <r>
    <s v="403-0920791-3844367"/>
    <s v="03/12/2022"/>
    <x v="0"/>
    <x v="269"/>
    <x v="2"/>
    <x v="8"/>
    <x v="0"/>
    <s v="GURUGRAM"/>
    <x v="15"/>
    <n v="849"/>
    <n v="250"/>
    <n v="599"/>
    <n v="240"/>
    <n v="359"/>
  </r>
  <r>
    <s v="408-0711306-3782731"/>
    <s v="03/12/2022"/>
    <x v="0"/>
    <x v="176"/>
    <x v="2"/>
    <x v="8"/>
    <x v="0"/>
    <s v="SHILLONG"/>
    <x v="23"/>
    <n v="899"/>
    <n v="295"/>
    <n v="604"/>
    <n v="240"/>
    <n v="364"/>
  </r>
  <r>
    <s v="404-1954855-4539530"/>
    <s v="03/12/2022"/>
    <x v="0"/>
    <x v="204"/>
    <x v="2"/>
    <x v="8"/>
    <x v="0"/>
    <s v="JAMSHEDPUR"/>
    <x v="11"/>
    <n v="799"/>
    <n v="205"/>
    <n v="594"/>
    <n v="240"/>
    <n v="354"/>
  </r>
  <r>
    <s v="405-6496510-5337948"/>
    <s v="04/12/2022"/>
    <x v="2"/>
    <x v="86"/>
    <x v="3"/>
    <x v="8"/>
    <x v="0"/>
    <s v="BENGALURU"/>
    <x v="5"/>
    <n v="0"/>
    <n v="0"/>
    <n v="0"/>
    <n v="0"/>
    <n v="0"/>
  </r>
  <r>
    <s v="405-9585178-5025143"/>
    <s v="04/12/2022"/>
    <x v="2"/>
    <x v="155"/>
    <x v="3"/>
    <x v="8"/>
    <x v="0"/>
    <s v="KURUKSHETRA"/>
    <x v="15"/>
    <n v="0"/>
    <n v="0"/>
    <n v="0"/>
    <n v="0"/>
    <n v="0"/>
  </r>
  <r>
    <s v="406-4897987-7056326"/>
    <s v="05/12/2022"/>
    <x v="2"/>
    <x v="143"/>
    <x v="4"/>
    <x v="8"/>
    <x v="0"/>
    <s v="Mumbai"/>
    <x v="6"/>
    <n v="0"/>
    <n v="0"/>
    <n v="0"/>
    <n v="0"/>
    <n v="0"/>
  </r>
  <r>
    <s v="403-9607201-5638722"/>
    <s v="05/12/2022"/>
    <x v="2"/>
    <x v="15"/>
    <x v="4"/>
    <x v="8"/>
    <x v="0"/>
    <s v="THANE"/>
    <x v="6"/>
    <n v="0"/>
    <n v="0"/>
    <n v="0"/>
    <n v="0"/>
    <n v="0"/>
  </r>
  <r>
    <s v="407-1768538-0913922"/>
    <s v="04/12/2022"/>
    <x v="0"/>
    <x v="15"/>
    <x v="3"/>
    <x v="8"/>
    <x v="0"/>
    <s v="GUWAHATI"/>
    <x v="4"/>
    <n v="849"/>
    <n v="250"/>
    <n v="599"/>
    <n v="240"/>
    <n v="359"/>
  </r>
  <r>
    <s v="406-5859016-5033143"/>
    <s v="04/12/2022"/>
    <x v="0"/>
    <x v="270"/>
    <x v="3"/>
    <x v="8"/>
    <x v="0"/>
    <s v="SILCHAR"/>
    <x v="4"/>
    <n v="999"/>
    <n v="325"/>
    <n v="674"/>
    <n v="240"/>
    <n v="434"/>
  </r>
  <r>
    <s v="407-5309755-8756329"/>
    <s v="04/12/2022"/>
    <x v="0"/>
    <x v="128"/>
    <x v="3"/>
    <x v="8"/>
    <x v="0"/>
    <s v="RAJGARH DHAR DISTRICT"/>
    <x v="13"/>
    <n v="949.05"/>
    <n v="306"/>
    <n v="643.04999999999995"/>
    <n v="240"/>
    <n v="403.04999999999995"/>
  </r>
  <r>
    <s v="171-4303577-5249910"/>
    <s v="04/12/2022"/>
    <x v="0"/>
    <x v="137"/>
    <x v="3"/>
    <x v="8"/>
    <x v="0"/>
    <s v="CHENNAI"/>
    <x v="7"/>
    <n v="849"/>
    <n v="250"/>
    <n v="599"/>
    <n v="240"/>
    <n v="359"/>
  </r>
  <r>
    <s v="403-5628707-6482763"/>
    <s v="04/12/2022"/>
    <x v="0"/>
    <x v="15"/>
    <x v="3"/>
    <x v="8"/>
    <x v="0"/>
    <s v="HYDERABAD"/>
    <x v="8"/>
    <n v="1655.55"/>
    <n v="395"/>
    <n v="1260.55"/>
    <n v="240"/>
    <n v="1020.55"/>
  </r>
  <r>
    <s v="405-6496510-5337948"/>
    <s v="04/12/2022"/>
    <x v="0"/>
    <x v="86"/>
    <x v="3"/>
    <x v="8"/>
    <x v="0"/>
    <s v="BENGALURU"/>
    <x v="5"/>
    <n v="899"/>
    <n v="295"/>
    <n v="604"/>
    <n v="240"/>
    <n v="364"/>
  </r>
  <r>
    <s v="403-4934679-1340336"/>
    <s v="04/12/2022"/>
    <x v="0"/>
    <x v="271"/>
    <x v="3"/>
    <x v="8"/>
    <x v="0"/>
    <s v="DAVANAGERE"/>
    <x v="5"/>
    <n v="849"/>
    <n v="250"/>
    <n v="599"/>
    <n v="240"/>
    <n v="359"/>
  </r>
  <r>
    <s v="405-9585178-5025143"/>
    <s v="04/12/2022"/>
    <x v="0"/>
    <x v="155"/>
    <x v="3"/>
    <x v="8"/>
    <x v="0"/>
    <s v="KURUKSHETRA"/>
    <x v="15"/>
    <n v="849"/>
    <n v="250"/>
    <n v="599"/>
    <n v="240"/>
    <n v="359"/>
  </r>
  <r>
    <s v="408-3061907-9409104"/>
    <s v="05/12/2022"/>
    <x v="1"/>
    <x v="69"/>
    <x v="4"/>
    <x v="8"/>
    <x v="0"/>
    <s v="PUNE"/>
    <x v="6"/>
    <n v="0"/>
    <n v="0"/>
    <n v="0"/>
    <n v="0"/>
    <n v="0"/>
  </r>
  <r>
    <s v="405-0967706-1417930"/>
    <s v="05/12/2022"/>
    <x v="0"/>
    <x v="44"/>
    <x v="4"/>
    <x v="8"/>
    <x v="0"/>
    <s v="SATHUPALLY"/>
    <x v="8"/>
    <n v="899"/>
    <n v="295"/>
    <n v="604"/>
    <n v="240"/>
    <n v="364"/>
  </r>
  <r>
    <s v="408-3639175-4450751"/>
    <s v="05/12/2022"/>
    <x v="0"/>
    <x v="98"/>
    <x v="4"/>
    <x v="8"/>
    <x v="0"/>
    <s v="MUMBAI"/>
    <x v="6"/>
    <n v="854.05"/>
    <n v="270"/>
    <n v="584.04999999999995"/>
    <n v="240"/>
    <n v="344.04999999999995"/>
  </r>
  <r>
    <s v="408-1268849-8946711"/>
    <s v="05/12/2022"/>
    <x v="1"/>
    <x v="80"/>
    <x v="4"/>
    <x v="8"/>
    <x v="0"/>
    <s v="BHARUCH"/>
    <x v="3"/>
    <n v="0"/>
    <n v="0"/>
    <n v="0"/>
    <n v="0"/>
    <n v="0"/>
  </r>
  <r>
    <s v="171-4477757-4009946"/>
    <s v="06/12/2022"/>
    <x v="0"/>
    <x v="154"/>
    <x v="5"/>
    <x v="8"/>
    <x v="0"/>
    <s v="BENGALURU"/>
    <x v="5"/>
    <n v="799"/>
    <n v="205"/>
    <n v="594"/>
    <n v="240"/>
    <n v="354"/>
  </r>
  <r>
    <s v="403-3972597-8624361"/>
    <s v="05/12/2022"/>
    <x v="0"/>
    <x v="136"/>
    <x v="4"/>
    <x v="8"/>
    <x v="0"/>
    <s v="CHENNAI"/>
    <x v="7"/>
    <n v="849"/>
    <n v="250"/>
    <n v="599"/>
    <n v="240"/>
    <n v="359"/>
  </r>
  <r>
    <s v="403-9607201-5638722"/>
    <s v="05/12/2022"/>
    <x v="0"/>
    <x v="15"/>
    <x v="4"/>
    <x v="8"/>
    <x v="0"/>
    <s v="THANE"/>
    <x v="6"/>
    <n v="849"/>
    <n v="250"/>
    <n v="599"/>
    <n v="240"/>
    <n v="359"/>
  </r>
  <r>
    <s v="408-4706046-2616348"/>
    <s v="05/12/2022"/>
    <x v="1"/>
    <x v="69"/>
    <x v="4"/>
    <x v="8"/>
    <x v="0"/>
    <s v="Pune"/>
    <x v="6"/>
    <n v="0"/>
    <n v="0"/>
    <n v="0"/>
    <n v="0"/>
    <n v="0"/>
  </r>
  <r>
    <s v="406-3779621-3077961"/>
    <s v="05/12/2022"/>
    <x v="0"/>
    <x v="137"/>
    <x v="4"/>
    <x v="8"/>
    <x v="0"/>
    <s v="VIZIANAGARAM"/>
    <x v="2"/>
    <n v="849"/>
    <n v="250"/>
    <n v="599"/>
    <n v="240"/>
    <n v="359"/>
  </r>
  <r>
    <s v="171-8766398-5264369"/>
    <s v="05/12/2022"/>
    <x v="0"/>
    <x v="15"/>
    <x v="4"/>
    <x v="8"/>
    <x v="0"/>
    <s v="KOLAR"/>
    <x v="5"/>
    <n v="849"/>
    <n v="250"/>
    <n v="599"/>
    <n v="240"/>
    <n v="359"/>
  </r>
  <r>
    <s v="407-5923197-2973946"/>
    <s v="05/12/2022"/>
    <x v="0"/>
    <x v="88"/>
    <x v="4"/>
    <x v="8"/>
    <x v="0"/>
    <s v="IROOPARA"/>
    <x v="9"/>
    <n v="899"/>
    <n v="295"/>
    <n v="604"/>
    <n v="240"/>
    <n v="364"/>
  </r>
  <r>
    <s v="406-7936819-9268363"/>
    <s v="05/12/2022"/>
    <x v="0"/>
    <x v="31"/>
    <x v="4"/>
    <x v="8"/>
    <x v="0"/>
    <s v="FARIDKOT"/>
    <x v="26"/>
    <n v="799"/>
    <n v="205"/>
    <n v="594"/>
    <n v="240"/>
    <n v="354"/>
  </r>
  <r>
    <s v="406-4897987-7056326"/>
    <s v="05/12/2022"/>
    <x v="0"/>
    <x v="143"/>
    <x v="4"/>
    <x v="8"/>
    <x v="0"/>
    <s v="Mumbai"/>
    <x v="6"/>
    <n v="849"/>
    <n v="250"/>
    <n v="599"/>
    <n v="240"/>
    <n v="359"/>
  </r>
  <r>
    <s v="407-6979770-5862766"/>
    <s v="05/12/2022"/>
    <x v="0"/>
    <x v="81"/>
    <x v="4"/>
    <x v="8"/>
    <x v="0"/>
    <s v="GURUGRAM"/>
    <x v="15"/>
    <n v="799"/>
    <n v="205"/>
    <n v="594"/>
    <n v="240"/>
    <n v="354"/>
  </r>
  <r>
    <s v="404-5703913-5573952"/>
    <s v="05/12/2022"/>
    <x v="0"/>
    <x v="272"/>
    <x v="4"/>
    <x v="8"/>
    <x v="0"/>
    <s v="Kochi"/>
    <x v="9"/>
    <n v="849"/>
    <n v="250"/>
    <n v="599"/>
    <n v="240"/>
    <n v="359"/>
  </r>
  <r>
    <s v="407-8756783-1513911"/>
    <s v="02/12/2022"/>
    <x v="3"/>
    <x v="59"/>
    <x v="1"/>
    <x v="8"/>
    <x v="0"/>
    <s v="LUCKNOW"/>
    <x v="1"/>
    <n v="-854.05"/>
    <n v="345"/>
    <n v="-509.04999999999995"/>
    <n v="240"/>
    <n v="-269.04999999999995"/>
  </r>
  <r>
    <s v="402-2448184-8513120"/>
    <s v="06/12/2022"/>
    <x v="2"/>
    <x v="81"/>
    <x v="5"/>
    <x v="8"/>
    <x v="0"/>
    <s v="GANDHIGRAM"/>
    <x v="30"/>
    <n v="0"/>
    <n v="0"/>
    <n v="0"/>
    <n v="0"/>
    <n v="0"/>
  </r>
  <r>
    <s v="408-1921860-5283507"/>
    <s v="06/12/2022"/>
    <x v="0"/>
    <x v="95"/>
    <x v="5"/>
    <x v="8"/>
    <x v="0"/>
    <s v="NEW DELHI"/>
    <x v="16"/>
    <n v="899"/>
    <n v="295"/>
    <n v="604"/>
    <n v="240"/>
    <n v="364"/>
  </r>
  <r>
    <s v="407-7344984-8466747"/>
    <s v="06/12/2022"/>
    <x v="0"/>
    <x v="15"/>
    <x v="5"/>
    <x v="8"/>
    <x v="0"/>
    <s v="HYDERABAD"/>
    <x v="8"/>
    <n v="1698"/>
    <n v="407"/>
    <n v="1291"/>
    <n v="240"/>
    <n v="1051"/>
  </r>
  <r>
    <s v="404-3199605-0129157"/>
    <s v="06/12/2022"/>
    <x v="0"/>
    <x v="164"/>
    <x v="5"/>
    <x v="8"/>
    <x v="0"/>
    <s v="CHENNAI"/>
    <x v="7"/>
    <n v="806.55"/>
    <n v="227"/>
    <n v="579.54999999999995"/>
    <n v="240"/>
    <n v="339.54999999999995"/>
  </r>
  <r>
    <s v="408-0502046-1141138"/>
    <s v="06/12/2022"/>
    <x v="1"/>
    <x v="147"/>
    <x v="5"/>
    <x v="8"/>
    <x v="0"/>
    <s v="PUNE"/>
    <x v="6"/>
    <n v="0"/>
    <n v="0"/>
    <n v="0"/>
    <n v="0"/>
    <n v="0"/>
  </r>
  <r>
    <s v="405-3596920-7461107"/>
    <s v="06/12/2022"/>
    <x v="0"/>
    <x v="171"/>
    <x v="5"/>
    <x v="8"/>
    <x v="0"/>
    <s v="RAJPUR"/>
    <x v="20"/>
    <n v="799"/>
    <n v="205"/>
    <n v="594"/>
    <n v="240"/>
    <n v="354"/>
  </r>
  <r>
    <s v="403-7923798-3200351"/>
    <s v="06/12/2022"/>
    <x v="0"/>
    <x v="136"/>
    <x v="5"/>
    <x v="8"/>
    <x v="0"/>
    <s v="THANE"/>
    <x v="6"/>
    <n v="849"/>
    <n v="250"/>
    <n v="599"/>
    <n v="240"/>
    <n v="359"/>
  </r>
  <r>
    <s v="404-8720120-3841904"/>
    <s v="06/12/2022"/>
    <x v="0"/>
    <x v="148"/>
    <x v="5"/>
    <x v="8"/>
    <x v="0"/>
    <s v="MEMNAGAR  AHMEDABAD"/>
    <x v="3"/>
    <n v="799"/>
    <n v="205"/>
    <n v="594"/>
    <n v="240"/>
    <n v="354"/>
  </r>
  <r>
    <s v="403-9866795-4723519"/>
    <s v="06/12/2022"/>
    <x v="0"/>
    <x v="98"/>
    <x v="5"/>
    <x v="8"/>
    <x v="0"/>
    <s v="BENGALURU"/>
    <x v="5"/>
    <n v="876.52"/>
    <n v="285"/>
    <n v="591.52"/>
    <n v="240"/>
    <n v="351.52"/>
  </r>
  <r>
    <s v="403-9866795-4723519"/>
    <s v="06/12/2022"/>
    <x v="0"/>
    <x v="21"/>
    <x v="5"/>
    <x v="8"/>
    <x v="0"/>
    <s v="BENGALURU"/>
    <x v="5"/>
    <n v="876.53"/>
    <n v="285"/>
    <n v="591.53"/>
    <n v="240"/>
    <n v="351.53"/>
  </r>
  <r>
    <s v="405-6921897-2921932"/>
    <s v="06/12/2022"/>
    <x v="0"/>
    <x v="15"/>
    <x v="5"/>
    <x v="8"/>
    <x v="0"/>
    <s v="Chathannoor"/>
    <x v="9"/>
    <n v="849"/>
    <n v="250"/>
    <n v="599"/>
    <n v="240"/>
    <n v="359"/>
  </r>
  <r>
    <s v="406-1391787-1695565"/>
    <s v="06/12/2022"/>
    <x v="0"/>
    <x v="134"/>
    <x v="5"/>
    <x v="8"/>
    <x v="0"/>
    <s v="VASAI West"/>
    <x v="6"/>
    <n v="849"/>
    <n v="250"/>
    <n v="599"/>
    <n v="240"/>
    <n v="359"/>
  </r>
  <r>
    <s v="402-2805142-2807540"/>
    <s v="06/12/2022"/>
    <x v="0"/>
    <x v="123"/>
    <x v="5"/>
    <x v="8"/>
    <x v="0"/>
    <s v="TIRUPPUR"/>
    <x v="7"/>
    <n v="999"/>
    <n v="325"/>
    <n v="674"/>
    <n v="240"/>
    <n v="434"/>
  </r>
  <r>
    <s v="171-8872777-9297142"/>
    <s v="06/12/2022"/>
    <x v="0"/>
    <x v="44"/>
    <x v="5"/>
    <x v="8"/>
    <x v="0"/>
    <s v="LUCKNOW"/>
    <x v="1"/>
    <n v="899"/>
    <n v="295"/>
    <n v="604"/>
    <n v="240"/>
    <n v="364"/>
  </r>
  <r>
    <s v="408-7344391-6322737"/>
    <s v="06/12/2022"/>
    <x v="0"/>
    <x v="15"/>
    <x v="5"/>
    <x v="8"/>
    <x v="0"/>
    <s v="RAIPUR"/>
    <x v="20"/>
    <n v="806.55"/>
    <n v="227"/>
    <n v="579.54999999999995"/>
    <n v="240"/>
    <n v="339.54999999999995"/>
  </r>
  <r>
    <s v="171-7229597-8013920"/>
    <s v="06/12/2022"/>
    <x v="0"/>
    <x v="119"/>
    <x v="5"/>
    <x v="8"/>
    <x v="0"/>
    <s v="HYDERABAD"/>
    <x v="8"/>
    <n v="799"/>
    <n v="205"/>
    <n v="594"/>
    <n v="240"/>
    <n v="354"/>
  </r>
  <r>
    <s v="403-0694498-5381154"/>
    <s v="02/12/2022"/>
    <x v="3"/>
    <x v="136"/>
    <x v="1"/>
    <x v="8"/>
    <x v="0"/>
    <s v="FATEHGARH CHURIAN"/>
    <x v="26"/>
    <n v="-849"/>
    <n v="345"/>
    <n v="-504"/>
    <n v="240"/>
    <n v="-264"/>
  </r>
  <r>
    <s v="402-7043133-8526714"/>
    <s v="01/12/2022"/>
    <x v="3"/>
    <x v="154"/>
    <x v="0"/>
    <x v="8"/>
    <x v="0"/>
    <s v="NEW DELHI"/>
    <x v="16"/>
    <n v="-799"/>
    <n v="320"/>
    <n v="-479"/>
    <n v="240"/>
    <n v="-239"/>
  </r>
  <r>
    <s v="408-3254741-6707514"/>
    <s v="07/12/2022"/>
    <x v="0"/>
    <x v="193"/>
    <x v="7"/>
    <x v="8"/>
    <x v="0"/>
    <s v="Bengaluru"/>
    <x v="5"/>
    <n v="799"/>
    <n v="205"/>
    <n v="594"/>
    <n v="240"/>
    <n v="354"/>
  </r>
  <r>
    <s v="406-5892770-9083501"/>
    <s v="07/12/2022"/>
    <x v="0"/>
    <x v="86"/>
    <x v="7"/>
    <x v="8"/>
    <x v="0"/>
    <s v="DIBRUGARH"/>
    <x v="4"/>
    <n v="899"/>
    <n v="295"/>
    <n v="604"/>
    <n v="240"/>
    <n v="364"/>
  </r>
  <r>
    <s v="404-3938069-0001108"/>
    <s v="07/12/2022"/>
    <x v="0"/>
    <x v="98"/>
    <x v="7"/>
    <x v="8"/>
    <x v="0"/>
    <s v="SARDULGARH"/>
    <x v="26"/>
    <n v="854.05"/>
    <n v="270"/>
    <n v="584.04999999999995"/>
    <n v="240"/>
    <n v="344.04999999999995"/>
  </r>
  <r>
    <s v="408-4793976-9517904"/>
    <s v="07/12/2022"/>
    <x v="0"/>
    <x v="164"/>
    <x v="7"/>
    <x v="8"/>
    <x v="0"/>
    <s v="BHARUCH"/>
    <x v="3"/>
    <n v="806.55"/>
    <n v="227"/>
    <n v="579.54999999999995"/>
    <n v="240"/>
    <n v="339.54999999999995"/>
  </r>
  <r>
    <s v="408-9654295-0812343"/>
    <s v="06/12/2022"/>
    <x v="0"/>
    <x v="79"/>
    <x v="5"/>
    <x v="8"/>
    <x v="0"/>
    <s v="SHILLONG"/>
    <x v="23"/>
    <n v="899"/>
    <n v="295"/>
    <n v="604"/>
    <n v="240"/>
    <n v="364"/>
  </r>
  <r>
    <s v="402-0810710-7009947"/>
    <s v="07/12/2022"/>
    <x v="0"/>
    <x v="157"/>
    <x v="7"/>
    <x v="8"/>
    <x v="0"/>
    <s v="BENGALURU"/>
    <x v="5"/>
    <n v="799"/>
    <n v="205"/>
    <n v="594"/>
    <n v="240"/>
    <n v="354"/>
  </r>
  <r>
    <s v="404-0350755-4387544"/>
    <s v="07/12/2022"/>
    <x v="0"/>
    <x v="86"/>
    <x v="7"/>
    <x v="8"/>
    <x v="0"/>
    <s v="HASSAN"/>
    <x v="5"/>
    <n v="899"/>
    <n v="295"/>
    <n v="604"/>
    <n v="240"/>
    <n v="364"/>
  </r>
  <r>
    <s v="407-9485812-5543507"/>
    <s v="07/12/2022"/>
    <x v="0"/>
    <x v="88"/>
    <x v="7"/>
    <x v="8"/>
    <x v="0"/>
    <s v="MUMBAI"/>
    <x v="6"/>
    <n v="899"/>
    <n v="295"/>
    <n v="604"/>
    <n v="240"/>
    <n v="364"/>
  </r>
  <r>
    <s v="171-7783436-1237928"/>
    <s v="07/12/2022"/>
    <x v="0"/>
    <x v="15"/>
    <x v="7"/>
    <x v="8"/>
    <x v="0"/>
    <s v="BOKARO THERMAL TOWNSHIP"/>
    <x v="11"/>
    <n v="806.55"/>
    <n v="227"/>
    <n v="579.54999999999995"/>
    <n v="240"/>
    <n v="339.54999999999995"/>
  </r>
  <r>
    <s v="405-0613833-2738746"/>
    <s v="07/12/2022"/>
    <x v="0"/>
    <x v="139"/>
    <x v="7"/>
    <x v="8"/>
    <x v="0"/>
    <s v="Jhinjhak"/>
    <x v="1"/>
    <n v="799"/>
    <n v="205"/>
    <n v="594"/>
    <n v="240"/>
    <n v="354"/>
  </r>
  <r>
    <s v="402-1606071-2962706"/>
    <s v="07/12/2022"/>
    <x v="0"/>
    <x v="154"/>
    <x v="7"/>
    <x v="8"/>
    <x v="0"/>
    <s v="Visakhapatnam"/>
    <x v="2"/>
    <n v="799"/>
    <n v="205"/>
    <n v="594"/>
    <n v="240"/>
    <n v="354"/>
  </r>
  <r>
    <s v="403-2426017-5272320"/>
    <s v="07/12/2022"/>
    <x v="0"/>
    <x v="229"/>
    <x v="7"/>
    <x v="8"/>
    <x v="0"/>
    <s v="PUNE"/>
    <x v="6"/>
    <n v="799"/>
    <n v="205"/>
    <n v="594"/>
    <n v="240"/>
    <n v="354"/>
  </r>
  <r>
    <s v="405-2457384-2245927"/>
    <s v="07/12/2022"/>
    <x v="0"/>
    <x v="15"/>
    <x v="7"/>
    <x v="8"/>
    <x v="0"/>
    <s v="DHAMPUR"/>
    <x v="1"/>
    <n v="806.55"/>
    <n v="227"/>
    <n v="579.54999999999995"/>
    <n v="240"/>
    <n v="339.54999999999995"/>
  </r>
  <r>
    <s v="171-7844113-9286742"/>
    <s v="07/12/2022"/>
    <x v="0"/>
    <x v="44"/>
    <x v="7"/>
    <x v="8"/>
    <x v="0"/>
    <s v="GURUGRAM"/>
    <x v="15"/>
    <n v="854.05"/>
    <n v="270"/>
    <n v="584.04999999999995"/>
    <n v="240"/>
    <n v="344.04999999999995"/>
  </r>
  <r>
    <s v="407-4513756-3990717"/>
    <s v="07/12/2022"/>
    <x v="0"/>
    <x v="98"/>
    <x v="7"/>
    <x v="8"/>
    <x v="0"/>
    <s v="Nidadavolu"/>
    <x v="2"/>
    <n v="899"/>
    <n v="295"/>
    <n v="604"/>
    <n v="240"/>
    <n v="364"/>
  </r>
  <r>
    <s v="405-7234052-2233933"/>
    <s v="07/12/2022"/>
    <x v="0"/>
    <x v="137"/>
    <x v="7"/>
    <x v="8"/>
    <x v="0"/>
    <s v="SONBHADRA"/>
    <x v="1"/>
    <n v="849"/>
    <n v="250"/>
    <n v="599"/>
    <n v="240"/>
    <n v="359"/>
  </r>
  <r>
    <s v="406-9817647-5973906"/>
    <s v="07/12/2022"/>
    <x v="0"/>
    <x v="52"/>
    <x v="7"/>
    <x v="8"/>
    <x v="0"/>
    <s v="MUMBAI"/>
    <x v="6"/>
    <n v="899"/>
    <n v="295"/>
    <n v="604"/>
    <n v="240"/>
    <n v="364"/>
  </r>
  <r>
    <s v="408-1233746-6011542"/>
    <s v="07/12/2022"/>
    <x v="0"/>
    <x v="123"/>
    <x v="7"/>
    <x v="8"/>
    <x v="0"/>
    <s v="BENGALURU"/>
    <x v="5"/>
    <n v="999"/>
    <n v="325"/>
    <n v="674"/>
    <n v="240"/>
    <n v="434"/>
  </r>
  <r>
    <s v="404-2521347-1120330"/>
    <s v="07/12/2022"/>
    <x v="0"/>
    <x v="187"/>
    <x v="7"/>
    <x v="8"/>
    <x v="0"/>
    <s v="SANQUELIM"/>
    <x v="21"/>
    <n v="799"/>
    <n v="205"/>
    <n v="594"/>
    <n v="240"/>
    <n v="354"/>
  </r>
  <r>
    <s v="408-6804869-1381115"/>
    <s v="07/12/2022"/>
    <x v="0"/>
    <x v="15"/>
    <x v="7"/>
    <x v="8"/>
    <x v="0"/>
    <s v="MANGALAGIRI"/>
    <x v="2"/>
    <n v="849"/>
    <n v="250"/>
    <n v="599"/>
    <n v="240"/>
    <n v="359"/>
  </r>
  <r>
    <s v="407-7344984-8466747"/>
    <s v="06/12/2022"/>
    <x v="3"/>
    <x v="15"/>
    <x v="5"/>
    <x v="8"/>
    <x v="0"/>
    <s v="HYDERABAD"/>
    <x v="8"/>
    <n v="-1698"/>
    <n v="425"/>
    <n v="-1273"/>
    <n v="240"/>
    <n v="-1033"/>
  </r>
  <r>
    <s v="171-0134647-6626739"/>
    <s v="09/12/2022"/>
    <x v="2"/>
    <x v="128"/>
    <x v="8"/>
    <x v="8"/>
    <x v="0"/>
    <s v="BENGALURU"/>
    <x v="5"/>
    <n v="0"/>
    <n v="0"/>
    <n v="0"/>
    <n v="0"/>
    <n v="0"/>
  </r>
  <r>
    <s v="402-6954920-6759524"/>
    <s v="03/12/2022"/>
    <x v="3"/>
    <x v="12"/>
    <x v="2"/>
    <x v="8"/>
    <x v="0"/>
    <s v="SIWANI"/>
    <x v="15"/>
    <n v="-849"/>
    <n v="345"/>
    <n v="-504"/>
    <n v="240"/>
    <n v="-264"/>
  </r>
  <r>
    <s v="402-9334987-8217140"/>
    <s v="02/12/2022"/>
    <x v="3"/>
    <x v="134"/>
    <x v="1"/>
    <x v="8"/>
    <x v="0"/>
    <s v="HYDERABAD"/>
    <x v="8"/>
    <n v="-849"/>
    <n v="345"/>
    <n v="-504"/>
    <n v="240"/>
    <n v="-264"/>
  </r>
  <r>
    <s v="408-6457805-0060315"/>
    <s v="08/12/2022"/>
    <x v="0"/>
    <x v="148"/>
    <x v="6"/>
    <x v="8"/>
    <x v="0"/>
    <s v="MAHBUBNAGAR"/>
    <x v="8"/>
    <n v="799"/>
    <n v="205"/>
    <n v="594"/>
    <n v="240"/>
    <n v="354"/>
  </r>
  <r>
    <s v="406-5417689-8955537"/>
    <s v="08/12/2022"/>
    <x v="0"/>
    <x v="187"/>
    <x v="6"/>
    <x v="8"/>
    <x v="0"/>
    <s v="PUDUCHERRY"/>
    <x v="27"/>
    <n v="799"/>
    <n v="205"/>
    <n v="594"/>
    <n v="240"/>
    <n v="354"/>
  </r>
  <r>
    <s v="403-3876001-4397922"/>
    <s v="08/12/2022"/>
    <x v="0"/>
    <x v="211"/>
    <x v="6"/>
    <x v="8"/>
    <x v="0"/>
    <s v="DHARUHERA"/>
    <x v="15"/>
    <n v="799"/>
    <n v="205"/>
    <n v="594"/>
    <n v="240"/>
    <n v="354"/>
  </r>
  <r>
    <s v="406-7744066-2353130"/>
    <s v="08/12/2022"/>
    <x v="0"/>
    <x v="83"/>
    <x v="6"/>
    <x v="8"/>
    <x v="0"/>
    <s v="PALAKKODU"/>
    <x v="7"/>
    <n v="854.05"/>
    <n v="270"/>
    <n v="584.04999999999995"/>
    <n v="240"/>
    <n v="344.04999999999995"/>
  </r>
  <r>
    <s v="171-2160896-0678730"/>
    <s v="08/12/2022"/>
    <x v="0"/>
    <x v="181"/>
    <x v="6"/>
    <x v="8"/>
    <x v="0"/>
    <s v="COIMBATORE"/>
    <x v="7"/>
    <n v="799"/>
    <n v="205"/>
    <n v="594"/>
    <n v="240"/>
    <n v="354"/>
  </r>
  <r>
    <s v="403-2534885-1715569"/>
    <s v="08/12/2022"/>
    <x v="0"/>
    <x v="79"/>
    <x v="6"/>
    <x v="8"/>
    <x v="0"/>
    <s v="Lucknow"/>
    <x v="1"/>
    <n v="899"/>
    <n v="295"/>
    <n v="604"/>
    <n v="240"/>
    <n v="364"/>
  </r>
  <r>
    <s v="405-4004519-0022766"/>
    <s v="07/12/2022"/>
    <x v="0"/>
    <x v="124"/>
    <x v="7"/>
    <x v="8"/>
    <x v="0"/>
    <s v="GUSKARA"/>
    <x v="18"/>
    <n v="949.05"/>
    <n v="306"/>
    <n v="643.04999999999995"/>
    <n v="240"/>
    <n v="403.04999999999995"/>
  </r>
  <r>
    <s v="407-1795808-0021103"/>
    <s v="07/12/2022"/>
    <x v="0"/>
    <x v="128"/>
    <x v="7"/>
    <x v="8"/>
    <x v="0"/>
    <s v="BENGALURU"/>
    <x v="5"/>
    <n v="999"/>
    <n v="325"/>
    <n v="674"/>
    <n v="240"/>
    <n v="434"/>
  </r>
  <r>
    <s v="402-7911788-7793966"/>
    <s v="08/12/2022"/>
    <x v="0"/>
    <x v="193"/>
    <x v="6"/>
    <x v="8"/>
    <x v="0"/>
    <s v="DAMOH"/>
    <x v="13"/>
    <n v="799"/>
    <n v="205"/>
    <n v="594"/>
    <n v="240"/>
    <n v="354"/>
  </r>
  <r>
    <s v="408-1345157-2469168"/>
    <s v="08/12/2022"/>
    <x v="0"/>
    <x v="151"/>
    <x v="6"/>
    <x v="8"/>
    <x v="0"/>
    <s v="BENGALURU"/>
    <x v="5"/>
    <n v="799"/>
    <n v="205"/>
    <n v="594"/>
    <n v="240"/>
    <n v="354"/>
  </r>
  <r>
    <s v="404-5474466-8937113"/>
    <s v="08/12/2022"/>
    <x v="0"/>
    <x v="80"/>
    <x v="6"/>
    <x v="8"/>
    <x v="0"/>
    <s v="JAMSHEDPUR"/>
    <x v="11"/>
    <n v="854.05"/>
    <n v="270"/>
    <n v="584.04999999999995"/>
    <n v="240"/>
    <n v="344.04999999999995"/>
  </r>
  <r>
    <s v="406-4624389-8258707"/>
    <s v="08/12/2022"/>
    <x v="0"/>
    <x v="128"/>
    <x v="6"/>
    <x v="8"/>
    <x v="0"/>
    <s v="BHOPAL"/>
    <x v="13"/>
    <n v="999"/>
    <n v="325"/>
    <n v="674"/>
    <n v="240"/>
    <n v="434"/>
  </r>
  <r>
    <s v="406-4624389-8258707"/>
    <s v="08/12/2022"/>
    <x v="0"/>
    <x v="136"/>
    <x v="6"/>
    <x v="8"/>
    <x v="0"/>
    <s v="BHOPAL"/>
    <x v="13"/>
    <n v="849"/>
    <n v="250"/>
    <n v="599"/>
    <n v="240"/>
    <n v="359"/>
  </r>
  <r>
    <s v="402-9014172-3491522"/>
    <s v="08/12/2022"/>
    <x v="0"/>
    <x v="15"/>
    <x v="6"/>
    <x v="8"/>
    <x v="0"/>
    <s v="KOCHI"/>
    <x v="9"/>
    <n v="849"/>
    <n v="250"/>
    <n v="599"/>
    <n v="240"/>
    <n v="359"/>
  </r>
  <r>
    <s v="403-0244004-6999519"/>
    <s v="09/12/2022"/>
    <x v="0"/>
    <x v="204"/>
    <x v="8"/>
    <x v="8"/>
    <x v="0"/>
    <s v="GURUGRAM"/>
    <x v="15"/>
    <n v="799"/>
    <n v="205"/>
    <n v="594"/>
    <n v="240"/>
    <n v="354"/>
  </r>
  <r>
    <s v="408-3825132-5290727"/>
    <s v="09/12/2022"/>
    <x v="0"/>
    <x v="125"/>
    <x v="8"/>
    <x v="8"/>
    <x v="0"/>
    <s v="HYDERABAD"/>
    <x v="8"/>
    <n v="999"/>
    <n v="325"/>
    <n v="674"/>
    <n v="240"/>
    <n v="434"/>
  </r>
  <r>
    <s v="404-7059745-4077154"/>
    <s v="09/12/2022"/>
    <x v="0"/>
    <x v="273"/>
    <x v="8"/>
    <x v="8"/>
    <x v="0"/>
    <s v="Jaipur"/>
    <x v="10"/>
    <n v="799"/>
    <n v="205"/>
    <n v="594"/>
    <n v="240"/>
    <n v="354"/>
  </r>
  <r>
    <s v="171-3130697-2277127"/>
    <s v="09/12/2022"/>
    <x v="0"/>
    <x v="68"/>
    <x v="8"/>
    <x v="8"/>
    <x v="0"/>
    <s v="MEERUT"/>
    <x v="1"/>
    <n v="759.05"/>
    <n v="202"/>
    <n v="557.04999999999995"/>
    <n v="240"/>
    <n v="317.04999999999995"/>
  </r>
  <r>
    <s v="171-8472868-3515561"/>
    <s v="09/12/2022"/>
    <x v="0"/>
    <x v="79"/>
    <x v="8"/>
    <x v="8"/>
    <x v="0"/>
    <s v="Vasai"/>
    <x v="6"/>
    <n v="899"/>
    <n v="295"/>
    <n v="604"/>
    <n v="240"/>
    <n v="364"/>
  </r>
  <r>
    <s v="402-4789339-4745150"/>
    <s v="09/12/2022"/>
    <x v="0"/>
    <x v="187"/>
    <x v="8"/>
    <x v="8"/>
    <x v="0"/>
    <s v="Jhunjhunu"/>
    <x v="10"/>
    <n v="799"/>
    <n v="205"/>
    <n v="594"/>
    <n v="240"/>
    <n v="354"/>
  </r>
  <r>
    <s v="405-1604841-4297957"/>
    <s v="09/12/2022"/>
    <x v="0"/>
    <x v="95"/>
    <x v="8"/>
    <x v="8"/>
    <x v="0"/>
    <s v="BADDI"/>
    <x v="22"/>
    <n v="899"/>
    <n v="295"/>
    <n v="604"/>
    <n v="240"/>
    <n v="364"/>
  </r>
  <r>
    <s v="171-0134647-6626739"/>
    <s v="09/12/2022"/>
    <x v="0"/>
    <x v="128"/>
    <x v="8"/>
    <x v="8"/>
    <x v="0"/>
    <s v="BENGALURU"/>
    <x v="5"/>
    <n v="999"/>
    <n v="325"/>
    <n v="674"/>
    <n v="240"/>
    <n v="434"/>
  </r>
  <r>
    <s v="408-3254741-6707514"/>
    <s v="07/12/2022"/>
    <x v="3"/>
    <x v="193"/>
    <x v="7"/>
    <x v="8"/>
    <x v="0"/>
    <s v="Bengaluru"/>
    <x v="5"/>
    <n v="-799"/>
    <n v="320"/>
    <n v="-479"/>
    <n v="240"/>
    <n v="-239"/>
  </r>
  <r>
    <s v="407-5572906-3205928"/>
    <s v="10/12/2022"/>
    <x v="2"/>
    <x v="98"/>
    <x v="10"/>
    <x v="8"/>
    <x v="0"/>
    <s v="NAVI MUMBAI"/>
    <x v="6"/>
    <n v="0"/>
    <n v="0"/>
    <n v="0"/>
    <n v="0"/>
    <n v="0"/>
  </r>
  <r>
    <s v="406-4624389-8258707"/>
    <s v="08/12/2022"/>
    <x v="3"/>
    <x v="136"/>
    <x v="6"/>
    <x v="8"/>
    <x v="0"/>
    <s v="BHOPAL"/>
    <x v="13"/>
    <n v="-849"/>
    <n v="345"/>
    <n v="-504"/>
    <n v="240"/>
    <n v="-264"/>
  </r>
  <r>
    <s v="406-4624389-8258707"/>
    <s v="08/12/2022"/>
    <x v="3"/>
    <x v="128"/>
    <x v="6"/>
    <x v="8"/>
    <x v="0"/>
    <s v="BHOPAL"/>
    <x v="13"/>
    <n v="-999"/>
    <n v="395"/>
    <n v="-604"/>
    <n v="240"/>
    <n v="-364"/>
  </r>
  <r>
    <s v="407-5923197-2973946"/>
    <s v="05/12/2022"/>
    <x v="3"/>
    <x v="88"/>
    <x v="4"/>
    <x v="8"/>
    <x v="0"/>
    <s v="IROOPARA"/>
    <x v="9"/>
    <n v="-899"/>
    <n v="375"/>
    <n v="-524"/>
    <n v="240"/>
    <n v="-284"/>
  </r>
  <r>
    <s v="406-3234608-3745162"/>
    <s v="10/12/2022"/>
    <x v="2"/>
    <x v="154"/>
    <x v="10"/>
    <x v="8"/>
    <x v="0"/>
    <s v="JAJPUR SADAR"/>
    <x v="14"/>
    <n v="0"/>
    <n v="0"/>
    <n v="0"/>
    <n v="0"/>
    <n v="0"/>
  </r>
  <r>
    <s v="403-2247489-7425107"/>
    <s v="10/12/2022"/>
    <x v="2"/>
    <x v="68"/>
    <x v="10"/>
    <x v="8"/>
    <x v="0"/>
    <s v="SAGAR"/>
    <x v="5"/>
    <n v="0"/>
    <n v="0"/>
    <n v="0"/>
    <n v="0"/>
    <n v="0"/>
  </r>
  <r>
    <s v="171-0248011-3572370"/>
    <s v="10/12/2022"/>
    <x v="0"/>
    <x v="80"/>
    <x v="10"/>
    <x v="8"/>
    <x v="0"/>
    <s v="PORT BLAIR"/>
    <x v="32"/>
    <n v="899"/>
    <n v="295"/>
    <n v="604"/>
    <n v="240"/>
    <n v="364"/>
  </r>
  <r>
    <s v="404-0896121-4043513"/>
    <s v="10/12/2022"/>
    <x v="0"/>
    <x v="123"/>
    <x v="10"/>
    <x v="8"/>
    <x v="0"/>
    <s v="CHENNAI"/>
    <x v="7"/>
    <n v="949.05"/>
    <n v="306"/>
    <n v="643.04999999999995"/>
    <n v="240"/>
    <n v="403.04999999999995"/>
  </r>
  <r>
    <s v="407-9918936-8480316"/>
    <s v="10/12/2022"/>
    <x v="0"/>
    <x v="75"/>
    <x v="10"/>
    <x v="8"/>
    <x v="0"/>
    <s v="chennai"/>
    <x v="7"/>
    <n v="799"/>
    <n v="205"/>
    <n v="594"/>
    <n v="240"/>
    <n v="354"/>
  </r>
  <r>
    <s v="408-1431189-0546758"/>
    <s v="10/12/2022"/>
    <x v="0"/>
    <x v="80"/>
    <x v="10"/>
    <x v="8"/>
    <x v="0"/>
    <s v="Vasai"/>
    <x v="6"/>
    <n v="899"/>
    <n v="295"/>
    <n v="604"/>
    <n v="240"/>
    <n v="364"/>
  </r>
  <r>
    <s v="408-4609530-7297134"/>
    <s v="10/12/2022"/>
    <x v="0"/>
    <x v="183"/>
    <x v="10"/>
    <x v="8"/>
    <x v="0"/>
    <s v="VADODARA"/>
    <x v="3"/>
    <n v="849"/>
    <n v="250"/>
    <n v="599"/>
    <n v="240"/>
    <n v="359"/>
  </r>
  <r>
    <s v="404-0369900-1705166"/>
    <s v="10/12/2022"/>
    <x v="0"/>
    <x v="126"/>
    <x v="10"/>
    <x v="8"/>
    <x v="0"/>
    <s v="BALLARI"/>
    <x v="5"/>
    <n v="849"/>
    <n v="250"/>
    <n v="599"/>
    <n v="240"/>
    <n v="359"/>
  </r>
  <r>
    <s v="404-0369900-1705166"/>
    <s v="10/12/2022"/>
    <x v="0"/>
    <x v="137"/>
    <x v="10"/>
    <x v="8"/>
    <x v="0"/>
    <s v="BALLARI"/>
    <x v="5"/>
    <n v="849"/>
    <n v="250"/>
    <n v="599"/>
    <n v="240"/>
    <n v="359"/>
  </r>
  <r>
    <s v="407-2434469-5090702"/>
    <s v="10/12/2022"/>
    <x v="0"/>
    <x v="134"/>
    <x v="10"/>
    <x v="8"/>
    <x v="0"/>
    <s v="BENGALURU"/>
    <x v="5"/>
    <n v="849"/>
    <n v="250"/>
    <n v="599"/>
    <n v="240"/>
    <n v="359"/>
  </r>
  <r>
    <s v="403-0312198-9799533"/>
    <s v="10/12/2022"/>
    <x v="0"/>
    <x v="133"/>
    <x v="10"/>
    <x v="8"/>
    <x v="0"/>
    <s v="MUMBAI"/>
    <x v="6"/>
    <n v="799"/>
    <n v="205"/>
    <n v="594"/>
    <n v="240"/>
    <n v="354"/>
  </r>
  <r>
    <s v="171-4425245-6744346"/>
    <s v="10/12/2022"/>
    <x v="0"/>
    <x v="123"/>
    <x v="10"/>
    <x v="8"/>
    <x v="0"/>
    <s v="Mumbai Mumbai"/>
    <x v="6"/>
    <n v="999"/>
    <n v="325"/>
    <n v="674"/>
    <n v="240"/>
    <n v="434"/>
  </r>
  <r>
    <s v="407-2044785-1637922"/>
    <s v="10/12/2022"/>
    <x v="0"/>
    <x v="68"/>
    <x v="10"/>
    <x v="8"/>
    <x v="0"/>
    <s v="BELAGAVI"/>
    <x v="5"/>
    <n v="799"/>
    <n v="205"/>
    <n v="594"/>
    <n v="240"/>
    <n v="354"/>
  </r>
  <r>
    <s v="406-4688033-0449951"/>
    <s v="10/12/2022"/>
    <x v="0"/>
    <x v="156"/>
    <x v="10"/>
    <x v="8"/>
    <x v="0"/>
    <s v="KENDUJHAR"/>
    <x v="14"/>
    <n v="799"/>
    <n v="205"/>
    <n v="594"/>
    <n v="240"/>
    <n v="354"/>
  </r>
  <r>
    <s v="408-5456561-1649162"/>
    <s v="11/12/2022"/>
    <x v="2"/>
    <x v="31"/>
    <x v="9"/>
    <x v="8"/>
    <x v="0"/>
    <s v="VELLORE"/>
    <x v="7"/>
    <n v="0"/>
    <n v="0"/>
    <n v="0"/>
    <n v="0"/>
    <n v="0"/>
  </r>
  <r>
    <s v="403-9866795-4723519"/>
    <s v="06/12/2022"/>
    <x v="3"/>
    <x v="21"/>
    <x v="5"/>
    <x v="8"/>
    <x v="0"/>
    <s v="BENGALURU"/>
    <x v="5"/>
    <n v="-876.53"/>
    <n v="345"/>
    <n v="-531.53"/>
    <n v="240"/>
    <n v="-291.52999999999997"/>
  </r>
  <r>
    <s v="404-0896121-4043513"/>
    <s v="10/12/2022"/>
    <x v="3"/>
    <x v="123"/>
    <x v="10"/>
    <x v="8"/>
    <x v="0"/>
    <s v="CHENNAI"/>
    <x v="7"/>
    <n v="-949.05"/>
    <n v="395"/>
    <n v="-554.04999999999995"/>
    <n v="240"/>
    <n v="-314.04999999999995"/>
  </r>
  <r>
    <s v="408-3639175-4450751"/>
    <s v="05/12/2022"/>
    <x v="3"/>
    <x v="98"/>
    <x v="4"/>
    <x v="8"/>
    <x v="0"/>
    <s v="MUMBAI"/>
    <x v="6"/>
    <n v="-854.05"/>
    <n v="345"/>
    <n v="-509.04999999999995"/>
    <n v="240"/>
    <n v="-269.04999999999995"/>
  </r>
  <r>
    <s v="406-6064048-2173155"/>
    <s v="11/12/2022"/>
    <x v="0"/>
    <x v="177"/>
    <x v="9"/>
    <x v="8"/>
    <x v="0"/>
    <s v="SIRSI"/>
    <x v="5"/>
    <n v="799"/>
    <n v="205"/>
    <n v="594"/>
    <n v="240"/>
    <n v="354"/>
  </r>
  <r>
    <s v="402-4077651-1998746"/>
    <s v="11/12/2022"/>
    <x v="0"/>
    <x v="80"/>
    <x v="9"/>
    <x v="8"/>
    <x v="0"/>
    <s v="Tirupati"/>
    <x v="2"/>
    <n v="899"/>
    <n v="295"/>
    <n v="604"/>
    <n v="240"/>
    <n v="364"/>
  </r>
  <r>
    <s v="171-8688507-8041164"/>
    <s v="11/12/2022"/>
    <x v="0"/>
    <x v="80"/>
    <x v="9"/>
    <x v="8"/>
    <x v="0"/>
    <s v="NEW DELHI"/>
    <x v="16"/>
    <n v="854.05"/>
    <n v="270"/>
    <n v="584.04999999999995"/>
    <n v="240"/>
    <n v="344.04999999999995"/>
  </r>
  <r>
    <s v="408-7085254-6696307"/>
    <s v="11/12/2022"/>
    <x v="0"/>
    <x v="274"/>
    <x v="9"/>
    <x v="8"/>
    <x v="0"/>
    <s v="LIMLA"/>
    <x v="3"/>
    <n v="799"/>
    <n v="205"/>
    <n v="594"/>
    <n v="240"/>
    <n v="354"/>
  </r>
  <r>
    <s v="171-1681184-0763546"/>
    <s v="11/12/2022"/>
    <x v="0"/>
    <x v="176"/>
    <x v="9"/>
    <x v="8"/>
    <x v="0"/>
    <s v="BENGALURU"/>
    <x v="5"/>
    <n v="899"/>
    <n v="295"/>
    <n v="604"/>
    <n v="240"/>
    <n v="364"/>
  </r>
  <r>
    <s v="407-8459325-3537950"/>
    <s v="11/12/2022"/>
    <x v="0"/>
    <x v="124"/>
    <x v="9"/>
    <x v="8"/>
    <x v="0"/>
    <s v="HYDERABAD"/>
    <x v="8"/>
    <n v="949.05"/>
    <n v="306"/>
    <n v="643.04999999999995"/>
    <n v="240"/>
    <n v="403.04999999999995"/>
  </r>
  <r>
    <s v="407-3928455-1322713"/>
    <s v="11/12/2022"/>
    <x v="0"/>
    <x v="125"/>
    <x v="9"/>
    <x v="8"/>
    <x v="0"/>
    <s v="mundur"/>
    <x v="9"/>
    <n v="949.05"/>
    <n v="306"/>
    <n v="643.04999999999995"/>
    <n v="240"/>
    <n v="403.04999999999995"/>
  </r>
  <r>
    <s v="403-9363409-6841110"/>
    <s v="11/12/2022"/>
    <x v="0"/>
    <x v="142"/>
    <x v="9"/>
    <x v="8"/>
    <x v="0"/>
    <s v="TANDA AMBEDKAR NAGAR DISTRICT"/>
    <x v="1"/>
    <n v="799"/>
    <n v="205"/>
    <n v="594"/>
    <n v="240"/>
    <n v="354"/>
  </r>
  <r>
    <s v="408-2616401-0169921"/>
    <s v="11/12/2022"/>
    <x v="0"/>
    <x v="178"/>
    <x v="9"/>
    <x v="8"/>
    <x v="0"/>
    <s v="PIMPRI CHINCHWAD"/>
    <x v="6"/>
    <n v="799"/>
    <n v="205"/>
    <n v="594"/>
    <n v="240"/>
    <n v="354"/>
  </r>
  <r>
    <s v="407-1797780-6245137"/>
    <s v="11/12/2022"/>
    <x v="0"/>
    <x v="44"/>
    <x v="9"/>
    <x v="8"/>
    <x v="0"/>
    <s v="RANCHI"/>
    <x v="11"/>
    <n v="854.05"/>
    <n v="270"/>
    <n v="584.04999999999995"/>
    <n v="240"/>
    <n v="344.04999999999995"/>
  </r>
  <r>
    <s v="405-7234052-2233933"/>
    <s v="07/12/2022"/>
    <x v="3"/>
    <x v="137"/>
    <x v="7"/>
    <x v="8"/>
    <x v="0"/>
    <s v="SONBHADRA"/>
    <x v="1"/>
    <n v="-849"/>
    <n v="345"/>
    <n v="-504"/>
    <n v="240"/>
    <n v="-264"/>
  </r>
  <r>
    <s v="402-6957925-7655553"/>
    <s v="11/12/2022"/>
    <x v="0"/>
    <x v="133"/>
    <x v="9"/>
    <x v="8"/>
    <x v="0"/>
    <s v="GURUGRAM"/>
    <x v="15"/>
    <n v="759.05"/>
    <n v="202"/>
    <n v="557.04999999999995"/>
    <n v="240"/>
    <n v="317.04999999999995"/>
  </r>
  <r>
    <s v="403-5089041-3826730"/>
    <s v="11/12/2022"/>
    <x v="0"/>
    <x v="275"/>
    <x v="9"/>
    <x v="8"/>
    <x v="0"/>
    <s v="Hyderabad"/>
    <x v="8"/>
    <n v="799"/>
    <n v="205"/>
    <n v="594"/>
    <n v="240"/>
    <n v="354"/>
  </r>
  <r>
    <s v="406-9983929-5572357"/>
    <s v="11/12/2022"/>
    <x v="0"/>
    <x v="98"/>
    <x v="9"/>
    <x v="8"/>
    <x v="0"/>
    <s v="BENGALURU"/>
    <x v="5"/>
    <n v="899"/>
    <n v="295"/>
    <n v="604"/>
    <n v="240"/>
    <n v="364"/>
  </r>
  <r>
    <s v="406-9983929-5572357"/>
    <s v="11/12/2022"/>
    <x v="0"/>
    <x v="83"/>
    <x v="9"/>
    <x v="8"/>
    <x v="0"/>
    <s v="BENGALURU"/>
    <x v="5"/>
    <n v="899"/>
    <n v="295"/>
    <n v="604"/>
    <n v="240"/>
    <n v="364"/>
  </r>
  <r>
    <s v="403-8782327-7885941"/>
    <s v="11/12/2022"/>
    <x v="0"/>
    <x v="216"/>
    <x v="9"/>
    <x v="8"/>
    <x v="0"/>
    <s v="KARNAL"/>
    <x v="15"/>
    <n v="799"/>
    <n v="205"/>
    <n v="594"/>
    <n v="240"/>
    <n v="354"/>
  </r>
  <r>
    <s v="403-4618245-1462702"/>
    <s v="11/12/2022"/>
    <x v="0"/>
    <x v="128"/>
    <x v="9"/>
    <x v="8"/>
    <x v="0"/>
    <s v="FATEHGARH CHURIAN"/>
    <x v="26"/>
    <n v="999"/>
    <n v="325"/>
    <n v="674"/>
    <n v="240"/>
    <n v="434"/>
  </r>
  <r>
    <s v="408-0195951-3643550"/>
    <s v="11/12/2022"/>
    <x v="0"/>
    <x v="25"/>
    <x v="9"/>
    <x v="8"/>
    <x v="0"/>
    <s v="PUNE"/>
    <x v="6"/>
    <n v="1598"/>
    <n v="365"/>
    <n v="1233"/>
    <n v="240"/>
    <n v="993"/>
  </r>
  <r>
    <s v="171-3091417-5923537"/>
    <s v="11/12/2022"/>
    <x v="0"/>
    <x v="133"/>
    <x v="9"/>
    <x v="8"/>
    <x v="0"/>
    <s v="PUNE"/>
    <x v="6"/>
    <n v="759.05"/>
    <n v="202"/>
    <n v="557.04999999999995"/>
    <n v="240"/>
    <n v="317.04999999999995"/>
  </r>
  <r>
    <s v="406-2634855-0565101"/>
    <s v="11/12/2022"/>
    <x v="0"/>
    <x v="123"/>
    <x v="9"/>
    <x v="8"/>
    <x v="0"/>
    <s v="AHMEDABAD"/>
    <x v="3"/>
    <n v="949.05"/>
    <n v="306"/>
    <n v="643.04999999999995"/>
    <n v="240"/>
    <n v="403.04999999999995"/>
  </r>
  <r>
    <s v="405-9230965-9965946"/>
    <s v="02/12/2022"/>
    <x v="3"/>
    <x v="133"/>
    <x v="1"/>
    <x v="8"/>
    <x v="0"/>
    <s v="AMRAVATI"/>
    <x v="6"/>
    <n v="-799"/>
    <n v="320"/>
    <n v="-479"/>
    <n v="240"/>
    <n v="-239"/>
  </r>
  <r>
    <s v="403-3972597-8624361"/>
    <s v="05/12/2022"/>
    <x v="3"/>
    <x v="136"/>
    <x v="4"/>
    <x v="8"/>
    <x v="0"/>
    <s v="CHENNAI"/>
    <x v="7"/>
    <n v="-849"/>
    <n v="345"/>
    <n v="-504"/>
    <n v="240"/>
    <n v="-264"/>
  </r>
  <r>
    <s v="402-9966052-8789947"/>
    <s v="12/12/2022"/>
    <x v="2"/>
    <x v="121"/>
    <x v="11"/>
    <x v="8"/>
    <x v="0"/>
    <s v="AHMEDABAD"/>
    <x v="3"/>
    <n v="0"/>
    <n v="0"/>
    <n v="0"/>
    <n v="0"/>
    <n v="0"/>
  </r>
  <r>
    <s v="408-4793976-9517904"/>
    <s v="07/12/2022"/>
    <x v="3"/>
    <x v="164"/>
    <x v="7"/>
    <x v="8"/>
    <x v="0"/>
    <s v="BHARUCH"/>
    <x v="3"/>
    <n v="-806.55"/>
    <n v="345"/>
    <n v="-461.54999999999995"/>
    <n v="240"/>
    <n v="-221.54999999999995"/>
  </r>
  <r>
    <s v="403-3258893-1946743"/>
    <s v="12/12/2022"/>
    <x v="0"/>
    <x v="15"/>
    <x v="11"/>
    <x v="8"/>
    <x v="0"/>
    <s v="Bagalkot"/>
    <x v="5"/>
    <n v="806.55"/>
    <n v="227"/>
    <n v="579.54999999999995"/>
    <n v="240"/>
    <n v="339.54999999999995"/>
  </r>
  <r>
    <s v="405-3480389-4591567"/>
    <s v="12/12/2022"/>
    <x v="0"/>
    <x v="204"/>
    <x v="11"/>
    <x v="8"/>
    <x v="0"/>
    <s v="SONBHADRA"/>
    <x v="1"/>
    <n v="799"/>
    <n v="205"/>
    <n v="594"/>
    <n v="240"/>
    <n v="354"/>
  </r>
  <r>
    <s v="171-4184972-3521108"/>
    <s v="11/12/2022"/>
    <x v="0"/>
    <x v="79"/>
    <x v="9"/>
    <x v="8"/>
    <x v="0"/>
    <s v="AIZAWL"/>
    <x v="28"/>
    <n v="899"/>
    <n v="295"/>
    <n v="604"/>
    <n v="240"/>
    <n v="364"/>
  </r>
  <r>
    <s v="405-2485278-6892340"/>
    <s v="12/12/2022"/>
    <x v="0"/>
    <x v="128"/>
    <x v="11"/>
    <x v="8"/>
    <x v="0"/>
    <s v="JAIPUR"/>
    <x v="10"/>
    <n v="999"/>
    <n v="325"/>
    <n v="674"/>
    <n v="240"/>
    <n v="434"/>
  </r>
  <r>
    <s v="171-0984868-8976341"/>
    <s v="12/12/2022"/>
    <x v="0"/>
    <x v="133"/>
    <x v="11"/>
    <x v="8"/>
    <x v="0"/>
    <s v="FAIZABAD"/>
    <x v="1"/>
    <n v="799"/>
    <n v="205"/>
    <n v="594"/>
    <n v="240"/>
    <n v="354"/>
  </r>
  <r>
    <s v="405-7590063-8478726"/>
    <s v="12/12/2022"/>
    <x v="0"/>
    <x v="25"/>
    <x v="11"/>
    <x v="8"/>
    <x v="0"/>
    <s v="Mirzapur"/>
    <x v="1"/>
    <n v="759.05"/>
    <n v="202"/>
    <n v="557.04999999999995"/>
    <n v="240"/>
    <n v="317.04999999999995"/>
  </r>
  <r>
    <s v="403-5168319-9026740"/>
    <s v="12/12/2022"/>
    <x v="0"/>
    <x v="74"/>
    <x v="11"/>
    <x v="8"/>
    <x v="0"/>
    <s v="VINDHYA NAGAR NTPC TOWNSHIP"/>
    <x v="13"/>
    <n v="899"/>
    <n v="295"/>
    <n v="604"/>
    <n v="240"/>
    <n v="364"/>
  </r>
  <r>
    <s v="408-1502266-9089909"/>
    <s v="12/12/2022"/>
    <x v="1"/>
    <x v="273"/>
    <x v="11"/>
    <x v="8"/>
    <x v="0"/>
    <s v="Jaipur"/>
    <x v="10"/>
    <n v="0"/>
    <n v="0"/>
    <n v="0"/>
    <n v="0"/>
    <n v="0"/>
  </r>
  <r>
    <s v="407-2794904-7412311"/>
    <s v="12/12/2022"/>
    <x v="0"/>
    <x v="123"/>
    <x v="11"/>
    <x v="8"/>
    <x v="0"/>
    <s v="GARHWA"/>
    <x v="11"/>
    <n v="999"/>
    <n v="325"/>
    <n v="674"/>
    <n v="240"/>
    <n v="434"/>
  </r>
  <r>
    <s v="403-4942614-8504353"/>
    <s v="12/12/2022"/>
    <x v="0"/>
    <x v="211"/>
    <x v="11"/>
    <x v="8"/>
    <x v="0"/>
    <s v="AHMEDABAD"/>
    <x v="3"/>
    <n v="799"/>
    <n v="205"/>
    <n v="594"/>
    <n v="240"/>
    <n v="354"/>
  </r>
  <r>
    <s v="405-4385584-2825158"/>
    <s v="12/12/2022"/>
    <x v="0"/>
    <x v="44"/>
    <x v="11"/>
    <x v="8"/>
    <x v="0"/>
    <s v="IMPHAL EAST"/>
    <x v="29"/>
    <n v="899"/>
    <n v="295"/>
    <n v="604"/>
    <n v="240"/>
    <n v="364"/>
  </r>
  <r>
    <s v="405-0653224-1569141"/>
    <s v="12/12/2022"/>
    <x v="0"/>
    <x v="124"/>
    <x v="11"/>
    <x v="8"/>
    <x v="0"/>
    <s v="JAIPUR"/>
    <x v="10"/>
    <n v="949.05"/>
    <n v="306"/>
    <n v="643.04999999999995"/>
    <n v="240"/>
    <n v="403.04999999999995"/>
  </r>
  <r>
    <s v="402-7393206-3149166"/>
    <s v="12/12/2022"/>
    <x v="0"/>
    <x v="148"/>
    <x v="11"/>
    <x v="8"/>
    <x v="0"/>
    <s v="Wadgaon sheri  Pune"/>
    <x v="6"/>
    <n v="799"/>
    <n v="205"/>
    <n v="594"/>
    <n v="240"/>
    <n v="354"/>
  </r>
  <r>
    <s v="404-1869931-3925134"/>
    <s v="12/12/2022"/>
    <x v="0"/>
    <x v="147"/>
    <x v="11"/>
    <x v="8"/>
    <x v="0"/>
    <s v="AURANGABAD"/>
    <x v="6"/>
    <n v="799"/>
    <n v="205"/>
    <n v="594"/>
    <n v="240"/>
    <n v="354"/>
  </r>
  <r>
    <s v="402-5805664-2237926"/>
    <s v="13/12/2022"/>
    <x v="0"/>
    <x v="208"/>
    <x v="12"/>
    <x v="8"/>
    <x v="0"/>
    <s v="KOZHIKODE"/>
    <x v="9"/>
    <n v="849"/>
    <n v="250"/>
    <n v="599"/>
    <n v="240"/>
    <n v="359"/>
  </r>
  <r>
    <s v="406-3093743-3965116"/>
    <s v="13/12/2022"/>
    <x v="0"/>
    <x v="88"/>
    <x v="12"/>
    <x v="8"/>
    <x v="0"/>
    <s v="KARNAL"/>
    <x v="15"/>
    <n v="899"/>
    <n v="295"/>
    <n v="604"/>
    <n v="240"/>
    <n v="364"/>
  </r>
  <r>
    <s v="405-1333392-7374760"/>
    <s v="14/12/2022"/>
    <x v="0"/>
    <x v="80"/>
    <x v="13"/>
    <x v="8"/>
    <x v="0"/>
    <s v="Rajanpura"/>
    <x v="0"/>
    <n v="899"/>
    <n v="295"/>
    <n v="604"/>
    <n v="240"/>
    <n v="364"/>
  </r>
  <r>
    <s v="404-9106030-1330749"/>
    <s v="12/12/2022"/>
    <x v="0"/>
    <x v="98"/>
    <x v="11"/>
    <x v="8"/>
    <x v="0"/>
    <s v="BURDWAN"/>
    <x v="18"/>
    <n v="899"/>
    <n v="295"/>
    <n v="604"/>
    <n v="240"/>
    <n v="364"/>
  </r>
  <r>
    <s v="408-9621419-1630731"/>
    <s v="13/12/2022"/>
    <x v="0"/>
    <x v="176"/>
    <x v="12"/>
    <x v="8"/>
    <x v="0"/>
    <s v="SHILLONG"/>
    <x v="23"/>
    <n v="854.05"/>
    <n v="270"/>
    <n v="584.04999999999995"/>
    <n v="240"/>
    <n v="344.04999999999995"/>
  </r>
  <r>
    <s v="408-0273667-5201147"/>
    <s v="12/12/2022"/>
    <x v="1"/>
    <x v="123"/>
    <x v="11"/>
    <x v="8"/>
    <x v="0"/>
    <s v="BENGALURU"/>
    <x v="5"/>
    <n v="0"/>
    <n v="0"/>
    <n v="0"/>
    <n v="0"/>
    <n v="0"/>
  </r>
  <r>
    <s v="402-9342100-3200336"/>
    <s v="13/12/2022"/>
    <x v="0"/>
    <x v="137"/>
    <x v="12"/>
    <x v="8"/>
    <x v="0"/>
    <s v="NTPC TANDA COLONY"/>
    <x v="1"/>
    <n v="849"/>
    <n v="250"/>
    <n v="599"/>
    <n v="240"/>
    <n v="359"/>
  </r>
  <r>
    <s v="171-0296611-8801929"/>
    <s v="13/12/2022"/>
    <x v="0"/>
    <x v="25"/>
    <x v="12"/>
    <x v="8"/>
    <x v="0"/>
    <s v="BHIWANDI"/>
    <x v="6"/>
    <n v="799"/>
    <n v="205"/>
    <n v="594"/>
    <n v="240"/>
    <n v="354"/>
  </r>
  <r>
    <s v="402-4871105-5951501"/>
    <s v="13/12/2022"/>
    <x v="0"/>
    <x v="25"/>
    <x v="12"/>
    <x v="8"/>
    <x v="0"/>
    <s v="KANPUR"/>
    <x v="1"/>
    <n v="799"/>
    <n v="205"/>
    <n v="594"/>
    <n v="240"/>
    <n v="354"/>
  </r>
  <r>
    <s v="171-5836154-5681154"/>
    <s v="13/12/2022"/>
    <x v="0"/>
    <x v="6"/>
    <x v="12"/>
    <x v="8"/>
    <x v="0"/>
    <s v="BENGALURU"/>
    <x v="5"/>
    <n v="899"/>
    <n v="295"/>
    <n v="604"/>
    <n v="240"/>
    <n v="364"/>
  </r>
  <r>
    <s v="405-2484909-1709945"/>
    <s v="13/12/2022"/>
    <x v="0"/>
    <x v="177"/>
    <x v="12"/>
    <x v="8"/>
    <x v="0"/>
    <s v="PADAPPAI"/>
    <x v="7"/>
    <n v="799"/>
    <n v="205"/>
    <n v="594"/>
    <n v="240"/>
    <n v="354"/>
  </r>
  <r>
    <s v="402-9299140-7959508"/>
    <s v="12/12/2022"/>
    <x v="0"/>
    <x v="202"/>
    <x v="11"/>
    <x v="8"/>
    <x v="0"/>
    <s v="ARANI THIRUVALLUR DISTRICT"/>
    <x v="7"/>
    <n v="949.05"/>
    <n v="306"/>
    <n v="643.04999999999995"/>
    <n v="240"/>
    <n v="403.04999999999995"/>
  </r>
  <r>
    <s v="402-6172655-8249130"/>
    <s v="13/12/2022"/>
    <x v="0"/>
    <x v="79"/>
    <x v="12"/>
    <x v="8"/>
    <x v="0"/>
    <s v="Ramoji Film City  Hyderabad"/>
    <x v="8"/>
    <n v="899"/>
    <n v="295"/>
    <n v="604"/>
    <n v="240"/>
    <n v="364"/>
  </r>
  <r>
    <s v="171-5272427-1955515"/>
    <s v="13/12/2022"/>
    <x v="0"/>
    <x v="265"/>
    <x v="12"/>
    <x v="8"/>
    <x v="0"/>
    <s v="HYDERABAD"/>
    <x v="8"/>
    <n v="799"/>
    <n v="205"/>
    <n v="594"/>
    <n v="240"/>
    <n v="354"/>
  </r>
  <r>
    <s v="408-6743657-8814761"/>
    <s v="12/12/2022"/>
    <x v="0"/>
    <x v="164"/>
    <x v="11"/>
    <x v="8"/>
    <x v="0"/>
    <s v="BEED"/>
    <x v="6"/>
    <n v="849"/>
    <n v="250"/>
    <n v="599"/>
    <n v="240"/>
    <n v="359"/>
  </r>
  <r>
    <s v="408-3488527-5508369"/>
    <s v="12/12/2022"/>
    <x v="0"/>
    <x v="98"/>
    <x v="11"/>
    <x v="8"/>
    <x v="0"/>
    <s v="MUMBAI"/>
    <x v="6"/>
    <n v="899"/>
    <n v="295"/>
    <n v="604"/>
    <n v="240"/>
    <n v="364"/>
  </r>
  <r>
    <s v="403-8159217-3081916"/>
    <s v="13/12/2022"/>
    <x v="0"/>
    <x v="164"/>
    <x v="12"/>
    <x v="8"/>
    <x v="0"/>
    <s v="AHMEDABAD"/>
    <x v="3"/>
    <n v="849"/>
    <n v="250"/>
    <n v="599"/>
    <n v="240"/>
    <n v="359"/>
  </r>
  <r>
    <s v="403-7923798-3200351"/>
    <s v="06/12/2022"/>
    <x v="3"/>
    <x v="136"/>
    <x v="5"/>
    <x v="8"/>
    <x v="0"/>
    <s v="THANE"/>
    <x v="6"/>
    <n v="-849"/>
    <n v="345"/>
    <n v="-504"/>
    <n v="240"/>
    <n v="-264"/>
  </r>
  <r>
    <s v="406-7744066-2353130"/>
    <s v="08/12/2022"/>
    <x v="3"/>
    <x v="83"/>
    <x v="6"/>
    <x v="8"/>
    <x v="0"/>
    <s v="PALAKKODU"/>
    <x v="7"/>
    <n v="-854.05"/>
    <n v="345"/>
    <n v="-509.04999999999995"/>
    <n v="240"/>
    <n v="-269.04999999999995"/>
  </r>
  <r>
    <s v="404-7321517-9905909"/>
    <s v="14/12/2022"/>
    <x v="0"/>
    <x v="88"/>
    <x v="13"/>
    <x v="8"/>
    <x v="0"/>
    <s v="HASSAN"/>
    <x v="5"/>
    <n v="899"/>
    <n v="295"/>
    <n v="604"/>
    <n v="240"/>
    <n v="364"/>
  </r>
  <r>
    <s v="403-2214791-1770726"/>
    <s v="14/12/2022"/>
    <x v="0"/>
    <x v="128"/>
    <x v="13"/>
    <x v="8"/>
    <x v="0"/>
    <s v="Pune"/>
    <x v="6"/>
    <n v="949.05"/>
    <n v="306"/>
    <n v="643.04999999999995"/>
    <n v="240"/>
    <n v="403.04999999999995"/>
  </r>
  <r>
    <s v="407-9131910-2044320"/>
    <s v="14/12/2022"/>
    <x v="0"/>
    <x v="80"/>
    <x v="13"/>
    <x v="8"/>
    <x v="0"/>
    <s v="CHANNAPATNA"/>
    <x v="5"/>
    <n v="899"/>
    <n v="295"/>
    <n v="604"/>
    <n v="240"/>
    <n v="364"/>
  </r>
  <r>
    <s v="171-3941635-2364359"/>
    <s v="14/12/2022"/>
    <x v="0"/>
    <x v="79"/>
    <x v="13"/>
    <x v="8"/>
    <x v="0"/>
    <s v="GURUGRAM"/>
    <x v="15"/>
    <n v="899"/>
    <n v="295"/>
    <n v="604"/>
    <n v="240"/>
    <n v="364"/>
  </r>
  <r>
    <s v="408-6045530-2498720"/>
    <s v="14/12/2022"/>
    <x v="1"/>
    <x v="123"/>
    <x v="13"/>
    <x v="8"/>
    <x v="0"/>
    <s v="HYDERABAD"/>
    <x v="8"/>
    <n v="0"/>
    <n v="0"/>
    <n v="0"/>
    <n v="0"/>
    <n v="0"/>
  </r>
  <r>
    <s v="407-6421693-1827535"/>
    <s v="14/12/2022"/>
    <x v="0"/>
    <x v="193"/>
    <x v="13"/>
    <x v="8"/>
    <x v="0"/>
    <s v="TIRUPATI"/>
    <x v="2"/>
    <n v="799"/>
    <n v="205"/>
    <n v="594"/>
    <n v="240"/>
    <n v="354"/>
  </r>
  <r>
    <s v="403-0001594-4319523"/>
    <s v="14/12/2022"/>
    <x v="0"/>
    <x v="88"/>
    <x v="13"/>
    <x v="8"/>
    <x v="0"/>
    <s v="LUCKNOW"/>
    <x v="1"/>
    <n v="899"/>
    <n v="295"/>
    <n v="604"/>
    <n v="240"/>
    <n v="364"/>
  </r>
  <r>
    <s v="407-8944244-6183559"/>
    <s v="14/12/2022"/>
    <x v="0"/>
    <x v="128"/>
    <x v="13"/>
    <x v="8"/>
    <x v="0"/>
    <s v="MUMBAI"/>
    <x v="6"/>
    <n v="949.05"/>
    <n v="306"/>
    <n v="643.04999999999995"/>
    <n v="240"/>
    <n v="403.04999999999995"/>
  </r>
  <r>
    <s v="408-4158826-6115520"/>
    <s v="14/12/2022"/>
    <x v="0"/>
    <x v="25"/>
    <x v="13"/>
    <x v="8"/>
    <x v="0"/>
    <s v="SHILLONG"/>
    <x v="23"/>
    <n v="759.05"/>
    <n v="202"/>
    <n v="557.04999999999995"/>
    <n v="240"/>
    <n v="317.04999999999995"/>
  </r>
  <r>
    <s v="403-4931564-1549906"/>
    <s v="14/12/2022"/>
    <x v="0"/>
    <x v="133"/>
    <x v="13"/>
    <x v="8"/>
    <x v="0"/>
    <s v="Shillong"/>
    <x v="23"/>
    <n v="799"/>
    <n v="205"/>
    <n v="594"/>
    <n v="240"/>
    <n v="354"/>
  </r>
  <r>
    <s v="407-4396693-0506722"/>
    <s v="14/12/2022"/>
    <x v="0"/>
    <x v="164"/>
    <x v="13"/>
    <x v="8"/>
    <x v="0"/>
    <s v="BENGALURU"/>
    <x v="5"/>
    <n v="806.55"/>
    <n v="227"/>
    <n v="579.54999999999995"/>
    <n v="240"/>
    <n v="339.54999999999995"/>
  </r>
  <r>
    <s v="406-9470161-9199537"/>
    <s v="14/12/2022"/>
    <x v="0"/>
    <x v="86"/>
    <x v="13"/>
    <x v="8"/>
    <x v="0"/>
    <s v="Adimali"/>
    <x v="9"/>
    <n v="899"/>
    <n v="295"/>
    <n v="604"/>
    <n v="240"/>
    <n v="364"/>
  </r>
  <r>
    <s v="408-8428443-6029125"/>
    <s v="14/12/2022"/>
    <x v="1"/>
    <x v="120"/>
    <x v="13"/>
    <x v="8"/>
    <x v="0"/>
    <s v="VADODARA"/>
    <x v="3"/>
    <n v="0"/>
    <n v="0"/>
    <n v="0"/>
    <n v="0"/>
    <n v="0"/>
  </r>
  <r>
    <s v="171-3477840-6165121"/>
    <s v="14/12/2022"/>
    <x v="0"/>
    <x v="164"/>
    <x v="13"/>
    <x v="8"/>
    <x v="0"/>
    <s v="BENGALURU"/>
    <x v="5"/>
    <n v="806.55"/>
    <n v="227"/>
    <n v="579.54999999999995"/>
    <n v="240"/>
    <n v="339.54999999999995"/>
  </r>
  <r>
    <s v="404-7002623-8482752"/>
    <s v="14/12/2022"/>
    <x v="0"/>
    <x v="133"/>
    <x v="13"/>
    <x v="8"/>
    <x v="0"/>
    <s v="AMRAVATI"/>
    <x v="6"/>
    <n v="799"/>
    <n v="205"/>
    <n v="594"/>
    <n v="240"/>
    <n v="354"/>
  </r>
  <r>
    <s v="171-6954800-0481112"/>
    <s v="14/12/2022"/>
    <x v="0"/>
    <x v="157"/>
    <x v="13"/>
    <x v="8"/>
    <x v="0"/>
    <s v="Dombivli west"/>
    <x v="6"/>
    <n v="799"/>
    <n v="205"/>
    <n v="594"/>
    <n v="240"/>
    <n v="354"/>
  </r>
  <r>
    <s v="171-1732460-2812352"/>
    <s v="14/12/2022"/>
    <x v="0"/>
    <x v="83"/>
    <x v="13"/>
    <x v="8"/>
    <x v="0"/>
    <s v="BENGALURU"/>
    <x v="5"/>
    <n v="899"/>
    <n v="295"/>
    <n v="604"/>
    <n v="240"/>
    <n v="364"/>
  </r>
  <r>
    <s v="402-1395928-1111512"/>
    <s v="14/12/2022"/>
    <x v="0"/>
    <x v="155"/>
    <x v="13"/>
    <x v="8"/>
    <x v="0"/>
    <s v="CHENNAI"/>
    <x v="7"/>
    <n v="849"/>
    <n v="250"/>
    <n v="599"/>
    <n v="240"/>
    <n v="359"/>
  </r>
  <r>
    <s v="402-1395928-1111512"/>
    <s v="14/12/2022"/>
    <x v="0"/>
    <x v="137"/>
    <x v="13"/>
    <x v="8"/>
    <x v="0"/>
    <s v="CHENNAI"/>
    <x v="7"/>
    <n v="849"/>
    <n v="250"/>
    <n v="599"/>
    <n v="240"/>
    <n v="359"/>
  </r>
  <r>
    <s v="171-5006584-5622754"/>
    <s v="14/12/2022"/>
    <x v="0"/>
    <x v="276"/>
    <x v="13"/>
    <x v="8"/>
    <x v="0"/>
    <s v="KALYAN"/>
    <x v="6"/>
    <n v="999"/>
    <n v="325"/>
    <n v="674"/>
    <n v="240"/>
    <n v="434"/>
  </r>
  <r>
    <s v="403-8429965-2641165"/>
    <s v="14/12/2022"/>
    <x v="0"/>
    <x v="158"/>
    <x v="13"/>
    <x v="8"/>
    <x v="0"/>
    <s v="BENGALURU"/>
    <x v="5"/>
    <n v="849"/>
    <n v="250"/>
    <n v="599"/>
    <n v="240"/>
    <n v="359"/>
  </r>
  <r>
    <s v="405-9719757-5412317"/>
    <s v="01/12/2022"/>
    <x v="3"/>
    <x v="31"/>
    <x v="0"/>
    <x v="8"/>
    <x v="0"/>
    <s v="HARDA"/>
    <x v="13"/>
    <n v="-759.05"/>
    <n v="320"/>
    <n v="-439.04999999999995"/>
    <n v="240"/>
    <n v="-199.04999999999995"/>
  </r>
  <r>
    <s v="404-0369900-1705166"/>
    <s v="10/12/2022"/>
    <x v="3"/>
    <x v="126"/>
    <x v="10"/>
    <x v="8"/>
    <x v="0"/>
    <s v="BALLARI"/>
    <x v="5"/>
    <n v="-849"/>
    <n v="345"/>
    <n v="-504"/>
    <n v="240"/>
    <n v="-264"/>
  </r>
  <r>
    <s v="404-0369900-1705166"/>
    <s v="10/12/2022"/>
    <x v="3"/>
    <x v="137"/>
    <x v="10"/>
    <x v="8"/>
    <x v="0"/>
    <s v="BALLARI"/>
    <x v="5"/>
    <n v="-849"/>
    <n v="345"/>
    <n v="-504"/>
    <n v="240"/>
    <n v="-264"/>
  </r>
  <r>
    <s v="402-5144272-2072314"/>
    <s v="16/12/2022"/>
    <x v="0"/>
    <x v="252"/>
    <x v="15"/>
    <x v="8"/>
    <x v="0"/>
    <s v="SOUTH GOA"/>
    <x v="21"/>
    <n v="799"/>
    <n v="205"/>
    <n v="594"/>
    <n v="240"/>
    <n v="354"/>
  </r>
  <r>
    <s v="406-7640027-2362721"/>
    <s v="15/12/2022"/>
    <x v="0"/>
    <x v="83"/>
    <x v="14"/>
    <x v="8"/>
    <x v="0"/>
    <s v="PALAKKODU"/>
    <x v="7"/>
    <n v="899"/>
    <n v="295"/>
    <n v="604"/>
    <n v="240"/>
    <n v="364"/>
  </r>
  <r>
    <s v="405-9052959-8049129"/>
    <s v="15/12/2022"/>
    <x v="0"/>
    <x v="81"/>
    <x v="14"/>
    <x v="8"/>
    <x v="0"/>
    <s v="NEW DELHI"/>
    <x v="16"/>
    <n v="799"/>
    <n v="205"/>
    <n v="594"/>
    <n v="240"/>
    <n v="354"/>
  </r>
  <r>
    <s v="406-4306166-1570701"/>
    <s v="15/12/2022"/>
    <x v="0"/>
    <x v="25"/>
    <x v="14"/>
    <x v="8"/>
    <x v="0"/>
    <s v="BHUBAN"/>
    <x v="14"/>
    <n v="799"/>
    <n v="205"/>
    <n v="594"/>
    <n v="240"/>
    <n v="354"/>
  </r>
  <r>
    <s v="403-9274603-7450742"/>
    <s v="15/12/2022"/>
    <x v="0"/>
    <x v="81"/>
    <x v="14"/>
    <x v="8"/>
    <x v="0"/>
    <s v="JAIPUR"/>
    <x v="10"/>
    <n v="759.05"/>
    <n v="202"/>
    <n v="557.04999999999995"/>
    <n v="240"/>
    <n v="317.04999999999995"/>
  </r>
  <r>
    <s v="171-4972262-8039500"/>
    <s v="15/12/2022"/>
    <x v="0"/>
    <x v="31"/>
    <x v="14"/>
    <x v="8"/>
    <x v="0"/>
    <s v="CHAMARAJANAGAR"/>
    <x v="5"/>
    <n v="799"/>
    <n v="205"/>
    <n v="594"/>
    <n v="240"/>
    <n v="354"/>
  </r>
  <r>
    <s v="171-7529628-2527533"/>
    <s v="15/12/2022"/>
    <x v="0"/>
    <x v="95"/>
    <x v="14"/>
    <x v="8"/>
    <x v="0"/>
    <s v="JAIPUR"/>
    <x v="10"/>
    <n v="854.05"/>
    <n v="270"/>
    <n v="584.04999999999995"/>
    <n v="240"/>
    <n v="344.04999999999995"/>
  </r>
  <r>
    <s v="403-4292778-2620348"/>
    <s v="15/12/2022"/>
    <x v="0"/>
    <x v="177"/>
    <x v="14"/>
    <x v="8"/>
    <x v="0"/>
    <s v="Greater Noida"/>
    <x v="1"/>
    <n v="759.05"/>
    <n v="202"/>
    <n v="557.04999999999995"/>
    <n v="240"/>
    <n v="317.04999999999995"/>
  </r>
  <r>
    <s v="171-9437779-8308368"/>
    <s v="16/12/2022"/>
    <x v="2"/>
    <x v="95"/>
    <x v="15"/>
    <x v="8"/>
    <x v="0"/>
    <s v="KANCHIPURAM"/>
    <x v="7"/>
    <n v="0"/>
    <n v="0"/>
    <n v="0"/>
    <n v="0"/>
    <n v="0"/>
  </r>
  <r>
    <s v="406-3779621-3077961"/>
    <s v="05/12/2022"/>
    <x v="3"/>
    <x v="137"/>
    <x v="4"/>
    <x v="8"/>
    <x v="0"/>
    <s v="VIZIANAGARAM"/>
    <x v="2"/>
    <n v="-849"/>
    <n v="345"/>
    <n v="-504"/>
    <n v="240"/>
    <n v="-264"/>
  </r>
  <r>
    <s v="404-9515756-4396325"/>
    <s v="16/12/2022"/>
    <x v="2"/>
    <x v="88"/>
    <x v="15"/>
    <x v="8"/>
    <x v="0"/>
    <s v="HYDERABAD"/>
    <x v="8"/>
    <n v="0"/>
    <n v="0"/>
    <n v="0"/>
    <n v="0"/>
    <n v="0"/>
  </r>
  <r>
    <s v="403-4292778-2620348"/>
    <s v="15/12/2022"/>
    <x v="3"/>
    <x v="177"/>
    <x v="14"/>
    <x v="8"/>
    <x v="0"/>
    <s v="Greater Noida"/>
    <x v="1"/>
    <n v="-759.05"/>
    <n v="320"/>
    <n v="-439.04999999999995"/>
    <n v="240"/>
    <n v="-199.04999999999995"/>
  </r>
  <r>
    <s v="406-1286996-9333165"/>
    <s v="16/12/2022"/>
    <x v="0"/>
    <x v="80"/>
    <x v="15"/>
    <x v="8"/>
    <x v="0"/>
    <s v="GWALIOR"/>
    <x v="13"/>
    <n v="899"/>
    <n v="295"/>
    <n v="604"/>
    <n v="240"/>
    <n v="364"/>
  </r>
  <r>
    <s v="408-2733601-8633922"/>
    <s v="16/12/2022"/>
    <x v="1"/>
    <x v="86"/>
    <x v="15"/>
    <x v="8"/>
    <x v="0"/>
    <s v="HYDERABAD"/>
    <x v="8"/>
    <n v="0"/>
    <n v="0"/>
    <n v="0"/>
    <n v="0"/>
    <n v="0"/>
  </r>
  <r>
    <s v="405-2918903-2509952"/>
    <s v="16/12/2022"/>
    <x v="0"/>
    <x v="128"/>
    <x v="15"/>
    <x v="8"/>
    <x v="0"/>
    <s v="NEW DELHI"/>
    <x v="16"/>
    <n v="999"/>
    <n v="325"/>
    <n v="674"/>
    <n v="240"/>
    <n v="434"/>
  </r>
  <r>
    <s v="408-7644645-2186766"/>
    <s v="16/12/2022"/>
    <x v="0"/>
    <x v="15"/>
    <x v="15"/>
    <x v="8"/>
    <x v="0"/>
    <s v="BANGALORE"/>
    <x v="5"/>
    <n v="849"/>
    <n v="250"/>
    <n v="599"/>
    <n v="240"/>
    <n v="359"/>
  </r>
  <r>
    <s v="406-4128258-1026766"/>
    <s v="16/12/2022"/>
    <x v="0"/>
    <x v="25"/>
    <x v="15"/>
    <x v="8"/>
    <x v="0"/>
    <s v="HYDERABAD"/>
    <x v="8"/>
    <n v="799"/>
    <n v="205"/>
    <n v="594"/>
    <n v="240"/>
    <n v="354"/>
  </r>
  <r>
    <s v="171-2484486-0196321"/>
    <s v="16/12/2022"/>
    <x v="0"/>
    <x v="86"/>
    <x v="15"/>
    <x v="8"/>
    <x v="0"/>
    <s v="NEW DELHI"/>
    <x v="16"/>
    <n v="899"/>
    <n v="295"/>
    <n v="604"/>
    <n v="240"/>
    <n v="364"/>
  </r>
  <r>
    <s v="404-9515756-4396325"/>
    <s v="16/12/2022"/>
    <x v="0"/>
    <x v="88"/>
    <x v="15"/>
    <x v="8"/>
    <x v="0"/>
    <s v="HYDERABAD"/>
    <x v="8"/>
    <n v="899"/>
    <n v="295"/>
    <n v="604"/>
    <n v="240"/>
    <n v="364"/>
  </r>
  <r>
    <s v="408-7606034-0068361"/>
    <s v="16/12/2022"/>
    <x v="0"/>
    <x v="80"/>
    <x v="15"/>
    <x v="8"/>
    <x v="0"/>
    <s v="CHENNAI"/>
    <x v="7"/>
    <n v="899"/>
    <n v="295"/>
    <n v="604"/>
    <n v="240"/>
    <n v="364"/>
  </r>
  <r>
    <s v="171-9437779-8308368"/>
    <s v="16/12/2022"/>
    <x v="0"/>
    <x v="95"/>
    <x v="15"/>
    <x v="8"/>
    <x v="0"/>
    <s v="KANCHIPURAM"/>
    <x v="7"/>
    <n v="854.05"/>
    <n v="270"/>
    <n v="584.04999999999995"/>
    <n v="240"/>
    <n v="344.04999999999995"/>
  </r>
  <r>
    <s v="403-1936689-0161125"/>
    <s v="16/12/2022"/>
    <x v="0"/>
    <x v="95"/>
    <x v="15"/>
    <x v="8"/>
    <x v="0"/>
    <s v="HYDERABAD"/>
    <x v="8"/>
    <n v="854.05"/>
    <n v="270"/>
    <n v="584.04999999999995"/>
    <n v="240"/>
    <n v="344.04999999999995"/>
  </r>
  <r>
    <s v="407-4603970-1630744"/>
    <s v="16/12/2022"/>
    <x v="0"/>
    <x v="110"/>
    <x v="15"/>
    <x v="8"/>
    <x v="0"/>
    <s v="MANJHANPUR"/>
    <x v="1"/>
    <n v="799"/>
    <n v="205"/>
    <n v="594"/>
    <n v="240"/>
    <n v="354"/>
  </r>
  <r>
    <s v="406-9329115-5241121"/>
    <s v="16/12/2022"/>
    <x v="0"/>
    <x v="200"/>
    <x v="15"/>
    <x v="8"/>
    <x v="0"/>
    <s v="NAWA"/>
    <x v="10"/>
    <n v="949.05"/>
    <n v="306"/>
    <n v="643.04999999999995"/>
    <n v="240"/>
    <n v="403.04999999999995"/>
  </r>
  <r>
    <s v="403-4894689-4541926"/>
    <s v="16/12/2022"/>
    <x v="0"/>
    <x v="95"/>
    <x v="15"/>
    <x v="8"/>
    <x v="0"/>
    <s v="Singrauli"/>
    <x v="13"/>
    <n v="854.05"/>
    <n v="270"/>
    <n v="584.04999999999995"/>
    <n v="240"/>
    <n v="344.04999999999995"/>
  </r>
  <r>
    <s v="407-6848542-6137152"/>
    <s v="16/12/2022"/>
    <x v="0"/>
    <x v="80"/>
    <x v="15"/>
    <x v="8"/>
    <x v="0"/>
    <s v="WARANGAL"/>
    <x v="8"/>
    <n v="899"/>
    <n v="295"/>
    <n v="604"/>
    <n v="240"/>
    <n v="364"/>
  </r>
  <r>
    <s v="403-2173369-7688324"/>
    <s v="16/12/2022"/>
    <x v="0"/>
    <x v="126"/>
    <x v="15"/>
    <x v="8"/>
    <x v="0"/>
    <s v="BENGALURU"/>
    <x v="5"/>
    <n v="849"/>
    <n v="250"/>
    <n v="599"/>
    <n v="240"/>
    <n v="359"/>
  </r>
  <r>
    <s v="406-9329115-5241121"/>
    <s v="16/12/2022"/>
    <x v="3"/>
    <x v="200"/>
    <x v="15"/>
    <x v="8"/>
    <x v="0"/>
    <s v="NAWA"/>
    <x v="10"/>
    <n v="-949.05"/>
    <n v="395"/>
    <n v="-554.04999999999995"/>
    <n v="240"/>
    <n v="-314.04999999999995"/>
  </r>
  <r>
    <s v="408-3825132-5290727"/>
    <s v="09/12/2022"/>
    <x v="3"/>
    <x v="125"/>
    <x v="8"/>
    <x v="8"/>
    <x v="0"/>
    <s v="HYDERABAD"/>
    <x v="8"/>
    <n v="-999"/>
    <n v="395"/>
    <n v="-604"/>
    <n v="240"/>
    <n v="-364"/>
  </r>
  <r>
    <s v="403-8782327-7885941"/>
    <s v="11/12/2022"/>
    <x v="3"/>
    <x v="216"/>
    <x v="9"/>
    <x v="8"/>
    <x v="0"/>
    <s v="KARNAL"/>
    <x v="15"/>
    <n v="-799"/>
    <n v="320"/>
    <n v="-479"/>
    <n v="240"/>
    <n v="-239"/>
  </r>
  <r>
    <s v="406-7758126-5809105"/>
    <s v="17/12/2022"/>
    <x v="2"/>
    <x v="147"/>
    <x v="16"/>
    <x v="8"/>
    <x v="0"/>
    <s v="OLD GOA"/>
    <x v="21"/>
    <n v="0"/>
    <n v="0"/>
    <n v="0"/>
    <n v="0"/>
    <n v="0"/>
  </r>
  <r>
    <s v="404-9244204-9932327"/>
    <s v="18/12/2022"/>
    <x v="2"/>
    <x v="95"/>
    <x v="18"/>
    <x v="8"/>
    <x v="0"/>
    <s v="AIZAWL"/>
    <x v="28"/>
    <n v="0"/>
    <n v="0"/>
    <n v="0"/>
    <n v="0"/>
    <n v="0"/>
  </r>
  <r>
    <s v="405-7641399-6222735"/>
    <s v="17/12/2022"/>
    <x v="0"/>
    <x v="147"/>
    <x v="16"/>
    <x v="8"/>
    <x v="0"/>
    <s v="CHITHARA  KOLLAM"/>
    <x v="9"/>
    <n v="799"/>
    <n v="205"/>
    <n v="594"/>
    <n v="240"/>
    <n v="354"/>
  </r>
  <r>
    <s v="406-3910075-4619508"/>
    <s v="17/12/2022"/>
    <x v="0"/>
    <x v="128"/>
    <x v="16"/>
    <x v="8"/>
    <x v="0"/>
    <s v="BENGALURU"/>
    <x v="5"/>
    <n v="999"/>
    <n v="325"/>
    <n v="674"/>
    <n v="240"/>
    <n v="434"/>
  </r>
  <r>
    <s v="408-1416826-4733947"/>
    <s v="17/12/2022"/>
    <x v="0"/>
    <x v="126"/>
    <x v="16"/>
    <x v="8"/>
    <x v="0"/>
    <s v="BENGALURU"/>
    <x v="5"/>
    <n v="849"/>
    <n v="250"/>
    <n v="599"/>
    <n v="240"/>
    <n v="359"/>
  </r>
  <r>
    <s v="407-7823180-0029913"/>
    <s v="17/12/2022"/>
    <x v="0"/>
    <x v="81"/>
    <x v="16"/>
    <x v="8"/>
    <x v="0"/>
    <s v="DAUSA"/>
    <x v="10"/>
    <n v="799"/>
    <n v="205"/>
    <n v="594"/>
    <n v="240"/>
    <n v="354"/>
  </r>
  <r>
    <s v="405-1990015-2561913"/>
    <s v="18/12/2022"/>
    <x v="0"/>
    <x v="98"/>
    <x v="18"/>
    <x v="8"/>
    <x v="0"/>
    <s v="SWAMIMALAI"/>
    <x v="7"/>
    <n v="854.05"/>
    <n v="270"/>
    <n v="584.04999999999995"/>
    <n v="240"/>
    <n v="344.04999999999995"/>
  </r>
  <r>
    <s v="404-4125882-6929947"/>
    <s v="18/12/2022"/>
    <x v="0"/>
    <x v="59"/>
    <x v="18"/>
    <x v="8"/>
    <x v="0"/>
    <s v="BHILWARA"/>
    <x v="10"/>
    <n v="899"/>
    <n v="295"/>
    <n v="604"/>
    <n v="240"/>
    <n v="364"/>
  </r>
  <r>
    <s v="406-5173148-5052322"/>
    <s v="17/12/2022"/>
    <x v="0"/>
    <x v="149"/>
    <x v="16"/>
    <x v="8"/>
    <x v="0"/>
    <s v="MAHINDRA WORLD CITY"/>
    <x v="7"/>
    <n v="799"/>
    <n v="205"/>
    <n v="594"/>
    <n v="240"/>
    <n v="354"/>
  </r>
  <r>
    <s v="407-6632622-0683529"/>
    <s v="17/12/2022"/>
    <x v="0"/>
    <x v="88"/>
    <x v="16"/>
    <x v="8"/>
    <x v="0"/>
    <s v="Vijayawada"/>
    <x v="2"/>
    <n v="854.05"/>
    <n v="270"/>
    <n v="584.04999999999995"/>
    <n v="240"/>
    <n v="344.04999999999995"/>
  </r>
  <r>
    <s v="408-0311420-6542770"/>
    <s v="17/12/2022"/>
    <x v="1"/>
    <x v="98"/>
    <x v="16"/>
    <x v="8"/>
    <x v="0"/>
    <s v="BENGALURU"/>
    <x v="5"/>
    <n v="0"/>
    <n v="0"/>
    <n v="0"/>
    <n v="0"/>
    <n v="0"/>
  </r>
  <r>
    <s v="404-7758832-4912369"/>
    <s v="18/12/2022"/>
    <x v="0"/>
    <x v="25"/>
    <x v="18"/>
    <x v="8"/>
    <x v="0"/>
    <s v="CHURU"/>
    <x v="10"/>
    <n v="799"/>
    <n v="205"/>
    <n v="594"/>
    <n v="240"/>
    <n v="354"/>
  </r>
  <r>
    <s v="403-6836418-8151559"/>
    <s v="18/12/2022"/>
    <x v="0"/>
    <x v="143"/>
    <x v="18"/>
    <x v="8"/>
    <x v="0"/>
    <s v="LONI"/>
    <x v="1"/>
    <n v="849"/>
    <n v="250"/>
    <n v="599"/>
    <n v="240"/>
    <n v="359"/>
  </r>
  <r>
    <s v="403-6836418-8151559"/>
    <s v="18/12/2022"/>
    <x v="0"/>
    <x v="137"/>
    <x v="18"/>
    <x v="8"/>
    <x v="0"/>
    <s v="LONI"/>
    <x v="1"/>
    <n v="849"/>
    <n v="250"/>
    <n v="599"/>
    <n v="240"/>
    <n v="359"/>
  </r>
  <r>
    <s v="405-9092015-1585911"/>
    <s v="17/12/2022"/>
    <x v="0"/>
    <x v="86"/>
    <x v="16"/>
    <x v="8"/>
    <x v="0"/>
    <s v="PERAMBALUR"/>
    <x v="7"/>
    <n v="899"/>
    <n v="295"/>
    <n v="604"/>
    <n v="240"/>
    <n v="364"/>
  </r>
  <r>
    <s v="404-0720900-3335560"/>
    <s v="17/12/2022"/>
    <x v="0"/>
    <x v="44"/>
    <x v="16"/>
    <x v="8"/>
    <x v="0"/>
    <s v="BENGALURU"/>
    <x v="5"/>
    <n v="854.05"/>
    <n v="270"/>
    <n v="584.04999999999995"/>
    <n v="240"/>
    <n v="344.04999999999995"/>
  </r>
  <r>
    <s v="408-2698100-5271544"/>
    <s v="17/12/2022"/>
    <x v="0"/>
    <x v="165"/>
    <x v="16"/>
    <x v="8"/>
    <x v="0"/>
    <s v="MOHALI"/>
    <x v="26"/>
    <n v="799"/>
    <n v="205"/>
    <n v="594"/>
    <n v="240"/>
    <n v="354"/>
  </r>
  <r>
    <s v="403-1747237-9359522"/>
    <s v="17/12/2022"/>
    <x v="0"/>
    <x v="180"/>
    <x v="16"/>
    <x v="8"/>
    <x v="0"/>
    <s v="Greater Noida"/>
    <x v="1"/>
    <n v="799"/>
    <n v="205"/>
    <n v="594"/>
    <n v="240"/>
    <n v="354"/>
  </r>
  <r>
    <s v="405-3084526-3917963"/>
    <s v="17/12/2022"/>
    <x v="0"/>
    <x v="277"/>
    <x v="16"/>
    <x v="8"/>
    <x v="0"/>
    <s v="KOLLAM"/>
    <x v="9"/>
    <n v="799"/>
    <n v="205"/>
    <n v="594"/>
    <n v="240"/>
    <n v="354"/>
  </r>
  <r>
    <s v="408-2535143-8253162"/>
    <s v="18/12/2022"/>
    <x v="0"/>
    <x v="12"/>
    <x v="18"/>
    <x v="8"/>
    <x v="0"/>
    <s v="MUMBAI"/>
    <x v="6"/>
    <n v="849"/>
    <n v="250"/>
    <n v="599"/>
    <n v="240"/>
    <n v="359"/>
  </r>
  <r>
    <s v="404-0903570-9050707"/>
    <s v="17/12/2022"/>
    <x v="0"/>
    <x v="86"/>
    <x v="16"/>
    <x v="8"/>
    <x v="0"/>
    <s v="HASSAN"/>
    <x v="5"/>
    <n v="899"/>
    <n v="295"/>
    <n v="604"/>
    <n v="240"/>
    <n v="364"/>
  </r>
  <r>
    <s v="402-1186139-0296301"/>
    <s v="02/12/2022"/>
    <x v="3"/>
    <x v="154"/>
    <x v="1"/>
    <x v="8"/>
    <x v="0"/>
    <s v="HYDERABAD"/>
    <x v="8"/>
    <n v="-799"/>
    <n v="320"/>
    <n v="-479"/>
    <n v="240"/>
    <n v="-239"/>
  </r>
  <r>
    <s v="402-1125243-2062715"/>
    <s v="18/12/2022"/>
    <x v="0"/>
    <x v="15"/>
    <x v="18"/>
    <x v="8"/>
    <x v="0"/>
    <s v="HYDERABAD"/>
    <x v="8"/>
    <n v="849"/>
    <n v="250"/>
    <n v="599"/>
    <n v="240"/>
    <n v="359"/>
  </r>
  <r>
    <s v="405-7674248-9092327"/>
    <s v="18/12/2022"/>
    <x v="0"/>
    <x v="15"/>
    <x v="18"/>
    <x v="8"/>
    <x v="0"/>
    <s v="valsad"/>
    <x v="3"/>
    <n v="806.55"/>
    <n v="227"/>
    <n v="579.54999999999995"/>
    <n v="240"/>
    <n v="339.54999999999995"/>
  </r>
  <r>
    <s v="404-5350542-6529141"/>
    <s v="18/12/2022"/>
    <x v="0"/>
    <x v="80"/>
    <x v="18"/>
    <x v="8"/>
    <x v="0"/>
    <s v="AIZAWL"/>
    <x v="28"/>
    <n v="899"/>
    <n v="295"/>
    <n v="604"/>
    <n v="240"/>
    <n v="364"/>
  </r>
  <r>
    <s v="171-8239691-3461966"/>
    <s v="18/12/2022"/>
    <x v="0"/>
    <x v="15"/>
    <x v="18"/>
    <x v="8"/>
    <x v="0"/>
    <s v="Prayagraj"/>
    <x v="1"/>
    <n v="849"/>
    <n v="250"/>
    <n v="599"/>
    <n v="240"/>
    <n v="359"/>
  </r>
  <r>
    <s v="408-6743657-8814761"/>
    <s v="12/12/2022"/>
    <x v="3"/>
    <x v="164"/>
    <x v="11"/>
    <x v="8"/>
    <x v="0"/>
    <s v="BEED"/>
    <x v="6"/>
    <n v="-849"/>
    <n v="345"/>
    <n v="-504"/>
    <n v="240"/>
    <n v="-264"/>
  </r>
  <r>
    <s v="402-4553714-0658719"/>
    <s v="18/12/2022"/>
    <x v="0"/>
    <x v="164"/>
    <x v="18"/>
    <x v="8"/>
    <x v="0"/>
    <s v="DASUA"/>
    <x v="26"/>
    <n v="849"/>
    <n v="250"/>
    <n v="599"/>
    <n v="240"/>
    <n v="359"/>
  </r>
  <r>
    <s v="171-7689090-1452304"/>
    <s v="18/12/2022"/>
    <x v="0"/>
    <x v="98"/>
    <x v="18"/>
    <x v="8"/>
    <x v="0"/>
    <s v="NAGPUR"/>
    <x v="6"/>
    <n v="854.05"/>
    <n v="270"/>
    <n v="584.04999999999995"/>
    <n v="240"/>
    <n v="344.04999999999995"/>
  </r>
  <r>
    <s v="406-4618940-8729142"/>
    <s v="17/12/2022"/>
    <x v="0"/>
    <x v="164"/>
    <x v="16"/>
    <x v="8"/>
    <x v="0"/>
    <s v="Karunagappally"/>
    <x v="9"/>
    <n v="849"/>
    <n v="250"/>
    <n v="599"/>
    <n v="240"/>
    <n v="359"/>
  </r>
  <r>
    <s v="404-1869931-3925134"/>
    <s v="12/12/2022"/>
    <x v="3"/>
    <x v="147"/>
    <x v="11"/>
    <x v="8"/>
    <x v="0"/>
    <s v="AURANGABAD"/>
    <x v="6"/>
    <n v="-799"/>
    <n v="320"/>
    <n v="-479"/>
    <n v="240"/>
    <n v="-239"/>
  </r>
  <r>
    <s v="171-1681184-0763546"/>
    <s v="11/12/2022"/>
    <x v="3"/>
    <x v="176"/>
    <x v="9"/>
    <x v="8"/>
    <x v="0"/>
    <s v="BENGALURU"/>
    <x v="5"/>
    <n v="-899"/>
    <n v="375"/>
    <n v="-524"/>
    <n v="240"/>
    <n v="-284"/>
  </r>
  <r>
    <s v="408-0195951-3643550"/>
    <s v="11/12/2022"/>
    <x v="3"/>
    <x v="25"/>
    <x v="9"/>
    <x v="8"/>
    <x v="0"/>
    <s v="PUNE"/>
    <x v="6"/>
    <n v="-799"/>
    <n v="320"/>
    <n v="-479"/>
    <n v="240"/>
    <n v="-239"/>
  </r>
  <r>
    <s v="402-3472528-9471537"/>
    <s v="19/12/2022"/>
    <x v="0"/>
    <x v="165"/>
    <x v="17"/>
    <x v="8"/>
    <x v="0"/>
    <s v="BHOPAL"/>
    <x v="13"/>
    <n v="799"/>
    <n v="205"/>
    <n v="594"/>
    <n v="240"/>
    <n v="354"/>
  </r>
  <r>
    <s v="406-7266696-2733929"/>
    <s v="19/12/2022"/>
    <x v="0"/>
    <x v="179"/>
    <x v="17"/>
    <x v="8"/>
    <x v="0"/>
    <s v="ROURKELA"/>
    <x v="14"/>
    <n v="799"/>
    <n v="205"/>
    <n v="594"/>
    <n v="240"/>
    <n v="354"/>
  </r>
  <r>
    <s v="408-3472835-2066753"/>
    <s v="19/12/2022"/>
    <x v="0"/>
    <x v="59"/>
    <x v="17"/>
    <x v="8"/>
    <x v="0"/>
    <s v="LUDHIANA"/>
    <x v="26"/>
    <n v="854.05"/>
    <n v="270"/>
    <n v="584.04999999999995"/>
    <n v="240"/>
    <n v="344.04999999999995"/>
  </r>
  <r>
    <s v="408-3472835-2066753"/>
    <s v="19/12/2022"/>
    <x v="0"/>
    <x v="165"/>
    <x v="17"/>
    <x v="8"/>
    <x v="0"/>
    <s v="LUDHIANA"/>
    <x v="26"/>
    <n v="799"/>
    <n v="205"/>
    <n v="594"/>
    <n v="240"/>
    <n v="354"/>
  </r>
  <r>
    <s v="406-2717038-1889954"/>
    <s v="19/12/2022"/>
    <x v="0"/>
    <x v="68"/>
    <x v="17"/>
    <x v="8"/>
    <x v="0"/>
    <s v="NOIDA"/>
    <x v="1"/>
    <n v="799"/>
    <n v="205"/>
    <n v="594"/>
    <n v="240"/>
    <n v="354"/>
  </r>
  <r>
    <s v="171-0282718-9345102"/>
    <s v="19/12/2022"/>
    <x v="0"/>
    <x v="246"/>
    <x v="17"/>
    <x v="8"/>
    <x v="0"/>
    <s v="LUDHIANA"/>
    <x v="26"/>
    <n v="799"/>
    <n v="205"/>
    <n v="594"/>
    <n v="240"/>
    <n v="354"/>
  </r>
  <r>
    <s v="404-9029413-2110739"/>
    <s v="19/12/2022"/>
    <x v="0"/>
    <x v="31"/>
    <x v="17"/>
    <x v="8"/>
    <x v="0"/>
    <s v="NARASARAOPET"/>
    <x v="2"/>
    <n v="799"/>
    <n v="205"/>
    <n v="594"/>
    <n v="240"/>
    <n v="354"/>
  </r>
  <r>
    <s v="405-2848223-2769101"/>
    <s v="19/12/2022"/>
    <x v="0"/>
    <x v="68"/>
    <x v="17"/>
    <x v="8"/>
    <x v="0"/>
    <s v="GUMLA"/>
    <x v="11"/>
    <n v="759.05"/>
    <n v="202"/>
    <n v="557.04999999999995"/>
    <n v="240"/>
    <n v="317.04999999999995"/>
  </r>
  <r>
    <s v="403-7426128-9194752"/>
    <s v="19/12/2022"/>
    <x v="0"/>
    <x v="278"/>
    <x v="17"/>
    <x v="8"/>
    <x v="0"/>
    <s v="KOLKATA"/>
    <x v="18"/>
    <n v="799"/>
    <n v="205"/>
    <n v="594"/>
    <n v="240"/>
    <n v="354"/>
  </r>
  <r>
    <s v="403-0859958-7401949"/>
    <s v="19/12/2022"/>
    <x v="0"/>
    <x v="279"/>
    <x v="17"/>
    <x v="8"/>
    <x v="0"/>
    <s v="NEW DELHI"/>
    <x v="16"/>
    <n v="799"/>
    <n v="205"/>
    <n v="594"/>
    <n v="240"/>
    <n v="354"/>
  </r>
  <r>
    <s v="407-6077313-6833965"/>
    <s v="19/12/2022"/>
    <x v="0"/>
    <x v="123"/>
    <x v="17"/>
    <x v="8"/>
    <x v="0"/>
    <s v="PATHANAMTHITTA"/>
    <x v="9"/>
    <n v="999"/>
    <n v="325"/>
    <n v="674"/>
    <n v="240"/>
    <n v="434"/>
  </r>
  <r>
    <s v="408-0167646-7026758"/>
    <s v="19/12/2022"/>
    <x v="0"/>
    <x v="153"/>
    <x v="17"/>
    <x v="8"/>
    <x v="0"/>
    <s v="KATTANKULATHUR"/>
    <x v="7"/>
    <n v="799"/>
    <n v="205"/>
    <n v="594"/>
    <n v="240"/>
    <n v="354"/>
  </r>
  <r>
    <s v="407-3928455-1322713"/>
    <s v="11/12/2022"/>
    <x v="3"/>
    <x v="125"/>
    <x v="9"/>
    <x v="8"/>
    <x v="0"/>
    <s v="mundur"/>
    <x v="9"/>
    <n v="-949.05"/>
    <n v="395"/>
    <n v="-554.04999999999995"/>
    <n v="240"/>
    <n v="-314.04999999999995"/>
  </r>
  <r>
    <s v="404-4125882-6929947"/>
    <s v="18/12/2022"/>
    <x v="3"/>
    <x v="59"/>
    <x v="18"/>
    <x v="8"/>
    <x v="0"/>
    <s v="BHILWARA"/>
    <x v="10"/>
    <n v="-899"/>
    <n v="375"/>
    <n v="-524"/>
    <n v="240"/>
    <n v="-284"/>
  </r>
  <r>
    <s v="408-3488527-5508369"/>
    <s v="12/12/2022"/>
    <x v="3"/>
    <x v="98"/>
    <x v="11"/>
    <x v="8"/>
    <x v="0"/>
    <s v="MUMBAI"/>
    <x v="6"/>
    <n v="-899"/>
    <n v="375"/>
    <n v="-524"/>
    <n v="240"/>
    <n v="-284"/>
  </r>
  <r>
    <s v="408-4609530-7297134"/>
    <s v="10/12/2022"/>
    <x v="3"/>
    <x v="183"/>
    <x v="10"/>
    <x v="8"/>
    <x v="0"/>
    <s v="VADODARA"/>
    <x v="3"/>
    <n v="-849"/>
    <n v="345"/>
    <n v="-504"/>
    <n v="240"/>
    <n v="-264"/>
  </r>
  <r>
    <s v="408-6384477-7902723"/>
    <s v="20/12/2022"/>
    <x v="0"/>
    <x v="98"/>
    <x v="19"/>
    <x v="8"/>
    <x v="0"/>
    <s v="NASHIK"/>
    <x v="6"/>
    <n v="854.05"/>
    <n v="270"/>
    <n v="584.04999999999995"/>
    <n v="240"/>
    <n v="344.04999999999995"/>
  </r>
  <r>
    <s v="403-9187793-8597134"/>
    <s v="20/12/2022"/>
    <x v="0"/>
    <x v="15"/>
    <x v="19"/>
    <x v="8"/>
    <x v="0"/>
    <s v="KOTTAYAM"/>
    <x v="9"/>
    <n v="806.55"/>
    <n v="227"/>
    <n v="579.54999999999995"/>
    <n v="240"/>
    <n v="339.54999999999995"/>
  </r>
  <r>
    <s v="405-7666720-3098744"/>
    <s v="20/12/2022"/>
    <x v="0"/>
    <x v="74"/>
    <x v="19"/>
    <x v="8"/>
    <x v="0"/>
    <s v="MAHARAJGANJ"/>
    <x v="1"/>
    <n v="899"/>
    <n v="295"/>
    <n v="604"/>
    <n v="240"/>
    <n v="364"/>
  </r>
  <r>
    <s v="171-3010797-6853955"/>
    <s v="20/12/2022"/>
    <x v="0"/>
    <x v="124"/>
    <x v="19"/>
    <x v="8"/>
    <x v="0"/>
    <s v="CHANDIGARH"/>
    <x v="33"/>
    <n v="999"/>
    <n v="325"/>
    <n v="674"/>
    <n v="240"/>
    <n v="434"/>
  </r>
  <r>
    <s v="408-7850086-1273122"/>
    <s v="20/12/2022"/>
    <x v="0"/>
    <x v="98"/>
    <x v="19"/>
    <x v="8"/>
    <x v="0"/>
    <s v="BENGALURU"/>
    <x v="5"/>
    <n v="1753.05"/>
    <n v="503"/>
    <n v="1250.05"/>
    <n v="240"/>
    <n v="1010.05"/>
  </r>
  <r>
    <s v="408-7547625-5707511"/>
    <s v="20/12/2022"/>
    <x v="0"/>
    <x v="120"/>
    <x v="19"/>
    <x v="8"/>
    <x v="0"/>
    <s v="HYDERABAD"/>
    <x v="8"/>
    <n v="849"/>
    <n v="250"/>
    <n v="599"/>
    <n v="240"/>
    <n v="359"/>
  </r>
  <r>
    <s v="408-7581190-8654759"/>
    <s v="20/12/2022"/>
    <x v="0"/>
    <x v="129"/>
    <x v="19"/>
    <x v="8"/>
    <x v="0"/>
    <s v="Ghatkopar MUMBAI"/>
    <x v="6"/>
    <n v="799"/>
    <n v="205"/>
    <n v="594"/>
    <n v="240"/>
    <n v="354"/>
  </r>
  <r>
    <s v="405-3344561-8269112"/>
    <s v="20/12/2022"/>
    <x v="0"/>
    <x v="252"/>
    <x v="19"/>
    <x v="8"/>
    <x v="0"/>
    <s v="BHOPAL"/>
    <x v="13"/>
    <n v="799"/>
    <n v="205"/>
    <n v="594"/>
    <n v="240"/>
    <n v="354"/>
  </r>
  <r>
    <s v="404-8626216-1733143"/>
    <s v="20/12/2022"/>
    <x v="0"/>
    <x v="134"/>
    <x v="19"/>
    <x v="8"/>
    <x v="0"/>
    <s v="LUDHIANA"/>
    <x v="26"/>
    <n v="849"/>
    <n v="250"/>
    <n v="599"/>
    <n v="240"/>
    <n v="359"/>
  </r>
  <r>
    <s v="405-2129993-7587540"/>
    <s v="20/12/2022"/>
    <x v="0"/>
    <x v="68"/>
    <x v="19"/>
    <x v="8"/>
    <x v="0"/>
    <s v="Bengaluru"/>
    <x v="5"/>
    <n v="799"/>
    <n v="205"/>
    <n v="594"/>
    <n v="240"/>
    <n v="354"/>
  </r>
  <r>
    <s v="408-2265095-0178731"/>
    <s v="20/12/2022"/>
    <x v="1"/>
    <x v="83"/>
    <x v="19"/>
    <x v="8"/>
    <x v="0"/>
    <s v="BENGALURU"/>
    <x v="5"/>
    <n v="0"/>
    <n v="0"/>
    <n v="0"/>
    <n v="0"/>
    <n v="0"/>
  </r>
  <r>
    <s v="408-8137770-7461167"/>
    <s v="20/12/2022"/>
    <x v="0"/>
    <x v="126"/>
    <x v="19"/>
    <x v="8"/>
    <x v="0"/>
    <s v="CHENNAI"/>
    <x v="7"/>
    <n v="849"/>
    <n v="250"/>
    <n v="599"/>
    <n v="240"/>
    <n v="359"/>
  </r>
  <r>
    <s v="171-9834068-2456304"/>
    <s v="20/12/2022"/>
    <x v="0"/>
    <x v="193"/>
    <x v="19"/>
    <x v="8"/>
    <x v="0"/>
    <s v="NAGPUR"/>
    <x v="6"/>
    <n v="799"/>
    <n v="205"/>
    <n v="594"/>
    <n v="240"/>
    <n v="354"/>
  </r>
  <r>
    <s v="405-5730273-3717918"/>
    <s v="20/12/2022"/>
    <x v="0"/>
    <x v="174"/>
    <x v="19"/>
    <x v="8"/>
    <x v="0"/>
    <s v="AMRAVATI"/>
    <x v="6"/>
    <n v="799"/>
    <n v="205"/>
    <n v="594"/>
    <n v="240"/>
    <n v="354"/>
  </r>
  <r>
    <s v="407-7823180-0029913"/>
    <s v="17/12/2022"/>
    <x v="3"/>
    <x v="81"/>
    <x v="16"/>
    <x v="8"/>
    <x v="0"/>
    <s v="DAUSA"/>
    <x v="10"/>
    <n v="-799"/>
    <n v="320"/>
    <n v="-479"/>
    <n v="240"/>
    <n v="-239"/>
  </r>
  <r>
    <s v="403-6836418-8151559"/>
    <s v="18/12/2022"/>
    <x v="3"/>
    <x v="143"/>
    <x v="18"/>
    <x v="8"/>
    <x v="0"/>
    <s v="LONI"/>
    <x v="1"/>
    <n v="-849"/>
    <n v="345"/>
    <n v="-504"/>
    <n v="240"/>
    <n v="-264"/>
  </r>
  <r>
    <s v="405-2918903-2509952"/>
    <s v="16/12/2022"/>
    <x v="3"/>
    <x v="128"/>
    <x v="15"/>
    <x v="8"/>
    <x v="0"/>
    <s v="NEW DELHI"/>
    <x v="16"/>
    <n v="-999"/>
    <n v="395"/>
    <n v="-604"/>
    <n v="240"/>
    <n v="-364"/>
  </r>
  <r>
    <s v="171-8723196-0180326"/>
    <s v="21/12/2022"/>
    <x v="0"/>
    <x v="15"/>
    <x v="20"/>
    <x v="8"/>
    <x v="0"/>
    <s v="AURANGABAD"/>
    <x v="6"/>
    <n v="806.55"/>
    <n v="227"/>
    <n v="579.54999999999995"/>
    <n v="240"/>
    <n v="339.54999999999995"/>
  </r>
  <r>
    <s v="408-4248527-1141168"/>
    <s v="22/12/2022"/>
    <x v="0"/>
    <x v="31"/>
    <x v="21"/>
    <x v="8"/>
    <x v="0"/>
    <s v="RASIPURAM"/>
    <x v="7"/>
    <n v="799"/>
    <n v="205"/>
    <n v="594"/>
    <n v="240"/>
    <n v="354"/>
  </r>
  <r>
    <s v="171-3059610-8828361"/>
    <s v="21/12/2022"/>
    <x v="0"/>
    <x v="80"/>
    <x v="20"/>
    <x v="8"/>
    <x v="0"/>
    <s v="HYDERABAD"/>
    <x v="8"/>
    <n v="899"/>
    <n v="295"/>
    <n v="604"/>
    <n v="240"/>
    <n v="364"/>
  </r>
  <r>
    <s v="405-3254974-2641919"/>
    <s v="21/12/2022"/>
    <x v="0"/>
    <x v="165"/>
    <x v="20"/>
    <x v="8"/>
    <x v="0"/>
    <s v="DIMAPUR"/>
    <x v="17"/>
    <n v="799"/>
    <n v="205"/>
    <n v="594"/>
    <n v="240"/>
    <n v="354"/>
  </r>
  <r>
    <s v="405-7890891-1968340"/>
    <s v="21/12/2022"/>
    <x v="0"/>
    <x v="15"/>
    <x v="20"/>
    <x v="8"/>
    <x v="0"/>
    <s v="PALAMPUR"/>
    <x v="22"/>
    <n v="849"/>
    <n v="250"/>
    <n v="599"/>
    <n v="240"/>
    <n v="359"/>
  </r>
  <r>
    <s v="405-9052959-8049129"/>
    <s v="15/12/2022"/>
    <x v="3"/>
    <x v="81"/>
    <x v="14"/>
    <x v="8"/>
    <x v="0"/>
    <s v="NEW DELHI"/>
    <x v="16"/>
    <n v="-799"/>
    <n v="320"/>
    <n v="-479"/>
    <n v="240"/>
    <n v="-239"/>
  </r>
  <r>
    <s v="171-4425245-6744346"/>
    <s v="10/12/2022"/>
    <x v="3"/>
    <x v="123"/>
    <x v="10"/>
    <x v="8"/>
    <x v="0"/>
    <s v="Mumbai Mumbai"/>
    <x v="6"/>
    <n v="-999"/>
    <n v="395"/>
    <n v="-604"/>
    <n v="240"/>
    <n v="-364"/>
  </r>
  <r>
    <s v="404-6067095-3225117"/>
    <s v="22/12/2022"/>
    <x v="2"/>
    <x v="44"/>
    <x v="21"/>
    <x v="8"/>
    <x v="0"/>
    <s v="PATNA"/>
    <x v="0"/>
    <n v="0"/>
    <n v="0"/>
    <n v="0"/>
    <n v="0"/>
    <n v="0"/>
  </r>
  <r>
    <s v="403-9009897-2784355"/>
    <s v="22/12/2022"/>
    <x v="0"/>
    <x v="138"/>
    <x v="21"/>
    <x v="8"/>
    <x v="0"/>
    <s v="YAVATMAL"/>
    <x v="6"/>
    <n v="799"/>
    <n v="205"/>
    <n v="594"/>
    <n v="240"/>
    <n v="354"/>
  </r>
  <r>
    <s v="408-7595510-4486764"/>
    <s v="22/12/2022"/>
    <x v="0"/>
    <x v="95"/>
    <x v="21"/>
    <x v="8"/>
    <x v="0"/>
    <s v="CHENNAI"/>
    <x v="7"/>
    <n v="899"/>
    <n v="295"/>
    <n v="604"/>
    <n v="240"/>
    <n v="364"/>
  </r>
  <r>
    <s v="406-5337107-8169124"/>
    <s v="22/12/2022"/>
    <x v="0"/>
    <x v="95"/>
    <x v="21"/>
    <x v="8"/>
    <x v="0"/>
    <s v="PIMPRI CHINCHWAD"/>
    <x v="6"/>
    <n v="854.05"/>
    <n v="270"/>
    <n v="584.04999999999995"/>
    <n v="240"/>
    <n v="344.04999999999995"/>
  </r>
  <r>
    <s v="171-6517202-9054753"/>
    <s v="22/12/2022"/>
    <x v="0"/>
    <x v="31"/>
    <x v="21"/>
    <x v="8"/>
    <x v="0"/>
    <s v="Thrissur"/>
    <x v="9"/>
    <n v="759.05"/>
    <n v="202"/>
    <n v="557.04999999999995"/>
    <n v="240"/>
    <n v="317.04999999999995"/>
  </r>
  <r>
    <s v="403-0444389-4269922"/>
    <s v="22/12/2022"/>
    <x v="0"/>
    <x v="80"/>
    <x v="21"/>
    <x v="8"/>
    <x v="0"/>
    <s v="HYDERABAD"/>
    <x v="8"/>
    <n v="854.05"/>
    <n v="270"/>
    <n v="584.04999999999995"/>
    <n v="240"/>
    <n v="344.04999999999995"/>
  </r>
  <r>
    <s v="402-7918465-1436340"/>
    <s v="22/12/2022"/>
    <x v="0"/>
    <x v="177"/>
    <x v="21"/>
    <x v="8"/>
    <x v="0"/>
    <s v="VADODARA"/>
    <x v="3"/>
    <n v="799"/>
    <n v="205"/>
    <n v="594"/>
    <n v="240"/>
    <n v="354"/>
  </r>
  <r>
    <s v="406-8449733-4005150"/>
    <s v="22/12/2022"/>
    <x v="0"/>
    <x v="15"/>
    <x v="21"/>
    <x v="8"/>
    <x v="0"/>
    <s v="BENGALURU"/>
    <x v="5"/>
    <n v="806.55"/>
    <n v="227"/>
    <n v="579.54999999999995"/>
    <n v="240"/>
    <n v="339.54999999999995"/>
  </r>
  <r>
    <s v="402-5959115-6901956"/>
    <s v="22/12/2022"/>
    <x v="0"/>
    <x v="280"/>
    <x v="21"/>
    <x v="8"/>
    <x v="0"/>
    <s v="MUDBIDRI"/>
    <x v="5"/>
    <n v="799"/>
    <n v="205"/>
    <n v="594"/>
    <n v="240"/>
    <n v="354"/>
  </r>
  <r>
    <s v="404-6226605-2636316"/>
    <s v="22/12/2022"/>
    <x v="0"/>
    <x v="44"/>
    <x v="21"/>
    <x v="8"/>
    <x v="0"/>
    <s v="VARANASI"/>
    <x v="1"/>
    <n v="899"/>
    <n v="295"/>
    <n v="604"/>
    <n v="240"/>
    <n v="364"/>
  </r>
  <r>
    <s v="402-2848813-7272336"/>
    <s v="22/12/2022"/>
    <x v="0"/>
    <x v="137"/>
    <x v="21"/>
    <x v="8"/>
    <x v="0"/>
    <s v="MUNIYAPPAN KOVIL"/>
    <x v="7"/>
    <n v="849"/>
    <n v="250"/>
    <n v="599"/>
    <n v="240"/>
    <n v="359"/>
  </r>
  <r>
    <s v="171-4047587-6996315"/>
    <s v="22/12/2022"/>
    <x v="0"/>
    <x v="193"/>
    <x v="21"/>
    <x v="8"/>
    <x v="0"/>
    <s v="NASHIK"/>
    <x v="6"/>
    <n v="799"/>
    <n v="205"/>
    <n v="594"/>
    <n v="240"/>
    <n v="354"/>
  </r>
  <r>
    <s v="403-1747237-9359522"/>
    <s v="17/12/2022"/>
    <x v="3"/>
    <x v="180"/>
    <x v="16"/>
    <x v="8"/>
    <x v="0"/>
    <s v="Greater Noida"/>
    <x v="1"/>
    <n v="-799"/>
    <n v="320"/>
    <n v="-479"/>
    <n v="240"/>
    <n v="-239"/>
  </r>
  <r>
    <s v="171-6517202-9054753"/>
    <s v="22/12/2022"/>
    <x v="3"/>
    <x v="31"/>
    <x v="21"/>
    <x v="8"/>
    <x v="0"/>
    <s v="Thrissur"/>
    <x v="9"/>
    <n v="-759.05"/>
    <n v="320"/>
    <n v="-439.04999999999995"/>
    <n v="240"/>
    <n v="-199.04999999999995"/>
  </r>
  <r>
    <s v="408-1747493-7427500"/>
    <s v="24/12/2022"/>
    <x v="2"/>
    <x v="98"/>
    <x v="22"/>
    <x v="8"/>
    <x v="0"/>
    <s v="GAURIBIDANUR"/>
    <x v="5"/>
    <n v="0"/>
    <n v="0"/>
    <n v="0"/>
    <n v="0"/>
    <n v="0"/>
  </r>
  <r>
    <s v="403-1749915-7745907"/>
    <s v="24/12/2022"/>
    <x v="2"/>
    <x v="125"/>
    <x v="22"/>
    <x v="8"/>
    <x v="0"/>
    <s v="Pune"/>
    <x v="6"/>
    <n v="0"/>
    <n v="0"/>
    <n v="0"/>
    <n v="0"/>
    <n v="0"/>
  </r>
  <r>
    <s v="403-1749915-7745907"/>
    <s v="24/12/2022"/>
    <x v="2"/>
    <x v="141"/>
    <x v="22"/>
    <x v="8"/>
    <x v="0"/>
    <s v="Pune"/>
    <x v="6"/>
    <n v="0"/>
    <n v="0"/>
    <n v="0"/>
    <n v="0"/>
    <n v="0"/>
  </r>
  <r>
    <s v="403-2028192-7386706"/>
    <s v="23/12/2022"/>
    <x v="0"/>
    <x v="69"/>
    <x v="23"/>
    <x v="8"/>
    <x v="0"/>
    <s v="NASHIK"/>
    <x v="6"/>
    <n v="849"/>
    <n v="250"/>
    <n v="599"/>
    <n v="240"/>
    <n v="359"/>
  </r>
  <r>
    <s v="407-8213583-2965944"/>
    <s v="23/12/2022"/>
    <x v="0"/>
    <x v="31"/>
    <x v="23"/>
    <x v="8"/>
    <x v="0"/>
    <s v="AURANGABAD"/>
    <x v="6"/>
    <n v="799"/>
    <n v="205"/>
    <n v="594"/>
    <n v="240"/>
    <n v="354"/>
  </r>
  <r>
    <s v="402-8519345-1412353"/>
    <s v="23/12/2022"/>
    <x v="0"/>
    <x v="15"/>
    <x v="23"/>
    <x v="8"/>
    <x v="0"/>
    <s v="Etah"/>
    <x v="1"/>
    <n v="806.55"/>
    <n v="227"/>
    <n v="579.54999999999995"/>
    <n v="240"/>
    <n v="339.54999999999995"/>
  </r>
  <r>
    <s v="406-5862020-7313129"/>
    <s v="23/12/2022"/>
    <x v="0"/>
    <x v="128"/>
    <x v="23"/>
    <x v="8"/>
    <x v="0"/>
    <s v="GARHWA"/>
    <x v="11"/>
    <n v="999"/>
    <n v="325"/>
    <n v="674"/>
    <n v="240"/>
    <n v="434"/>
  </r>
  <r>
    <s v="404-4238202-4390727"/>
    <s v="23/12/2022"/>
    <x v="0"/>
    <x v="68"/>
    <x v="23"/>
    <x v="8"/>
    <x v="0"/>
    <s v="PALWAL"/>
    <x v="15"/>
    <n v="759.05"/>
    <n v="202"/>
    <n v="557.04999999999995"/>
    <n v="240"/>
    <n v="317.04999999999995"/>
  </r>
  <r>
    <s v="405-2960767-7339560"/>
    <s v="23/12/2022"/>
    <x v="0"/>
    <x v="125"/>
    <x v="23"/>
    <x v="8"/>
    <x v="0"/>
    <s v="RAICHUR"/>
    <x v="5"/>
    <n v="949.05"/>
    <n v="306"/>
    <n v="643.04999999999995"/>
    <n v="240"/>
    <n v="403.04999999999995"/>
  </r>
  <r>
    <s v="171-4215986-8055524"/>
    <s v="23/12/2022"/>
    <x v="0"/>
    <x v="121"/>
    <x v="23"/>
    <x v="8"/>
    <x v="0"/>
    <s v="Guntur"/>
    <x v="2"/>
    <n v="759.05"/>
    <n v="202"/>
    <n v="557.04999999999995"/>
    <n v="240"/>
    <n v="317.04999999999995"/>
  </r>
  <r>
    <s v="171-2048784-9461959"/>
    <s v="23/12/2022"/>
    <x v="0"/>
    <x v="44"/>
    <x v="23"/>
    <x v="8"/>
    <x v="0"/>
    <s v="SAMBA"/>
    <x v="31"/>
    <n v="899"/>
    <n v="295"/>
    <n v="604"/>
    <n v="240"/>
    <n v="364"/>
  </r>
  <r>
    <s v="171-7798130-8854746"/>
    <s v="23/12/2022"/>
    <x v="0"/>
    <x v="15"/>
    <x v="23"/>
    <x v="8"/>
    <x v="0"/>
    <s v="HYDERABAD"/>
    <x v="8"/>
    <n v="849"/>
    <n v="250"/>
    <n v="599"/>
    <n v="240"/>
    <n v="359"/>
  </r>
  <r>
    <s v="404-3885024-0033940"/>
    <s v="23/12/2022"/>
    <x v="0"/>
    <x v="193"/>
    <x v="23"/>
    <x v="8"/>
    <x v="0"/>
    <s v="MORADABAD"/>
    <x v="1"/>
    <n v="799"/>
    <n v="205"/>
    <n v="594"/>
    <n v="240"/>
    <n v="354"/>
  </r>
  <r>
    <s v="403-0859958-7401949"/>
    <s v="19/12/2022"/>
    <x v="3"/>
    <x v="279"/>
    <x v="17"/>
    <x v="8"/>
    <x v="0"/>
    <s v="NEW DELHI"/>
    <x v="16"/>
    <n v="-799"/>
    <n v="320"/>
    <n v="-479"/>
    <n v="240"/>
    <n v="-239"/>
  </r>
  <r>
    <s v="405-7510745-3529103"/>
    <s v="24/12/2022"/>
    <x v="2"/>
    <x v="148"/>
    <x v="22"/>
    <x v="8"/>
    <x v="0"/>
    <s v="ALAPPUZHA"/>
    <x v="9"/>
    <n v="0"/>
    <n v="0"/>
    <n v="0"/>
    <n v="0"/>
    <n v="0"/>
  </r>
  <r>
    <s v="171-5006584-5622754"/>
    <s v="14/12/2022"/>
    <x v="3"/>
    <x v="276"/>
    <x v="13"/>
    <x v="8"/>
    <x v="0"/>
    <s v="KALYAN"/>
    <x v="6"/>
    <n v="-999"/>
    <n v="395"/>
    <n v="-604"/>
    <n v="240"/>
    <n v="-364"/>
  </r>
  <r>
    <s v="171-5899170-7501162"/>
    <s v="24/12/2022"/>
    <x v="2"/>
    <x v="98"/>
    <x v="22"/>
    <x v="8"/>
    <x v="0"/>
    <s v="SURATGARH"/>
    <x v="10"/>
    <n v="0"/>
    <n v="0"/>
    <n v="0"/>
    <n v="0"/>
    <n v="0"/>
  </r>
  <r>
    <s v="404-7059745-4077154"/>
    <s v="09/12/2022"/>
    <x v="3"/>
    <x v="273"/>
    <x v="8"/>
    <x v="8"/>
    <x v="0"/>
    <s v="Jaipur"/>
    <x v="10"/>
    <n v="-799"/>
    <n v="320"/>
    <n v="-479"/>
    <n v="240"/>
    <n v="-239"/>
  </r>
  <r>
    <s v="402-1125243-2062715"/>
    <s v="18/12/2022"/>
    <x v="3"/>
    <x v="15"/>
    <x v="18"/>
    <x v="8"/>
    <x v="0"/>
    <s v="HYDERABAD"/>
    <x v="8"/>
    <n v="-849"/>
    <n v="345"/>
    <n v="-504"/>
    <n v="240"/>
    <n v="-264"/>
  </r>
  <r>
    <s v="171-1732460-2812352"/>
    <s v="14/12/2022"/>
    <x v="3"/>
    <x v="83"/>
    <x v="13"/>
    <x v="8"/>
    <x v="0"/>
    <s v="BENGALURU"/>
    <x v="5"/>
    <n v="-899"/>
    <n v="375"/>
    <n v="-524"/>
    <n v="240"/>
    <n v="-284"/>
  </r>
  <r>
    <s v="402-6172655-8249130"/>
    <s v="13/12/2022"/>
    <x v="3"/>
    <x v="79"/>
    <x v="12"/>
    <x v="8"/>
    <x v="0"/>
    <s v="Ramoji Film City  Hyderabad"/>
    <x v="8"/>
    <n v="-899"/>
    <n v="375"/>
    <n v="-524"/>
    <n v="240"/>
    <n v="-284"/>
  </r>
  <r>
    <s v="405-7666720-3098744"/>
    <s v="20/12/2022"/>
    <x v="3"/>
    <x v="74"/>
    <x v="19"/>
    <x v="8"/>
    <x v="0"/>
    <s v="MAHARAJGANJ"/>
    <x v="1"/>
    <n v="-899"/>
    <n v="375"/>
    <n v="-524"/>
    <n v="240"/>
    <n v="-284"/>
  </r>
  <r>
    <s v="171-7754028-4431559"/>
    <s v="25/12/2022"/>
    <x v="0"/>
    <x v="124"/>
    <x v="24"/>
    <x v="8"/>
    <x v="0"/>
    <s v="MOGA"/>
    <x v="26"/>
    <n v="999"/>
    <n v="325"/>
    <n v="674"/>
    <n v="240"/>
    <n v="434"/>
  </r>
  <r>
    <s v="405-8563344-8328309"/>
    <s v="25/12/2022"/>
    <x v="0"/>
    <x v="15"/>
    <x v="24"/>
    <x v="8"/>
    <x v="0"/>
    <s v="Bhagalpur"/>
    <x v="0"/>
    <n v="806.55"/>
    <n v="227"/>
    <n v="579.54999999999995"/>
    <n v="240"/>
    <n v="339.54999999999995"/>
  </r>
  <r>
    <s v="408-8053318-4373900"/>
    <s v="24/12/2022"/>
    <x v="0"/>
    <x v="15"/>
    <x v="22"/>
    <x v="8"/>
    <x v="0"/>
    <s v="VADODARA"/>
    <x v="3"/>
    <n v="806.55"/>
    <n v="227"/>
    <n v="579.54999999999995"/>
    <n v="240"/>
    <n v="339.54999999999995"/>
  </r>
  <r>
    <s v="407-5934753-7049928"/>
    <s v="24/12/2022"/>
    <x v="0"/>
    <x v="273"/>
    <x v="22"/>
    <x v="8"/>
    <x v="0"/>
    <s v="JAIPUR"/>
    <x v="10"/>
    <n v="799"/>
    <n v="205"/>
    <n v="594"/>
    <n v="240"/>
    <n v="354"/>
  </r>
  <r>
    <s v="404-9880250-7749147"/>
    <s v="25/12/2022"/>
    <x v="0"/>
    <x v="44"/>
    <x v="24"/>
    <x v="8"/>
    <x v="0"/>
    <s v="PUNE"/>
    <x v="6"/>
    <n v="899"/>
    <n v="295"/>
    <n v="604"/>
    <n v="240"/>
    <n v="364"/>
  </r>
  <r>
    <s v="405-7510745-3529103"/>
    <s v="24/12/2022"/>
    <x v="0"/>
    <x v="148"/>
    <x v="22"/>
    <x v="8"/>
    <x v="0"/>
    <s v="ALAPPUZHA"/>
    <x v="9"/>
    <n v="799"/>
    <n v="205"/>
    <n v="594"/>
    <n v="240"/>
    <n v="354"/>
  </r>
  <r>
    <s v="402-7732107-9004310"/>
    <s v="25/12/2022"/>
    <x v="0"/>
    <x v="155"/>
    <x v="24"/>
    <x v="8"/>
    <x v="0"/>
    <s v="MUMBAI"/>
    <x v="6"/>
    <n v="849"/>
    <n v="250"/>
    <n v="599"/>
    <n v="240"/>
    <n v="359"/>
  </r>
  <r>
    <s v="405-0191558-6250748"/>
    <s v="25/12/2022"/>
    <x v="0"/>
    <x v="15"/>
    <x v="24"/>
    <x v="8"/>
    <x v="0"/>
    <s v="BENGALURU"/>
    <x v="5"/>
    <n v="849"/>
    <n v="250"/>
    <n v="599"/>
    <n v="240"/>
    <n v="359"/>
  </r>
  <r>
    <s v="171-5899170-7501162"/>
    <s v="24/12/2022"/>
    <x v="0"/>
    <x v="98"/>
    <x v="22"/>
    <x v="8"/>
    <x v="0"/>
    <s v="SURATGARH"/>
    <x v="10"/>
    <n v="899"/>
    <n v="295"/>
    <n v="604"/>
    <n v="240"/>
    <n v="364"/>
  </r>
  <r>
    <s v="403-1749915-7745907"/>
    <s v="24/12/2022"/>
    <x v="0"/>
    <x v="125"/>
    <x v="22"/>
    <x v="8"/>
    <x v="0"/>
    <s v="Pune"/>
    <x v="6"/>
    <n v="999"/>
    <n v="325"/>
    <n v="674"/>
    <n v="240"/>
    <n v="434"/>
  </r>
  <r>
    <s v="403-1749915-7745907"/>
    <s v="24/12/2022"/>
    <x v="0"/>
    <x v="141"/>
    <x v="22"/>
    <x v="8"/>
    <x v="0"/>
    <s v="Pune"/>
    <x v="6"/>
    <n v="849"/>
    <n v="250"/>
    <n v="599"/>
    <n v="240"/>
    <n v="359"/>
  </r>
  <r>
    <s v="407-7278080-0565955"/>
    <s v="25/12/2022"/>
    <x v="0"/>
    <x v="204"/>
    <x v="24"/>
    <x v="8"/>
    <x v="0"/>
    <s v="MALAPPURAM"/>
    <x v="9"/>
    <n v="799"/>
    <n v="205"/>
    <n v="594"/>
    <n v="240"/>
    <n v="354"/>
  </r>
  <r>
    <s v="404-1048189-5795520"/>
    <s v="25/12/2022"/>
    <x v="0"/>
    <x v="168"/>
    <x v="24"/>
    <x v="8"/>
    <x v="0"/>
    <s v="BOISAR"/>
    <x v="6"/>
    <n v="799"/>
    <n v="205"/>
    <n v="594"/>
    <n v="240"/>
    <n v="354"/>
  </r>
  <r>
    <s v="171-4061248-3308326"/>
    <s v="24/12/2022"/>
    <x v="0"/>
    <x v="124"/>
    <x v="22"/>
    <x v="8"/>
    <x v="0"/>
    <s v="BHUBANESWAR"/>
    <x v="14"/>
    <n v="949.05"/>
    <n v="306"/>
    <n v="643.04999999999995"/>
    <n v="240"/>
    <n v="403.04999999999995"/>
  </r>
  <r>
    <s v="405-8312070-2516321"/>
    <s v="25/12/2022"/>
    <x v="0"/>
    <x v="74"/>
    <x v="24"/>
    <x v="8"/>
    <x v="0"/>
    <s v="HATHRAS"/>
    <x v="1"/>
    <n v="899"/>
    <n v="295"/>
    <n v="604"/>
    <n v="240"/>
    <n v="364"/>
  </r>
  <r>
    <s v="408-8666207-5358727"/>
    <s v="25/12/2022"/>
    <x v="1"/>
    <x v="281"/>
    <x v="24"/>
    <x v="8"/>
    <x v="0"/>
    <s v="KOLKATA"/>
    <x v="18"/>
    <n v="0"/>
    <n v="0"/>
    <n v="0"/>
    <n v="0"/>
    <n v="0"/>
  </r>
  <r>
    <s v="404-0984746-9113943"/>
    <s v="25/12/2022"/>
    <x v="0"/>
    <x v="83"/>
    <x v="24"/>
    <x v="8"/>
    <x v="0"/>
    <s v="Idaicode"/>
    <x v="7"/>
    <n v="854.05"/>
    <n v="270"/>
    <n v="584.04999999999995"/>
    <n v="240"/>
    <n v="344.04999999999995"/>
  </r>
  <r>
    <s v="408-1747493-7427500"/>
    <s v="24/12/2022"/>
    <x v="0"/>
    <x v="98"/>
    <x v="22"/>
    <x v="8"/>
    <x v="0"/>
    <s v="GAURIBIDANUR"/>
    <x v="5"/>
    <n v="854.05"/>
    <n v="270"/>
    <n v="584.04999999999995"/>
    <n v="240"/>
    <n v="344.04999999999995"/>
  </r>
  <r>
    <s v="404-9029413-2110739"/>
    <s v="19/12/2022"/>
    <x v="3"/>
    <x v="31"/>
    <x v="17"/>
    <x v="8"/>
    <x v="0"/>
    <s v="NARASARAOPET"/>
    <x v="2"/>
    <n v="-799"/>
    <n v="320"/>
    <n v="-479"/>
    <n v="240"/>
    <n v="-239"/>
  </r>
  <r>
    <s v="405-7890891-1968340"/>
    <s v="21/12/2022"/>
    <x v="3"/>
    <x v="15"/>
    <x v="20"/>
    <x v="8"/>
    <x v="0"/>
    <s v="PALAMPUR"/>
    <x v="22"/>
    <n v="-849"/>
    <n v="345"/>
    <n v="-504"/>
    <n v="240"/>
    <n v="-264"/>
  </r>
  <r>
    <s v="402-2915943-9029903"/>
    <s v="26/12/2022"/>
    <x v="2"/>
    <x v="41"/>
    <x v="25"/>
    <x v="8"/>
    <x v="0"/>
    <s v="GOSSAIGAON"/>
    <x v="4"/>
    <n v="0"/>
    <n v="0"/>
    <n v="0"/>
    <n v="0"/>
    <n v="0"/>
  </r>
  <r>
    <s v="402-0930354-7025965"/>
    <s v="26/12/2022"/>
    <x v="2"/>
    <x v="128"/>
    <x v="25"/>
    <x v="8"/>
    <x v="0"/>
    <s v="BENGALURU"/>
    <x v="5"/>
    <n v="0"/>
    <n v="0"/>
    <n v="0"/>
    <n v="0"/>
    <n v="0"/>
  </r>
  <r>
    <s v="403-0919190-3993910"/>
    <s v="26/12/2022"/>
    <x v="0"/>
    <x v="15"/>
    <x v="25"/>
    <x v="8"/>
    <x v="0"/>
    <s v="VADODARA"/>
    <x v="3"/>
    <n v="849"/>
    <n v="250"/>
    <n v="599"/>
    <n v="240"/>
    <n v="359"/>
  </r>
  <r>
    <s v="408-8470963-4166750"/>
    <s v="26/12/2022"/>
    <x v="0"/>
    <x v="52"/>
    <x v="25"/>
    <x v="8"/>
    <x v="0"/>
    <s v="UDHAMPUR"/>
    <x v="31"/>
    <n v="899"/>
    <n v="295"/>
    <n v="604"/>
    <n v="240"/>
    <n v="364"/>
  </r>
  <r>
    <s v="407-9830892-0814715"/>
    <s v="26/12/2022"/>
    <x v="0"/>
    <x v="25"/>
    <x v="25"/>
    <x v="8"/>
    <x v="0"/>
    <s v="Patana Bhal   Ta  Vallbhipur   Distric  Bhavnagar"/>
    <x v="3"/>
    <n v="799"/>
    <n v="205"/>
    <n v="594"/>
    <n v="240"/>
    <n v="354"/>
  </r>
  <r>
    <s v="171-7899051-5687515"/>
    <s v="26/12/2022"/>
    <x v="0"/>
    <x v="137"/>
    <x v="25"/>
    <x v="8"/>
    <x v="0"/>
    <s v="VADODARA"/>
    <x v="3"/>
    <n v="849"/>
    <n v="250"/>
    <n v="599"/>
    <n v="240"/>
    <n v="359"/>
  </r>
  <r>
    <s v="407-9922732-6592356"/>
    <s v="26/12/2022"/>
    <x v="0"/>
    <x v="79"/>
    <x v="25"/>
    <x v="8"/>
    <x v="0"/>
    <s v="AIZAWL"/>
    <x v="28"/>
    <n v="899"/>
    <n v="295"/>
    <n v="604"/>
    <n v="240"/>
    <n v="364"/>
  </r>
  <r>
    <s v="402-7866523-5355567"/>
    <s v="26/12/2022"/>
    <x v="0"/>
    <x v="149"/>
    <x v="25"/>
    <x v="8"/>
    <x v="0"/>
    <s v="MALAPPURAM"/>
    <x v="9"/>
    <n v="799"/>
    <n v="205"/>
    <n v="594"/>
    <n v="240"/>
    <n v="354"/>
  </r>
  <r>
    <s v="408-9522658-0969922"/>
    <s v="26/12/2022"/>
    <x v="0"/>
    <x v="120"/>
    <x v="25"/>
    <x v="8"/>
    <x v="0"/>
    <s v="CHENNAI"/>
    <x v="7"/>
    <n v="849"/>
    <n v="250"/>
    <n v="599"/>
    <n v="240"/>
    <n v="359"/>
  </r>
  <r>
    <s v="404-6932248-0116330"/>
    <s v="26/12/2022"/>
    <x v="0"/>
    <x v="202"/>
    <x v="25"/>
    <x v="8"/>
    <x v="0"/>
    <s v="COIMBATORE"/>
    <x v="7"/>
    <n v="949.05"/>
    <n v="306"/>
    <n v="643.04999999999995"/>
    <n v="240"/>
    <n v="403.04999999999995"/>
  </r>
  <r>
    <s v="402-0233878-1525114"/>
    <s v="26/12/2022"/>
    <x v="0"/>
    <x v="282"/>
    <x v="25"/>
    <x v="8"/>
    <x v="0"/>
    <s v="GOSSAIGAON"/>
    <x v="4"/>
    <n v="849"/>
    <n v="250"/>
    <n v="599"/>
    <n v="240"/>
    <n v="359"/>
  </r>
  <r>
    <s v="405-1607807-9967516"/>
    <s v="28/12/2022"/>
    <x v="2"/>
    <x v="81"/>
    <x v="27"/>
    <x v="8"/>
    <x v="0"/>
    <s v="BENGALURU"/>
    <x v="5"/>
    <n v="0"/>
    <n v="0"/>
    <n v="0"/>
    <n v="0"/>
    <n v="0"/>
  </r>
  <r>
    <s v="404-4802807-8370748"/>
    <s v="27/12/2022"/>
    <x v="0"/>
    <x v="15"/>
    <x v="26"/>
    <x v="8"/>
    <x v="0"/>
    <s v="HYDERABAD"/>
    <x v="8"/>
    <n v="849"/>
    <n v="250"/>
    <n v="599"/>
    <n v="240"/>
    <n v="359"/>
  </r>
  <r>
    <s v="406-0495548-5405168"/>
    <s v="27/12/2022"/>
    <x v="0"/>
    <x v="189"/>
    <x v="26"/>
    <x v="8"/>
    <x v="0"/>
    <s v="HYDERABAD"/>
    <x v="8"/>
    <n v="799"/>
    <n v="205"/>
    <n v="594"/>
    <n v="240"/>
    <n v="354"/>
  </r>
  <r>
    <s v="171-4156607-6300305"/>
    <s v="27/12/2022"/>
    <x v="0"/>
    <x v="88"/>
    <x v="26"/>
    <x v="8"/>
    <x v="0"/>
    <s v="AMBALA"/>
    <x v="15"/>
    <n v="899"/>
    <n v="295"/>
    <n v="604"/>
    <n v="240"/>
    <n v="364"/>
  </r>
  <r>
    <s v="405-7520160-9405124"/>
    <s v="27/12/2022"/>
    <x v="0"/>
    <x v="154"/>
    <x v="26"/>
    <x v="8"/>
    <x v="0"/>
    <s v="PALAMANER"/>
    <x v="2"/>
    <n v="799"/>
    <n v="205"/>
    <n v="594"/>
    <n v="240"/>
    <n v="354"/>
  </r>
  <r>
    <s v="406-0887109-7729968"/>
    <s v="27/12/2022"/>
    <x v="0"/>
    <x v="59"/>
    <x v="26"/>
    <x v="8"/>
    <x v="0"/>
    <s v="NAHARLAGUN"/>
    <x v="34"/>
    <n v="854.05"/>
    <n v="270"/>
    <n v="584.04999999999995"/>
    <n v="240"/>
    <n v="344.04999999999995"/>
  </r>
  <r>
    <s v="402-1019729-1977104"/>
    <s v="27/12/2022"/>
    <x v="0"/>
    <x v="15"/>
    <x v="26"/>
    <x v="8"/>
    <x v="0"/>
    <s v="PUNE"/>
    <x v="6"/>
    <n v="849"/>
    <n v="250"/>
    <n v="599"/>
    <n v="240"/>
    <n v="359"/>
  </r>
  <r>
    <s v="406-5502147-4539542"/>
    <s v="26/12/2022"/>
    <x v="0"/>
    <x v="95"/>
    <x v="25"/>
    <x v="8"/>
    <x v="0"/>
    <s v="DIMAPUR"/>
    <x v="17"/>
    <n v="899"/>
    <n v="295"/>
    <n v="604"/>
    <n v="240"/>
    <n v="364"/>
  </r>
  <r>
    <s v="404-8955946-1650730"/>
    <s v="27/12/2022"/>
    <x v="0"/>
    <x v="120"/>
    <x v="26"/>
    <x v="8"/>
    <x v="0"/>
    <s v="BHILWARA"/>
    <x v="10"/>
    <n v="849"/>
    <n v="250"/>
    <n v="599"/>
    <n v="240"/>
    <n v="359"/>
  </r>
  <r>
    <s v="405-7179423-0410720"/>
    <s v="27/12/2022"/>
    <x v="0"/>
    <x v="164"/>
    <x v="26"/>
    <x v="8"/>
    <x v="0"/>
    <s v="PUNE"/>
    <x v="6"/>
    <n v="849"/>
    <n v="250"/>
    <n v="599"/>
    <n v="240"/>
    <n v="359"/>
  </r>
  <r>
    <s v="171-8723196-0180326"/>
    <s v="21/12/2022"/>
    <x v="3"/>
    <x v="15"/>
    <x v="20"/>
    <x v="8"/>
    <x v="0"/>
    <s v="AURANGABAD"/>
    <x v="6"/>
    <n v="-806.55"/>
    <n v="345"/>
    <n v="-461.54999999999995"/>
    <n v="240"/>
    <n v="-221.54999999999995"/>
  </r>
  <r>
    <s v="171-2048784-9461959"/>
    <s v="23/12/2022"/>
    <x v="3"/>
    <x v="44"/>
    <x v="23"/>
    <x v="8"/>
    <x v="0"/>
    <s v="SAMBA"/>
    <x v="31"/>
    <n v="-899"/>
    <n v="375"/>
    <n v="-524"/>
    <n v="240"/>
    <n v="-284"/>
  </r>
  <r>
    <s v="404-7002623-8482752"/>
    <s v="14/12/2022"/>
    <x v="3"/>
    <x v="133"/>
    <x v="13"/>
    <x v="8"/>
    <x v="0"/>
    <s v="AMRAVATI"/>
    <x v="6"/>
    <n v="-799"/>
    <n v="320"/>
    <n v="-479"/>
    <n v="240"/>
    <n v="-239"/>
  </r>
  <r>
    <s v="405-0653224-1569141"/>
    <s v="12/12/2022"/>
    <x v="3"/>
    <x v="124"/>
    <x v="11"/>
    <x v="8"/>
    <x v="0"/>
    <s v="JAIPUR"/>
    <x v="10"/>
    <n v="-949.05"/>
    <n v="395"/>
    <n v="-554.04999999999995"/>
    <n v="240"/>
    <n v="-314.04999999999995"/>
  </r>
  <r>
    <s v="406-9251705-6520355"/>
    <s v="28/12/2022"/>
    <x v="0"/>
    <x v="283"/>
    <x v="27"/>
    <x v="8"/>
    <x v="0"/>
    <s v="MUMBAI"/>
    <x v="6"/>
    <n v="849"/>
    <n v="250"/>
    <n v="599"/>
    <n v="240"/>
    <n v="359"/>
  </r>
  <r>
    <s v="402-9761827-4522737"/>
    <s v="28/12/2022"/>
    <x v="0"/>
    <x v="143"/>
    <x v="27"/>
    <x v="8"/>
    <x v="0"/>
    <s v="BOISAR"/>
    <x v="6"/>
    <n v="849"/>
    <n v="250"/>
    <n v="599"/>
    <n v="240"/>
    <n v="359"/>
  </r>
  <r>
    <s v="405-1607807-9967516"/>
    <s v="28/12/2022"/>
    <x v="0"/>
    <x v="81"/>
    <x v="27"/>
    <x v="8"/>
    <x v="0"/>
    <s v="BENGALURU"/>
    <x v="5"/>
    <n v="759.05"/>
    <n v="202"/>
    <n v="557.04999999999995"/>
    <n v="240"/>
    <n v="317.04999999999995"/>
  </r>
  <r>
    <s v="408-3005160-9993927"/>
    <s v="28/12/2022"/>
    <x v="1"/>
    <x v="273"/>
    <x v="27"/>
    <x v="8"/>
    <x v="0"/>
    <s v="JAIPUR"/>
    <x v="10"/>
    <n v="0"/>
    <n v="0"/>
    <n v="0"/>
    <n v="0"/>
    <n v="0"/>
  </r>
  <r>
    <s v="404-0613481-9991511"/>
    <s v="28/12/2022"/>
    <x v="0"/>
    <x v="81"/>
    <x v="27"/>
    <x v="8"/>
    <x v="0"/>
    <s v="BHUBANESWAR"/>
    <x v="14"/>
    <n v="799"/>
    <n v="205"/>
    <n v="594"/>
    <n v="240"/>
    <n v="354"/>
  </r>
  <r>
    <s v="402-3437959-1879552"/>
    <s v="28/12/2022"/>
    <x v="0"/>
    <x v="155"/>
    <x v="27"/>
    <x v="8"/>
    <x v="0"/>
    <s v="KAKINADA"/>
    <x v="2"/>
    <n v="849"/>
    <n v="250"/>
    <n v="599"/>
    <n v="240"/>
    <n v="359"/>
  </r>
  <r>
    <s v="403-6952773-2734710"/>
    <s v="28/12/2022"/>
    <x v="0"/>
    <x v="176"/>
    <x v="27"/>
    <x v="8"/>
    <x v="0"/>
    <s v="LATUR"/>
    <x v="6"/>
    <n v="854.05"/>
    <n v="270"/>
    <n v="584.04999999999995"/>
    <n v="240"/>
    <n v="344.04999999999995"/>
  </r>
  <r>
    <s v="405-5074050-2494735"/>
    <s v="28/12/2022"/>
    <x v="0"/>
    <x v="133"/>
    <x v="27"/>
    <x v="8"/>
    <x v="0"/>
    <s v="AMRAVATI"/>
    <x v="6"/>
    <n v="799"/>
    <n v="205"/>
    <n v="594"/>
    <n v="240"/>
    <n v="354"/>
  </r>
  <r>
    <s v="402-8197152-6319512"/>
    <s v="28/12/2022"/>
    <x v="0"/>
    <x v="88"/>
    <x v="27"/>
    <x v="8"/>
    <x v="0"/>
    <s v="HYDERABAD"/>
    <x v="8"/>
    <n v="854.05"/>
    <n v="270"/>
    <n v="584.04999999999995"/>
    <n v="240"/>
    <n v="344.04999999999995"/>
  </r>
  <r>
    <s v="408-3472835-2066753"/>
    <s v="19/12/2022"/>
    <x v="3"/>
    <x v="165"/>
    <x v="17"/>
    <x v="8"/>
    <x v="0"/>
    <s v="LUDHIANA"/>
    <x v="26"/>
    <n v="-799"/>
    <n v="320"/>
    <n v="-479"/>
    <n v="240"/>
    <n v="-239"/>
  </r>
  <r>
    <s v="405-5730273-3717918"/>
    <s v="20/12/2022"/>
    <x v="3"/>
    <x v="174"/>
    <x v="19"/>
    <x v="8"/>
    <x v="0"/>
    <s v="AMRAVATI"/>
    <x v="6"/>
    <n v="-799"/>
    <n v="320"/>
    <n v="-479"/>
    <n v="240"/>
    <n v="-239"/>
  </r>
  <r>
    <s v="405-8597768-1585169"/>
    <s v="29/12/2022"/>
    <x v="0"/>
    <x v="59"/>
    <x v="28"/>
    <x v="8"/>
    <x v="0"/>
    <s v="GONDIYA"/>
    <x v="6"/>
    <n v="899"/>
    <n v="295"/>
    <n v="604"/>
    <n v="240"/>
    <n v="364"/>
  </r>
  <r>
    <s v="402-2544406-5132354"/>
    <s v="29/12/2022"/>
    <x v="0"/>
    <x v="98"/>
    <x v="28"/>
    <x v="8"/>
    <x v="0"/>
    <s v="VADODARA"/>
    <x v="3"/>
    <n v="899"/>
    <n v="295"/>
    <n v="604"/>
    <n v="240"/>
    <n v="364"/>
  </r>
  <r>
    <s v="408-6683064-2109969"/>
    <s v="29/12/2022"/>
    <x v="0"/>
    <x v="68"/>
    <x v="28"/>
    <x v="8"/>
    <x v="0"/>
    <s v="BENGALURU"/>
    <x v="5"/>
    <n v="799"/>
    <n v="205"/>
    <n v="594"/>
    <n v="240"/>
    <n v="354"/>
  </r>
  <r>
    <s v="171-3776100-2539502"/>
    <s v="29/12/2022"/>
    <x v="0"/>
    <x v="15"/>
    <x v="28"/>
    <x v="8"/>
    <x v="0"/>
    <s v="BENGALURU"/>
    <x v="5"/>
    <n v="849"/>
    <n v="250"/>
    <n v="599"/>
    <n v="240"/>
    <n v="359"/>
  </r>
  <r>
    <s v="404-4133344-7660349"/>
    <s v="29/12/2022"/>
    <x v="0"/>
    <x v="80"/>
    <x v="28"/>
    <x v="8"/>
    <x v="0"/>
    <s v="NEW DELHI"/>
    <x v="16"/>
    <n v="854.05"/>
    <n v="270"/>
    <n v="584.04999999999995"/>
    <n v="240"/>
    <n v="344.04999999999995"/>
  </r>
  <r>
    <s v="408-7862720-0973955"/>
    <s v="29/12/2022"/>
    <x v="0"/>
    <x v="176"/>
    <x v="28"/>
    <x v="8"/>
    <x v="0"/>
    <s v="KOLKATA"/>
    <x v="18"/>
    <n v="854.05"/>
    <n v="270"/>
    <n v="584.04999999999995"/>
    <n v="240"/>
    <n v="344.04999999999995"/>
  </r>
  <r>
    <s v="407-2091039-8884329"/>
    <s v="29/12/2022"/>
    <x v="0"/>
    <x v="68"/>
    <x v="28"/>
    <x v="8"/>
    <x v="0"/>
    <s v="SANGARIA"/>
    <x v="10"/>
    <n v="759.05"/>
    <n v="202"/>
    <n v="557.04999999999995"/>
    <n v="240"/>
    <n v="317.04999999999995"/>
  </r>
  <r>
    <s v="403-6412255-1902736"/>
    <s v="29/12/2022"/>
    <x v="0"/>
    <x v="15"/>
    <x v="28"/>
    <x v="8"/>
    <x v="0"/>
    <s v="Alappuzha"/>
    <x v="9"/>
    <n v="806.55"/>
    <n v="227"/>
    <n v="579.54999999999995"/>
    <n v="240"/>
    <n v="339.54999999999995"/>
  </r>
  <r>
    <s v="171-0447127-2089908"/>
    <s v="29/12/2022"/>
    <x v="0"/>
    <x v="133"/>
    <x v="28"/>
    <x v="8"/>
    <x v="0"/>
    <s v="SHAHJAHANPUR"/>
    <x v="1"/>
    <n v="799"/>
    <n v="205"/>
    <n v="594"/>
    <n v="240"/>
    <n v="354"/>
  </r>
  <r>
    <s v="402-6044057-6149134"/>
    <s v="30/12/2022"/>
    <x v="2"/>
    <x v="120"/>
    <x v="29"/>
    <x v="8"/>
    <x v="0"/>
    <s v="PUTTUR"/>
    <x v="5"/>
    <n v="0"/>
    <n v="0"/>
    <n v="0"/>
    <n v="0"/>
    <n v="0"/>
  </r>
  <r>
    <s v="171-7798130-8854746"/>
    <s v="23/12/2022"/>
    <x v="3"/>
    <x v="15"/>
    <x v="23"/>
    <x v="8"/>
    <x v="0"/>
    <s v="HYDERABAD"/>
    <x v="8"/>
    <n v="-849"/>
    <n v="345"/>
    <n v="-504"/>
    <n v="240"/>
    <n v="-264"/>
  </r>
  <r>
    <s v="404-6322351-4228348"/>
    <s v="30/12/2022"/>
    <x v="2"/>
    <x v="164"/>
    <x v="29"/>
    <x v="8"/>
    <x v="0"/>
    <s v="CHAKRADHARPUR"/>
    <x v="11"/>
    <n v="0"/>
    <n v="0"/>
    <n v="0"/>
    <n v="0"/>
    <n v="0"/>
  </r>
  <r>
    <s v="402-2544406-5132354"/>
    <s v="29/12/2022"/>
    <x v="3"/>
    <x v="98"/>
    <x v="28"/>
    <x v="8"/>
    <x v="0"/>
    <s v="VADODARA"/>
    <x v="3"/>
    <n v="-899"/>
    <n v="375"/>
    <n v="-524"/>
    <n v="240"/>
    <n v="-284"/>
  </r>
  <r>
    <s v="402-2749920-5010718"/>
    <s v="30/12/2022"/>
    <x v="0"/>
    <x v="237"/>
    <x v="29"/>
    <x v="8"/>
    <x v="0"/>
    <s v="AMRAVATI"/>
    <x v="6"/>
    <n v="799"/>
    <n v="205"/>
    <n v="594"/>
    <n v="240"/>
    <n v="354"/>
  </r>
  <r>
    <s v="408-4606035-6841137"/>
    <s v="30/12/2022"/>
    <x v="0"/>
    <x v="136"/>
    <x v="29"/>
    <x v="8"/>
    <x v="0"/>
    <s v="NAVI MUMBAI"/>
    <x v="6"/>
    <n v="849"/>
    <n v="250"/>
    <n v="599"/>
    <n v="240"/>
    <n v="359"/>
  </r>
  <r>
    <s v="402-4102586-5782720"/>
    <s v="30/12/2022"/>
    <x v="0"/>
    <x v="202"/>
    <x v="29"/>
    <x v="8"/>
    <x v="0"/>
    <s v="VASAI"/>
    <x v="6"/>
    <n v="999"/>
    <n v="325"/>
    <n v="674"/>
    <n v="240"/>
    <n v="434"/>
  </r>
  <r>
    <s v="408-3900164-8729943"/>
    <s v="30/12/2022"/>
    <x v="0"/>
    <x v="123"/>
    <x v="29"/>
    <x v="8"/>
    <x v="0"/>
    <s v="DOWLESWARAM"/>
    <x v="2"/>
    <n v="999"/>
    <n v="325"/>
    <n v="674"/>
    <n v="240"/>
    <n v="434"/>
  </r>
  <r>
    <s v="408-0116920-3461177"/>
    <s v="30/12/2022"/>
    <x v="0"/>
    <x v="253"/>
    <x v="29"/>
    <x v="8"/>
    <x v="0"/>
    <s v="VADODARA"/>
    <x v="3"/>
    <n v="799"/>
    <n v="205"/>
    <n v="594"/>
    <n v="240"/>
    <n v="354"/>
  </r>
  <r>
    <s v="404-6322351-4228348"/>
    <s v="30/12/2022"/>
    <x v="0"/>
    <x v="164"/>
    <x v="29"/>
    <x v="8"/>
    <x v="0"/>
    <s v="CHAKRADHARPUR"/>
    <x v="11"/>
    <n v="849"/>
    <n v="250"/>
    <n v="599"/>
    <n v="240"/>
    <n v="359"/>
  </r>
  <r>
    <s v="408-5984993-2432327"/>
    <s v="30/12/2022"/>
    <x v="0"/>
    <x v="98"/>
    <x v="29"/>
    <x v="8"/>
    <x v="0"/>
    <s v="KOLKATA"/>
    <x v="18"/>
    <n v="854.05"/>
    <n v="270"/>
    <n v="584.04999999999995"/>
    <n v="240"/>
    <n v="344.04999999999995"/>
  </r>
  <r>
    <s v="171-2347394-2437151"/>
    <s v="30/12/2022"/>
    <x v="0"/>
    <x v="68"/>
    <x v="29"/>
    <x v="8"/>
    <x v="0"/>
    <s v="NEW DELHI"/>
    <x v="16"/>
    <n v="799"/>
    <n v="205"/>
    <n v="594"/>
    <n v="240"/>
    <n v="354"/>
  </r>
  <r>
    <s v="408-5266723-7435541"/>
    <s v="31/12/2022"/>
    <x v="2"/>
    <x v="15"/>
    <x v="30"/>
    <x v="8"/>
    <x v="0"/>
    <s v="AHMEDABAD"/>
    <x v="3"/>
    <n v="0"/>
    <n v="0"/>
    <n v="0"/>
    <n v="0"/>
    <n v="0"/>
  </r>
  <r>
    <s v="171-2179502-6397932"/>
    <s v="31/12/2022"/>
    <x v="2"/>
    <x v="31"/>
    <x v="30"/>
    <x v="8"/>
    <x v="0"/>
    <s v="MAMALURLUR INDUSTRIAL AREA"/>
    <x v="5"/>
    <n v="0"/>
    <n v="0"/>
    <n v="0"/>
    <n v="0"/>
    <n v="0"/>
  </r>
  <r>
    <s v="405-7577921-9056314"/>
    <s v="31/12/2022"/>
    <x v="0"/>
    <x v="139"/>
    <x v="30"/>
    <x v="8"/>
    <x v="0"/>
    <s v="BCPL TOWNSHIP"/>
    <x v="4"/>
    <n v="799"/>
    <n v="205"/>
    <n v="594"/>
    <n v="240"/>
    <n v="354"/>
  </r>
  <r>
    <s v="408-1450198-3225142"/>
    <s v="31/12/2022"/>
    <x v="1"/>
    <x v="149"/>
    <x v="30"/>
    <x v="8"/>
    <x v="0"/>
    <s v="ALAPPUZHA"/>
    <x v="9"/>
    <n v="0"/>
    <n v="0"/>
    <n v="0"/>
    <n v="0"/>
    <n v="0"/>
  </r>
  <r>
    <s v="402-2072230-8589940"/>
    <s v="31/12/2022"/>
    <x v="0"/>
    <x v="88"/>
    <x v="30"/>
    <x v="8"/>
    <x v="0"/>
    <s v="Edakadathy"/>
    <x v="9"/>
    <n v="899"/>
    <n v="295"/>
    <n v="604"/>
    <n v="240"/>
    <n v="364"/>
  </r>
  <r>
    <s v="405-4158822-8028366"/>
    <s v="31/12/2022"/>
    <x v="0"/>
    <x v="15"/>
    <x v="30"/>
    <x v="8"/>
    <x v="0"/>
    <s v="KOLKATA"/>
    <x v="18"/>
    <n v="849"/>
    <n v="250"/>
    <n v="599"/>
    <n v="240"/>
    <n v="359"/>
  </r>
  <r>
    <s v="404-9454792-1876350"/>
    <s v="31/12/2022"/>
    <x v="0"/>
    <x v="68"/>
    <x v="30"/>
    <x v="8"/>
    <x v="0"/>
    <s v="HYDERABAD"/>
    <x v="8"/>
    <n v="759.05"/>
    <n v="202"/>
    <n v="557.04999999999995"/>
    <n v="240"/>
    <n v="317.04999999999995"/>
  </r>
  <r>
    <s v="407-2110610-1809908"/>
    <s v="31/12/2022"/>
    <x v="0"/>
    <x v="15"/>
    <x v="30"/>
    <x v="8"/>
    <x v="0"/>
    <s v="PUTHUNAGARAM"/>
    <x v="9"/>
    <n v="849"/>
    <n v="250"/>
    <n v="599"/>
    <n v="240"/>
    <n v="359"/>
  </r>
  <r>
    <s v="402-5897146-6411561"/>
    <s v="31/12/2022"/>
    <x v="0"/>
    <x v="20"/>
    <x v="30"/>
    <x v="8"/>
    <x v="0"/>
    <s v="PUNE"/>
    <x v="6"/>
    <n v="849"/>
    <n v="250"/>
    <n v="599"/>
    <n v="240"/>
    <n v="359"/>
  </r>
  <r>
    <s v="404-7302918-6647559"/>
    <s v="31/12/2022"/>
    <x v="0"/>
    <x v="86"/>
    <x v="30"/>
    <x v="8"/>
    <x v="0"/>
    <s v="FARIDABAD"/>
    <x v="15"/>
    <n v="899"/>
    <n v="295"/>
    <n v="604"/>
    <n v="240"/>
    <n v="364"/>
  </r>
  <r>
    <s v="408-3192644-2414734"/>
    <s v="31/12/2022"/>
    <x v="1"/>
    <x v="88"/>
    <x v="30"/>
    <x v="8"/>
    <x v="0"/>
    <s v="AMBALA"/>
    <x v="15"/>
    <n v="0"/>
    <n v="0"/>
    <n v="0"/>
    <n v="0"/>
    <n v="0"/>
  </r>
  <r>
    <s v="402-2350070-2096331"/>
    <s v="31/12/2022"/>
    <x v="0"/>
    <x v="125"/>
    <x v="30"/>
    <x v="8"/>
    <x v="0"/>
    <s v="THANE"/>
    <x v="6"/>
    <n v="999"/>
    <n v="325"/>
    <n v="674"/>
    <n v="240"/>
    <n v="434"/>
  </r>
  <r>
    <s v="407-0423361-7824366"/>
    <s v="31/12/2022"/>
    <x v="0"/>
    <x v="80"/>
    <x v="30"/>
    <x v="8"/>
    <x v="0"/>
    <s v="CHITAPUR"/>
    <x v="5"/>
    <n v="899"/>
    <n v="295"/>
    <n v="604"/>
    <n v="240"/>
    <n v="364"/>
  </r>
  <r>
    <s v="404-8953789-0550713"/>
    <s v="31/12/2022"/>
    <x v="0"/>
    <x v="98"/>
    <x v="30"/>
    <x v="8"/>
    <x v="0"/>
    <s v="Mumbai"/>
    <x v="6"/>
    <n v="854.05"/>
    <n v="270"/>
    <n v="584.04999999999995"/>
    <n v="240"/>
    <n v="344.04999999999995"/>
  </r>
  <r>
    <s v="404-7500442-9906731"/>
    <s v="31/12/2022"/>
    <x v="0"/>
    <x v="69"/>
    <x v="30"/>
    <x v="8"/>
    <x v="0"/>
    <s v="ALUVA"/>
    <x v="9"/>
    <n v="806.55"/>
    <n v="227"/>
    <n v="579.54999999999995"/>
    <n v="240"/>
    <n v="339.54999999999995"/>
  </r>
  <r>
    <s v="171-9401877-4238730"/>
    <s v="31/12/2022"/>
    <x v="0"/>
    <x v="80"/>
    <x v="30"/>
    <x v="8"/>
    <x v="0"/>
    <s v="HOSHANGABAD"/>
    <x v="13"/>
    <n v="854.05"/>
    <n v="270"/>
    <n v="584.04999999999995"/>
    <n v="240"/>
    <n v="344.04999999999995"/>
  </r>
  <r>
    <s v="403-2690333-5923516"/>
    <s v="31/12/2022"/>
    <x v="0"/>
    <x v="79"/>
    <x v="30"/>
    <x v="8"/>
    <x v="0"/>
    <s v="LALGANJ"/>
    <x v="0"/>
    <n v="854.05"/>
    <n v="270"/>
    <n v="584.04999999999995"/>
    <n v="240"/>
    <n v="344.04999999999995"/>
  </r>
  <r>
    <s v="407-5788078-3365931"/>
    <s v="31/12/2022"/>
    <x v="0"/>
    <x v="229"/>
    <x v="30"/>
    <x v="8"/>
    <x v="0"/>
    <s v="PIMPRI CHINCHWAD"/>
    <x v="6"/>
    <n v="1598"/>
    <n v="365"/>
    <n v="1233"/>
    <n v="240"/>
    <n v="993"/>
  </r>
  <r>
    <s v="407-5788078-3365931"/>
    <s v="31/12/2022"/>
    <x v="0"/>
    <x v="145"/>
    <x v="30"/>
    <x v="8"/>
    <x v="0"/>
    <s v="PIMPRI CHINCHWAD"/>
    <x v="6"/>
    <n v="1598"/>
    <n v="365"/>
    <n v="1233"/>
    <n v="240"/>
    <n v="993"/>
  </r>
  <r>
    <s v="408-8340782-3244337"/>
    <s v="31/12/2022"/>
    <x v="0"/>
    <x v="25"/>
    <x v="30"/>
    <x v="8"/>
    <x v="0"/>
    <s v="JODHPUR"/>
    <x v="10"/>
    <n v="759.05"/>
    <n v="202"/>
    <n v="557.04999999999995"/>
    <n v="240"/>
    <n v="317.04999999999995"/>
  </r>
  <r>
    <s v="407-0617322-8690731"/>
    <s v="19/11/2022"/>
    <x v="3"/>
    <x v="15"/>
    <x v="17"/>
    <x v="7"/>
    <x v="0"/>
    <s v="NORTH GUWAHATI"/>
    <x v="4"/>
    <n v="-806.55"/>
    <n v="345"/>
    <n v="-461.54999999999995"/>
    <n v="240"/>
    <n v="-221.54999999999995"/>
  </r>
  <r>
    <s v="403-7266136-9285951"/>
    <s v="24/11/2022"/>
    <x v="3"/>
    <x v="128"/>
    <x v="22"/>
    <x v="7"/>
    <x v="0"/>
    <s v="CHOWWARA"/>
    <x v="9"/>
    <n v="-999"/>
    <n v="395"/>
    <n v="-604"/>
    <n v="240"/>
    <n v="-364"/>
  </r>
  <r>
    <s v="405-3841146-1501133"/>
    <s v="27/11/2022"/>
    <x v="3"/>
    <x v="123"/>
    <x v="26"/>
    <x v="7"/>
    <x v="0"/>
    <s v="RANCHI"/>
    <x v="11"/>
    <n v="-999"/>
    <n v="395"/>
    <n v="-604"/>
    <n v="240"/>
    <n v="-364"/>
  </r>
  <r>
    <s v="407-9487380-6077158"/>
    <s v="23/11/2022"/>
    <x v="3"/>
    <x v="68"/>
    <x v="23"/>
    <x v="7"/>
    <x v="0"/>
    <s v="ERODE"/>
    <x v="7"/>
    <n v="-799"/>
    <n v="320"/>
    <n v="-479"/>
    <n v="240"/>
    <n v="-239"/>
  </r>
  <r>
    <s v="403-2125859-4861923"/>
    <s v="26/11/2022"/>
    <x v="3"/>
    <x v="236"/>
    <x v="25"/>
    <x v="7"/>
    <x v="0"/>
    <s v="kadapa"/>
    <x v="2"/>
    <n v="-849"/>
    <n v="345"/>
    <n v="-504"/>
    <n v="240"/>
    <n v="-264"/>
  </r>
  <r>
    <s v="407-5542298-9033917"/>
    <s v="29/11/2022"/>
    <x v="3"/>
    <x v="68"/>
    <x v="28"/>
    <x v="7"/>
    <x v="0"/>
    <s v="HYDERABAD"/>
    <x v="8"/>
    <n v="-799"/>
    <n v="320"/>
    <n v="-479"/>
    <n v="240"/>
    <n v="-239"/>
  </r>
  <r>
    <s v="407-6062702-9039525"/>
    <s v="21/11/2022"/>
    <x v="3"/>
    <x v="133"/>
    <x v="20"/>
    <x v="7"/>
    <x v="0"/>
    <s v="NOIDA"/>
    <x v="1"/>
    <n v="-759.05"/>
    <n v="320"/>
    <n v="-439.04999999999995"/>
    <n v="240"/>
    <n v="-199.04999999999995"/>
  </r>
  <r>
    <s v="402-9403213-6633967"/>
    <s v="24/11/2022"/>
    <x v="3"/>
    <x v="133"/>
    <x v="22"/>
    <x v="7"/>
    <x v="0"/>
    <s v="AMRAVATI"/>
    <x v="6"/>
    <n v="-799"/>
    <n v="320"/>
    <n v="-479"/>
    <n v="240"/>
    <n v="-239"/>
  </r>
  <r>
    <s v="404-2691375-9645146"/>
    <s v="27/11/2022"/>
    <x v="3"/>
    <x v="120"/>
    <x v="26"/>
    <x v="7"/>
    <x v="0"/>
    <s v="PILANI TOWN"/>
    <x v="10"/>
    <n v="-849"/>
    <n v="345"/>
    <n v="-504"/>
    <n v="240"/>
    <n v="-264"/>
  </r>
  <r>
    <s v="405-1018360-4508317"/>
    <s v="28/11/2022"/>
    <x v="3"/>
    <x v="15"/>
    <x v="27"/>
    <x v="7"/>
    <x v="0"/>
    <s v="Anpara"/>
    <x v="1"/>
    <n v="-806.55"/>
    <n v="345"/>
    <n v="-461.54999999999995"/>
    <n v="240"/>
    <n v="-221.54999999999995"/>
  </r>
  <r>
    <s v="403-8190320-6522724"/>
    <s v="27/11/2022"/>
    <x v="3"/>
    <x v="123"/>
    <x v="26"/>
    <x v="7"/>
    <x v="0"/>
    <s v="NEW DELHI"/>
    <x v="16"/>
    <n v="-949.05"/>
    <n v="395"/>
    <n v="-554.04999999999995"/>
    <n v="240"/>
    <n v="-314.04999999999995"/>
  </r>
  <r>
    <s v="407-5945232-6646769"/>
    <s v="27/11/2022"/>
    <x v="3"/>
    <x v="126"/>
    <x v="26"/>
    <x v="7"/>
    <x v="0"/>
    <s v="HYDERABAD"/>
    <x v="8"/>
    <n v="-849"/>
    <n v="345"/>
    <n v="-504"/>
    <n v="240"/>
    <n v="-264"/>
  </r>
  <r>
    <s v="408-5569192-4084313"/>
    <s v="24/11/2022"/>
    <x v="3"/>
    <x v="31"/>
    <x v="22"/>
    <x v="7"/>
    <x v="0"/>
    <s v="TIRUCHIRAPPALLI"/>
    <x v="7"/>
    <n v="-759.05"/>
    <n v="320"/>
    <n v="-439.04999999999995"/>
    <n v="240"/>
    <n v="-199.04999999999995"/>
  </r>
  <r>
    <s v="407-0948154-4007517"/>
    <s v="27/11/2022"/>
    <x v="3"/>
    <x v="124"/>
    <x v="26"/>
    <x v="7"/>
    <x v="0"/>
    <s v="Ludhiana"/>
    <x v="26"/>
    <n v="-999"/>
    <n v="395"/>
    <n v="-604"/>
    <n v="240"/>
    <n v="-364"/>
  </r>
  <r>
    <s v="407-4180931-3257964"/>
    <s v="30/11/2022"/>
    <x v="3"/>
    <x v="15"/>
    <x v="29"/>
    <x v="7"/>
    <x v="0"/>
    <s v="HANDIA"/>
    <x v="1"/>
    <n v="-806.55"/>
    <n v="345"/>
    <n v="-461.54999999999995"/>
    <n v="240"/>
    <n v="-221.54999999999995"/>
  </r>
  <r>
    <s v="406-9463582-5993149"/>
    <s v="30/11/2022"/>
    <x v="3"/>
    <x v="81"/>
    <x v="29"/>
    <x v="7"/>
    <x v="0"/>
    <s v="MAHINDRA WORLD CITY"/>
    <x v="7"/>
    <n v="-799"/>
    <n v="320"/>
    <n v="-479"/>
    <n v="240"/>
    <n v="-239"/>
  </r>
  <r>
    <s v="408-4453037-7618752"/>
    <s v="28/11/2022"/>
    <x v="3"/>
    <x v="15"/>
    <x v="27"/>
    <x v="7"/>
    <x v="0"/>
    <s v="Surat"/>
    <x v="3"/>
    <n v="-849"/>
    <n v="345"/>
    <n v="-504"/>
    <n v="240"/>
    <n v="-264"/>
  </r>
  <r>
    <s v="404-2481305-6260334"/>
    <s v="19/11/2022"/>
    <x v="3"/>
    <x v="124"/>
    <x v="17"/>
    <x v="7"/>
    <x v="0"/>
    <s v="DAHIVADI"/>
    <x v="6"/>
    <n v="-999"/>
    <n v="395"/>
    <n v="-604"/>
    <n v="240"/>
    <n v="-364"/>
  </r>
  <r>
    <s v="403-6631987-9685937"/>
    <s v="25/11/2022"/>
    <x v="3"/>
    <x v="137"/>
    <x v="24"/>
    <x v="7"/>
    <x v="0"/>
    <s v="AURANGABAD"/>
    <x v="6"/>
    <n v="-849"/>
    <n v="345"/>
    <n v="-504"/>
    <n v="240"/>
    <n v="-264"/>
  </r>
  <r>
    <s v="403-5008394-7128368"/>
    <s v="29/11/2022"/>
    <x v="3"/>
    <x v="158"/>
    <x v="28"/>
    <x v="7"/>
    <x v="0"/>
    <s v="Pune"/>
    <x v="6"/>
    <n v="-849"/>
    <n v="345"/>
    <n v="-504"/>
    <n v="240"/>
    <n v="-264"/>
  </r>
  <r>
    <s v="171-0008329-2857162"/>
    <s v="30/11/2022"/>
    <x v="3"/>
    <x v="171"/>
    <x v="29"/>
    <x v="7"/>
    <x v="0"/>
    <s v="HYDERABAD"/>
    <x v="8"/>
    <n v="-799"/>
    <n v="320"/>
    <n v="-479"/>
    <n v="240"/>
    <n v="-239"/>
  </r>
  <r>
    <s v="405-5670641-2707531"/>
    <s v="21/11/2022"/>
    <x v="3"/>
    <x v="44"/>
    <x v="20"/>
    <x v="7"/>
    <x v="0"/>
    <s v="SATHUPALLY"/>
    <x v="8"/>
    <n v="-899"/>
    <n v="375"/>
    <n v="-524"/>
    <n v="240"/>
    <n v="-284"/>
  </r>
  <r>
    <s v="408-6395270-2640358"/>
    <s v="29/11/2022"/>
    <x v="3"/>
    <x v="88"/>
    <x v="28"/>
    <x v="7"/>
    <x v="0"/>
    <s v="PARBHANI"/>
    <x v="6"/>
    <n v="-854.05"/>
    <n v="345"/>
    <n v="-509.04999999999995"/>
    <n v="240"/>
    <n v="-269.04999999999995"/>
  </r>
  <r>
    <s v="408-3219980-1278725"/>
    <s v="17/11/2022"/>
    <x v="3"/>
    <x v="197"/>
    <x v="16"/>
    <x v="7"/>
    <x v="0"/>
    <s v="HYDERABAD"/>
    <x v="8"/>
    <n v="-849"/>
    <n v="345"/>
    <n v="-504"/>
    <n v="240"/>
    <n v="-264"/>
  </r>
  <r>
    <s v="408-3219980-1278725"/>
    <s v="17/11/2022"/>
    <x v="3"/>
    <x v="166"/>
    <x v="16"/>
    <x v="7"/>
    <x v="0"/>
    <s v="HYDERABAD"/>
    <x v="8"/>
    <n v="-849"/>
    <n v="345"/>
    <n v="-504"/>
    <n v="240"/>
    <n v="-264"/>
  </r>
  <r>
    <s v="407-8997151-3773104"/>
    <s v="28/11/2022"/>
    <x v="3"/>
    <x v="15"/>
    <x v="27"/>
    <x v="7"/>
    <x v="0"/>
    <s v="Shahada"/>
    <x v="6"/>
    <n v="-849"/>
    <n v="345"/>
    <n v="-504"/>
    <n v="240"/>
    <n v="-264"/>
  </r>
  <r>
    <s v="407-8487980-3086730"/>
    <s v="28/11/2022"/>
    <x v="3"/>
    <x v="128"/>
    <x v="27"/>
    <x v="7"/>
    <x v="0"/>
    <s v="Shahada"/>
    <x v="6"/>
    <n v="-999"/>
    <n v="395"/>
    <n v="-604"/>
    <n v="240"/>
    <n v="-364"/>
  </r>
  <r>
    <s v="408-6884169-4804321"/>
    <s v="27/11/2022"/>
    <x v="3"/>
    <x v="128"/>
    <x v="26"/>
    <x v="7"/>
    <x v="0"/>
    <s v="RANCHI"/>
    <x v="11"/>
    <n v="-949.05"/>
    <n v="395"/>
    <n v="-554.04999999999995"/>
    <n v="240"/>
    <n v="-314.04999999999995"/>
  </r>
  <r>
    <s v="402-0669368-6406748"/>
    <s v="28/11/2022"/>
    <x v="3"/>
    <x v="241"/>
    <x v="27"/>
    <x v="7"/>
    <x v="0"/>
    <s v="HYDERABAD"/>
    <x v="8"/>
    <n v="-759.05"/>
    <n v="320"/>
    <n v="-439.04999999999995"/>
    <n v="240"/>
    <n v="-199.04999999999995"/>
  </r>
  <r>
    <s v="406-7361833-1555515"/>
    <s v="23/11/2022"/>
    <x v="3"/>
    <x v="83"/>
    <x v="23"/>
    <x v="7"/>
    <x v="0"/>
    <s v="BARARA"/>
    <x v="15"/>
    <n v="-899"/>
    <n v="375"/>
    <n v="-524"/>
    <n v="240"/>
    <n v="-284"/>
  </r>
  <r>
    <s v="402-9174823-8188349"/>
    <s v="29/11/2022"/>
    <x v="3"/>
    <x v="137"/>
    <x v="28"/>
    <x v="7"/>
    <x v="0"/>
    <s v="YEMMIGANUR"/>
    <x v="2"/>
    <n v="-849"/>
    <n v="345"/>
    <n v="-504"/>
    <n v="240"/>
    <n v="-264"/>
  </r>
  <r>
    <s v="402-4766515-0887532"/>
    <s v="22/11/2022"/>
    <x v="3"/>
    <x v="120"/>
    <x v="21"/>
    <x v="7"/>
    <x v="0"/>
    <s v="COIMBATORE"/>
    <x v="7"/>
    <n v="-849"/>
    <n v="345"/>
    <n v="-504"/>
    <n v="240"/>
    <n v="-264"/>
  </r>
  <r>
    <s v="171-7507901-5233960"/>
    <s v="19/11/2022"/>
    <x v="3"/>
    <x v="86"/>
    <x v="17"/>
    <x v="7"/>
    <x v="0"/>
    <s v="ALLAHABAD"/>
    <x v="1"/>
    <n v="-854.05"/>
    <n v="345"/>
    <n v="-509.04999999999995"/>
    <n v="240"/>
    <n v="-269.04999999999995"/>
  </r>
  <r>
    <s v="405-9512066-9212307"/>
    <s v="19/11/2022"/>
    <x v="3"/>
    <x v="125"/>
    <x v="17"/>
    <x v="7"/>
    <x v="0"/>
    <s v="JAIPUR"/>
    <x v="10"/>
    <n v="-949.05"/>
    <n v="395"/>
    <n v="-554.04999999999995"/>
    <n v="240"/>
    <n v="-314.04999999999995"/>
  </r>
  <r>
    <s v="407-9686198-7206723"/>
    <s v="29/11/2022"/>
    <x v="3"/>
    <x v="229"/>
    <x v="28"/>
    <x v="7"/>
    <x v="0"/>
    <s v="PIMPRI CHINCHWAD"/>
    <x v="6"/>
    <n v="-799"/>
    <n v="320"/>
    <n v="-479"/>
    <n v="240"/>
    <n v="-239"/>
  </r>
  <r>
    <s v="407-9686198-7206723"/>
    <s v="29/11/2022"/>
    <x v="3"/>
    <x v="145"/>
    <x v="28"/>
    <x v="7"/>
    <x v="0"/>
    <s v="PIMPRI CHINCHWAD"/>
    <x v="6"/>
    <n v="-799"/>
    <n v="320"/>
    <n v="-479"/>
    <n v="240"/>
    <n v="-239"/>
  </r>
  <r>
    <s v="404-8955946-1650730"/>
    <s v="27/12/2022"/>
    <x v="3"/>
    <x v="120"/>
    <x v="26"/>
    <x v="8"/>
    <x v="0"/>
    <s v="BHILWARA"/>
    <x v="10"/>
    <n v="-849"/>
    <n v="345"/>
    <n v="-504"/>
    <n v="240"/>
    <n v="-264"/>
  </r>
  <r>
    <s v="402-4102586-5782720"/>
    <s v="30/12/2022"/>
    <x v="3"/>
    <x v="202"/>
    <x v="29"/>
    <x v="8"/>
    <x v="0"/>
    <s v="VASAI"/>
    <x v="6"/>
    <n v="-999"/>
    <n v="395"/>
    <n v="-604"/>
    <n v="240"/>
    <n v="-364"/>
  </r>
  <r>
    <s v="403-9187793-8597134"/>
    <s v="20/12/2022"/>
    <x v="3"/>
    <x v="15"/>
    <x v="19"/>
    <x v="8"/>
    <x v="0"/>
    <s v="KOTTAYAM"/>
    <x v="9"/>
    <n v="-806.55"/>
    <n v="345"/>
    <n v="-461.54999999999995"/>
    <n v="240"/>
    <n v="-221.54999999999995"/>
  </r>
  <r>
    <s v="405-5074050-2494735"/>
    <s v="28/12/2022"/>
    <x v="3"/>
    <x v="133"/>
    <x v="27"/>
    <x v="8"/>
    <x v="0"/>
    <s v="AMRAVATI"/>
    <x v="6"/>
    <n v="-799"/>
    <n v="320"/>
    <n v="-479"/>
    <n v="240"/>
    <n v="-239"/>
  </r>
  <r>
    <s v="171-3776100-2539502"/>
    <s v="29/12/2022"/>
    <x v="3"/>
    <x v="15"/>
    <x v="28"/>
    <x v="8"/>
    <x v="0"/>
    <s v="BENGALURU"/>
    <x v="5"/>
    <n v="-849"/>
    <n v="345"/>
    <n v="-504"/>
    <n v="240"/>
    <n v="-264"/>
  </r>
  <r>
    <s v="402-2749920-5010718"/>
    <s v="30/12/2022"/>
    <x v="3"/>
    <x v="237"/>
    <x v="29"/>
    <x v="8"/>
    <x v="0"/>
    <s v="AMRAVATI"/>
    <x v="6"/>
    <n v="-799"/>
    <n v="320"/>
    <n v="-479"/>
    <n v="240"/>
    <n v="-239"/>
  </r>
  <r>
    <s v="405-4158822-8028366"/>
    <s v="31/12/2022"/>
    <x v="3"/>
    <x v="15"/>
    <x v="30"/>
    <x v="8"/>
    <x v="0"/>
    <s v="KOLKATA"/>
    <x v="18"/>
    <n v="-849"/>
    <n v="345"/>
    <n v="-504"/>
    <n v="240"/>
    <n v="-264"/>
  </r>
  <r>
    <s v="404-7500442-9906731"/>
    <s v="31/12/2022"/>
    <x v="3"/>
    <x v="69"/>
    <x v="30"/>
    <x v="8"/>
    <x v="0"/>
    <s v="ALUVA"/>
    <x v="9"/>
    <n v="-806.55"/>
    <n v="345"/>
    <n v="-461.54999999999995"/>
    <n v="240"/>
    <n v="-221.54999999999995"/>
  </r>
  <r>
    <s v="403-9866795-4723519"/>
    <s v="06/12/2022"/>
    <x v="3"/>
    <x v="98"/>
    <x v="5"/>
    <x v="8"/>
    <x v="0"/>
    <s v="BENGALURU"/>
    <x v="5"/>
    <n v="-876.52"/>
    <n v="345"/>
    <n v="-531.52"/>
    <n v="240"/>
    <n v="-291.52"/>
  </r>
  <r>
    <s v="402-5897146-6411561"/>
    <s v="31/12/2022"/>
    <x v="3"/>
    <x v="20"/>
    <x v="30"/>
    <x v="8"/>
    <x v="0"/>
    <s v="PUNE"/>
    <x v="6"/>
    <n v="-849"/>
    <n v="345"/>
    <n v="-504"/>
    <n v="240"/>
    <n v="-264"/>
  </r>
  <r>
    <s v="403-1749915-7745907"/>
    <s v="24/12/2022"/>
    <x v="3"/>
    <x v="125"/>
    <x v="22"/>
    <x v="8"/>
    <x v="0"/>
    <s v="Pune"/>
    <x v="6"/>
    <n v="-999"/>
    <n v="395"/>
    <n v="-604"/>
    <n v="240"/>
    <n v="-364"/>
  </r>
  <r>
    <s v="403-1749915-7745907"/>
    <s v="24/12/2022"/>
    <x v="3"/>
    <x v="141"/>
    <x v="22"/>
    <x v="8"/>
    <x v="0"/>
    <s v="Pune"/>
    <x v="6"/>
    <n v="-849"/>
    <n v="345"/>
    <n v="-504"/>
    <n v="240"/>
    <n v="-264"/>
  </r>
  <r>
    <s v="403-9274603-7450742"/>
    <s v="15/12/2022"/>
    <x v="3"/>
    <x v="81"/>
    <x v="14"/>
    <x v="8"/>
    <x v="0"/>
    <s v="JAIPUR"/>
    <x v="10"/>
    <n v="-759.05"/>
    <n v="320"/>
    <n v="-439.04999999999995"/>
    <n v="240"/>
    <n v="-199.04999999999995"/>
  </r>
  <r>
    <s v="408-7850086-1273122"/>
    <s v="20/12/2022"/>
    <x v="3"/>
    <x v="98"/>
    <x v="19"/>
    <x v="8"/>
    <x v="0"/>
    <s v="BENGALURU"/>
    <x v="5"/>
    <n v="-1775.52"/>
    <n v="495"/>
    <n v="-1280.52"/>
    <n v="240"/>
    <n v="-1040.52"/>
  </r>
  <r>
    <s v="405-0967706-1417930"/>
    <s v="05/12/2022"/>
    <x v="3"/>
    <x v="44"/>
    <x v="4"/>
    <x v="8"/>
    <x v="0"/>
    <s v="SATHUPALLY"/>
    <x v="8"/>
    <n v="-899"/>
    <n v="375"/>
    <n v="-524"/>
    <n v="240"/>
    <n v="-284"/>
  </r>
  <r>
    <s v="171-5272427-1955515"/>
    <s v="13/12/2022"/>
    <x v="3"/>
    <x v="265"/>
    <x v="12"/>
    <x v="8"/>
    <x v="0"/>
    <s v="HYDERABAD"/>
    <x v="8"/>
    <n v="-799"/>
    <n v="320"/>
    <n v="-479"/>
    <n v="240"/>
    <n v="-239"/>
  </r>
  <r>
    <s v="171-7229597-8013920"/>
    <s v="06/12/2022"/>
    <x v="3"/>
    <x v="119"/>
    <x v="5"/>
    <x v="8"/>
    <x v="0"/>
    <s v="HYDERABAD"/>
    <x v="8"/>
    <n v="-799"/>
    <n v="320"/>
    <n v="-479"/>
    <n v="240"/>
    <n v="-239"/>
  </r>
  <r>
    <s v="404-8953789-0550713"/>
    <s v="31/12/2022"/>
    <x v="3"/>
    <x v="98"/>
    <x v="30"/>
    <x v="8"/>
    <x v="0"/>
    <s v="Mumbai"/>
    <x v="6"/>
    <n v="-854.05"/>
    <n v="345"/>
    <n v="-509.04999999999995"/>
    <n v="240"/>
    <n v="-269.04999999999995"/>
  </r>
  <r>
    <s v="407-2091039-8884329"/>
    <s v="29/12/2022"/>
    <x v="3"/>
    <x v="68"/>
    <x v="28"/>
    <x v="8"/>
    <x v="0"/>
    <s v="SANGARIA"/>
    <x v="10"/>
    <n v="-759.05"/>
    <n v="320"/>
    <n v="-439.04999999999995"/>
    <n v="240"/>
    <n v="-199.04999999999995"/>
  </r>
  <r>
    <s v="406-5591816-6534737"/>
    <s v="01/01/2023"/>
    <x v="0"/>
    <x v="133"/>
    <x v="0"/>
    <x v="9"/>
    <x v="1"/>
    <s v="MANGALURU"/>
    <x v="5"/>
    <n v="799"/>
    <n v="205"/>
    <n v="594"/>
    <n v="240"/>
    <n v="354"/>
  </r>
  <r>
    <s v="407-8747753-0537922"/>
    <s v="01/01/2023"/>
    <x v="0"/>
    <x v="88"/>
    <x v="0"/>
    <x v="9"/>
    <x v="1"/>
    <s v="MUMBAI"/>
    <x v="6"/>
    <n v="899"/>
    <n v="295"/>
    <n v="604"/>
    <n v="240"/>
    <n v="364"/>
  </r>
  <r>
    <s v="405-8263153-4125114"/>
    <s v="01/01/2023"/>
    <x v="0"/>
    <x v="148"/>
    <x v="0"/>
    <x v="9"/>
    <x v="1"/>
    <s v="CHENNAI"/>
    <x v="7"/>
    <n v="799"/>
    <n v="205"/>
    <n v="594"/>
    <n v="240"/>
    <n v="354"/>
  </r>
  <r>
    <s v="403-3354561-4044304"/>
    <s v="01/01/2023"/>
    <x v="0"/>
    <x v="95"/>
    <x v="0"/>
    <x v="9"/>
    <x v="1"/>
    <s v="NEW DELHI"/>
    <x v="16"/>
    <n v="899"/>
    <n v="295"/>
    <n v="604"/>
    <n v="240"/>
    <n v="364"/>
  </r>
  <r>
    <s v="405-8410109-1108344"/>
    <s v="01/01/2023"/>
    <x v="0"/>
    <x v="128"/>
    <x v="0"/>
    <x v="9"/>
    <x v="1"/>
    <s v="Chennai"/>
    <x v="7"/>
    <n v="999"/>
    <n v="325"/>
    <n v="674"/>
    <n v="240"/>
    <n v="434"/>
  </r>
  <r>
    <s v="405-2903468-2857101"/>
    <s v="01/01/2023"/>
    <x v="0"/>
    <x v="15"/>
    <x v="0"/>
    <x v="9"/>
    <x v="1"/>
    <s v="DELHI"/>
    <x v="16"/>
    <n v="849"/>
    <n v="250"/>
    <n v="599"/>
    <n v="240"/>
    <n v="359"/>
  </r>
  <r>
    <s v="171-9772519-5815513"/>
    <s v="01/01/2023"/>
    <x v="0"/>
    <x v="229"/>
    <x v="0"/>
    <x v="9"/>
    <x v="1"/>
    <s v="Bengaluru"/>
    <x v="5"/>
    <n v="799"/>
    <n v="205"/>
    <n v="594"/>
    <n v="240"/>
    <n v="354"/>
  </r>
  <r>
    <s v="404-0615993-5383507"/>
    <s v="01/01/2023"/>
    <x v="0"/>
    <x v="128"/>
    <x v="0"/>
    <x v="9"/>
    <x v="1"/>
    <s v="FARIDABAD"/>
    <x v="15"/>
    <n v="999"/>
    <n v="325"/>
    <n v="674"/>
    <n v="240"/>
    <n v="434"/>
  </r>
  <r>
    <s v="405-6796934-2039566"/>
    <s v="01/01/2023"/>
    <x v="0"/>
    <x v="98"/>
    <x v="0"/>
    <x v="9"/>
    <x v="1"/>
    <s v="Hyderabad"/>
    <x v="8"/>
    <n v="899"/>
    <n v="295"/>
    <n v="604"/>
    <n v="240"/>
    <n v="364"/>
  </r>
  <r>
    <s v="171-2515259-0186735"/>
    <s v="01/01/2023"/>
    <x v="0"/>
    <x v="128"/>
    <x v="0"/>
    <x v="9"/>
    <x v="1"/>
    <s v="Bengaluru"/>
    <x v="5"/>
    <n v="999"/>
    <n v="325"/>
    <n v="674"/>
    <n v="240"/>
    <n v="434"/>
  </r>
  <r>
    <s v="408-5400079-9422728"/>
    <s v="02/01/2023"/>
    <x v="2"/>
    <x v="202"/>
    <x v="1"/>
    <x v="9"/>
    <x v="1"/>
    <s v="HOSHANGABAD"/>
    <x v="13"/>
    <n v="0"/>
    <n v="0"/>
    <n v="0"/>
    <n v="0"/>
    <n v="0"/>
  </r>
  <r>
    <s v="404-3466127-1858721"/>
    <s v="02/01/2023"/>
    <x v="0"/>
    <x v="15"/>
    <x v="1"/>
    <x v="9"/>
    <x v="1"/>
    <s v="BAGHPAT"/>
    <x v="1"/>
    <n v="849"/>
    <n v="250"/>
    <n v="599"/>
    <n v="240"/>
    <n v="359"/>
  </r>
  <r>
    <s v="402-2197642-6967531"/>
    <s v="02/01/2023"/>
    <x v="0"/>
    <x v="141"/>
    <x v="1"/>
    <x v="9"/>
    <x v="1"/>
    <s v="PUNE"/>
    <x v="6"/>
    <n v="849"/>
    <n v="250"/>
    <n v="599"/>
    <n v="240"/>
    <n v="359"/>
  </r>
  <r>
    <s v="405-5114151-2224347"/>
    <s v="02/01/2023"/>
    <x v="0"/>
    <x v="81"/>
    <x v="1"/>
    <x v="9"/>
    <x v="1"/>
    <s v="Kishangarh Ajmer"/>
    <x v="10"/>
    <n v="799"/>
    <n v="205"/>
    <n v="594"/>
    <n v="240"/>
    <n v="354"/>
  </r>
  <r>
    <s v="407-4485994-9791500"/>
    <s v="01/01/2023"/>
    <x v="0"/>
    <x v="95"/>
    <x v="0"/>
    <x v="9"/>
    <x v="1"/>
    <s v="NAVI MUMBAI"/>
    <x v="6"/>
    <n v="899"/>
    <n v="295"/>
    <n v="604"/>
    <n v="240"/>
    <n v="364"/>
  </r>
  <r>
    <s v="403-7899214-2702740"/>
    <s v="02/01/2023"/>
    <x v="0"/>
    <x v="143"/>
    <x v="1"/>
    <x v="9"/>
    <x v="1"/>
    <s v="DHANBAD"/>
    <x v="11"/>
    <n v="849"/>
    <n v="250"/>
    <n v="599"/>
    <n v="240"/>
    <n v="359"/>
  </r>
  <r>
    <s v="408-7748495-9095565"/>
    <s v="02/01/2023"/>
    <x v="0"/>
    <x v="154"/>
    <x v="1"/>
    <x v="9"/>
    <x v="1"/>
    <s v="NEW DELHI"/>
    <x v="16"/>
    <n v="799"/>
    <n v="205"/>
    <n v="594"/>
    <n v="240"/>
    <n v="354"/>
  </r>
  <r>
    <s v="402-5411353-8871563"/>
    <s v="02/01/2023"/>
    <x v="0"/>
    <x v="203"/>
    <x v="1"/>
    <x v="9"/>
    <x v="1"/>
    <s v="JODHPUR"/>
    <x v="10"/>
    <n v="799"/>
    <n v="205"/>
    <n v="594"/>
    <n v="240"/>
    <n v="354"/>
  </r>
  <r>
    <s v="404-6786851-3257106"/>
    <s v="02/01/2023"/>
    <x v="0"/>
    <x v="83"/>
    <x v="1"/>
    <x v="9"/>
    <x v="1"/>
    <s v="GHAZIABAD"/>
    <x v="1"/>
    <n v="899"/>
    <n v="295"/>
    <n v="604"/>
    <n v="240"/>
    <n v="364"/>
  </r>
  <r>
    <s v="408-5400079-9422728"/>
    <s v="02/01/2023"/>
    <x v="0"/>
    <x v="202"/>
    <x v="1"/>
    <x v="9"/>
    <x v="1"/>
    <s v="HOSHANGABAD"/>
    <x v="13"/>
    <n v="999"/>
    <n v="325"/>
    <n v="674"/>
    <n v="240"/>
    <n v="434"/>
  </r>
  <r>
    <s v="402-8664600-8430766"/>
    <s v="02/01/2023"/>
    <x v="0"/>
    <x v="200"/>
    <x v="1"/>
    <x v="9"/>
    <x v="1"/>
    <s v="CHENNAI"/>
    <x v="7"/>
    <n v="999"/>
    <n v="325"/>
    <n v="674"/>
    <n v="240"/>
    <n v="434"/>
  </r>
  <r>
    <s v="408-5231376-5993148"/>
    <s v="02/01/2023"/>
    <x v="0"/>
    <x v="284"/>
    <x v="1"/>
    <x v="9"/>
    <x v="1"/>
    <s v="MAHIM  MUMBAI"/>
    <x v="6"/>
    <n v="799"/>
    <n v="205"/>
    <n v="594"/>
    <n v="240"/>
    <n v="354"/>
  </r>
  <r>
    <s v="408-5419698-2489132"/>
    <s v="02/01/2023"/>
    <x v="0"/>
    <x v="158"/>
    <x v="1"/>
    <x v="9"/>
    <x v="1"/>
    <s v="CHENNAI"/>
    <x v="7"/>
    <n v="849"/>
    <n v="250"/>
    <n v="599"/>
    <n v="240"/>
    <n v="359"/>
  </r>
  <r>
    <s v="171-9974066-1162755"/>
    <s v="02/01/2023"/>
    <x v="0"/>
    <x v="25"/>
    <x v="1"/>
    <x v="9"/>
    <x v="1"/>
    <s v="MAUNATH BHANJAN"/>
    <x v="1"/>
    <n v="799"/>
    <n v="205"/>
    <n v="594"/>
    <n v="240"/>
    <n v="354"/>
  </r>
  <r>
    <s v="407-1365813-1792339"/>
    <s v="02/01/2023"/>
    <x v="0"/>
    <x v="15"/>
    <x v="1"/>
    <x v="9"/>
    <x v="1"/>
    <s v="VADDAKKANKULAM"/>
    <x v="7"/>
    <n v="849"/>
    <n v="250"/>
    <n v="599"/>
    <n v="240"/>
    <n v="359"/>
  </r>
  <r>
    <s v="408-0080732-3569915"/>
    <s v="01/01/2023"/>
    <x v="0"/>
    <x v="83"/>
    <x v="0"/>
    <x v="9"/>
    <x v="1"/>
    <s v="Degana"/>
    <x v="10"/>
    <n v="899"/>
    <n v="295"/>
    <n v="604"/>
    <n v="240"/>
    <n v="364"/>
  </r>
  <r>
    <s v="403-2743503-1459503"/>
    <s v="03/01/2023"/>
    <x v="2"/>
    <x v="88"/>
    <x v="2"/>
    <x v="9"/>
    <x v="1"/>
    <s v="PADRA"/>
    <x v="3"/>
    <n v="0"/>
    <n v="0"/>
    <n v="0"/>
    <n v="0"/>
    <n v="0"/>
  </r>
  <r>
    <s v="404-5272785-7954762"/>
    <s v="03/01/2023"/>
    <x v="0"/>
    <x v="15"/>
    <x v="2"/>
    <x v="9"/>
    <x v="1"/>
    <s v="DAVANAGERE"/>
    <x v="5"/>
    <n v="849"/>
    <n v="250"/>
    <n v="599"/>
    <n v="240"/>
    <n v="359"/>
  </r>
  <r>
    <s v="171-4870895-2355559"/>
    <s v="03/01/2023"/>
    <x v="0"/>
    <x v="187"/>
    <x v="2"/>
    <x v="9"/>
    <x v="1"/>
    <s v="AHMEDABAD"/>
    <x v="3"/>
    <n v="799"/>
    <n v="205"/>
    <n v="594"/>
    <n v="240"/>
    <n v="354"/>
  </r>
  <r>
    <s v="171-6763945-2205144"/>
    <s v="03/01/2023"/>
    <x v="0"/>
    <x v="59"/>
    <x v="2"/>
    <x v="9"/>
    <x v="1"/>
    <s v="BANGALORE"/>
    <x v="5"/>
    <n v="899"/>
    <n v="295"/>
    <n v="604"/>
    <n v="240"/>
    <n v="364"/>
  </r>
  <r>
    <s v="404-5039017-5294758"/>
    <s v="03/01/2023"/>
    <x v="0"/>
    <x v="95"/>
    <x v="2"/>
    <x v="9"/>
    <x v="1"/>
    <s v="BHILAI"/>
    <x v="20"/>
    <n v="899"/>
    <n v="295"/>
    <n v="604"/>
    <n v="240"/>
    <n v="364"/>
  </r>
  <r>
    <s v="408-9158739-3625933"/>
    <s v="03/01/2023"/>
    <x v="0"/>
    <x v="133"/>
    <x v="2"/>
    <x v="9"/>
    <x v="1"/>
    <s v="AMRAVATI"/>
    <x v="6"/>
    <n v="799"/>
    <n v="205"/>
    <n v="594"/>
    <n v="240"/>
    <n v="354"/>
  </r>
  <r>
    <s v="405-5370829-4297923"/>
    <s v="03/01/2023"/>
    <x v="0"/>
    <x v="285"/>
    <x v="2"/>
    <x v="9"/>
    <x v="1"/>
    <s v="HYDERABAD"/>
    <x v="8"/>
    <n v="799"/>
    <n v="205"/>
    <n v="594"/>
    <n v="240"/>
    <n v="354"/>
  </r>
  <r>
    <s v="408-5446290-4346704"/>
    <s v="03/01/2023"/>
    <x v="1"/>
    <x v="21"/>
    <x v="2"/>
    <x v="9"/>
    <x v="1"/>
    <s v="NAVI MUMBAI"/>
    <x v="6"/>
    <n v="0"/>
    <n v="0"/>
    <n v="0"/>
    <n v="0"/>
    <n v="0"/>
  </r>
  <r>
    <s v="403-2743503-1459503"/>
    <s v="03/01/2023"/>
    <x v="0"/>
    <x v="88"/>
    <x v="2"/>
    <x v="9"/>
    <x v="1"/>
    <s v="PADRA"/>
    <x v="3"/>
    <n v="899"/>
    <n v="295"/>
    <n v="604"/>
    <n v="240"/>
    <n v="364"/>
  </r>
  <r>
    <s v="404-0615993-5383507"/>
    <s v="01/01/2023"/>
    <x v="3"/>
    <x v="128"/>
    <x v="0"/>
    <x v="9"/>
    <x v="1"/>
    <s v="FARIDABAD"/>
    <x v="15"/>
    <n v="-999"/>
    <n v="395"/>
    <n v="-604"/>
    <n v="240"/>
    <n v="-364"/>
  </r>
  <r>
    <s v="403-6217559-1925958"/>
    <s v="04/01/2023"/>
    <x v="0"/>
    <x v="25"/>
    <x v="3"/>
    <x v="9"/>
    <x v="1"/>
    <s v="LUCKNOW"/>
    <x v="1"/>
    <n v="799"/>
    <n v="205"/>
    <n v="594"/>
    <n v="240"/>
    <n v="354"/>
  </r>
  <r>
    <s v="407-1492745-7188335"/>
    <s v="04/01/2023"/>
    <x v="0"/>
    <x v="120"/>
    <x v="3"/>
    <x v="9"/>
    <x v="1"/>
    <s v="AMRITSAR"/>
    <x v="26"/>
    <n v="849"/>
    <n v="250"/>
    <n v="599"/>
    <n v="240"/>
    <n v="359"/>
  </r>
  <r>
    <s v="404-5691883-3578709"/>
    <s v="04/01/2023"/>
    <x v="0"/>
    <x v="31"/>
    <x v="3"/>
    <x v="9"/>
    <x v="1"/>
    <s v="CHOUTUPPAL"/>
    <x v="8"/>
    <n v="799"/>
    <n v="205"/>
    <n v="594"/>
    <n v="240"/>
    <n v="354"/>
  </r>
  <r>
    <s v="405-2401455-1753924"/>
    <s v="04/01/2023"/>
    <x v="0"/>
    <x v="200"/>
    <x v="3"/>
    <x v="9"/>
    <x v="1"/>
    <s v="Chennai"/>
    <x v="7"/>
    <n v="999"/>
    <n v="325"/>
    <n v="674"/>
    <n v="240"/>
    <n v="434"/>
  </r>
  <r>
    <s v="171-7128934-3713919"/>
    <s v="04/01/2023"/>
    <x v="0"/>
    <x v="176"/>
    <x v="3"/>
    <x v="9"/>
    <x v="1"/>
    <s v="Meenangadi"/>
    <x v="9"/>
    <n v="899"/>
    <n v="295"/>
    <n v="604"/>
    <n v="240"/>
    <n v="364"/>
  </r>
  <r>
    <s v="404-5027941-4229138"/>
    <s v="04/01/2023"/>
    <x v="0"/>
    <x v="69"/>
    <x v="3"/>
    <x v="9"/>
    <x v="1"/>
    <s v="Greater Noida"/>
    <x v="1"/>
    <n v="849"/>
    <n v="250"/>
    <n v="599"/>
    <n v="240"/>
    <n v="359"/>
  </r>
  <r>
    <s v="171-0278029-1603574"/>
    <s v="04/01/2023"/>
    <x v="0"/>
    <x v="88"/>
    <x v="3"/>
    <x v="9"/>
    <x v="1"/>
    <s v="BILASPUR"/>
    <x v="22"/>
    <n v="899"/>
    <n v="295"/>
    <n v="604"/>
    <n v="240"/>
    <n v="364"/>
  </r>
  <r>
    <s v="404-1978645-5644344"/>
    <s v="04/01/2023"/>
    <x v="0"/>
    <x v="59"/>
    <x v="3"/>
    <x v="9"/>
    <x v="1"/>
    <s v="AHMEDABAD"/>
    <x v="3"/>
    <n v="899"/>
    <n v="295"/>
    <n v="604"/>
    <n v="240"/>
    <n v="364"/>
  </r>
  <r>
    <s v="171-8884011-8369154"/>
    <s v="04/01/2023"/>
    <x v="0"/>
    <x v="81"/>
    <x v="3"/>
    <x v="9"/>
    <x v="1"/>
    <s v="Longding"/>
    <x v="34"/>
    <n v="799"/>
    <n v="205"/>
    <n v="594"/>
    <n v="240"/>
    <n v="354"/>
  </r>
  <r>
    <s v="405-4005970-3151545"/>
    <s v="04/01/2023"/>
    <x v="0"/>
    <x v="44"/>
    <x v="3"/>
    <x v="9"/>
    <x v="1"/>
    <s v="JUNNAR"/>
    <x v="6"/>
    <n v="899"/>
    <n v="295"/>
    <n v="604"/>
    <n v="240"/>
    <n v="364"/>
  </r>
  <r>
    <s v="402-7126509-5382727"/>
    <s v="06/01/2023"/>
    <x v="2"/>
    <x v="206"/>
    <x v="5"/>
    <x v="9"/>
    <x v="1"/>
    <s v="GURUGRAM"/>
    <x v="15"/>
    <n v="0"/>
    <n v="0"/>
    <n v="0"/>
    <n v="0"/>
    <n v="0"/>
  </r>
  <r>
    <s v="402-7126509-5382727"/>
    <s v="06/01/2023"/>
    <x v="2"/>
    <x v="88"/>
    <x v="5"/>
    <x v="9"/>
    <x v="1"/>
    <s v="GURUGRAM"/>
    <x v="15"/>
    <n v="0"/>
    <n v="0"/>
    <n v="0"/>
    <n v="0"/>
    <n v="0"/>
  </r>
  <r>
    <s v="171-0348055-5163513"/>
    <s v="05/01/2023"/>
    <x v="0"/>
    <x v="128"/>
    <x v="4"/>
    <x v="9"/>
    <x v="1"/>
    <s v="POLLACHI"/>
    <x v="7"/>
    <n v="999"/>
    <n v="325"/>
    <n v="674"/>
    <n v="240"/>
    <n v="434"/>
  </r>
  <r>
    <s v="171-3178380-3636321"/>
    <s v="05/01/2023"/>
    <x v="0"/>
    <x v="15"/>
    <x v="4"/>
    <x v="9"/>
    <x v="1"/>
    <s v="BENGALURU"/>
    <x v="5"/>
    <n v="849"/>
    <n v="250"/>
    <n v="599"/>
    <n v="240"/>
    <n v="359"/>
  </r>
  <r>
    <s v="402-0153283-6145177"/>
    <s v="05/01/2023"/>
    <x v="0"/>
    <x v="229"/>
    <x v="4"/>
    <x v="9"/>
    <x v="1"/>
    <s v="BALASINOR"/>
    <x v="3"/>
    <n v="799"/>
    <n v="205"/>
    <n v="594"/>
    <n v="240"/>
    <n v="354"/>
  </r>
  <r>
    <s v="407-2631516-5164317"/>
    <s v="05/01/2023"/>
    <x v="0"/>
    <x v="79"/>
    <x v="4"/>
    <x v="9"/>
    <x v="1"/>
    <s v="KOLKATA"/>
    <x v="18"/>
    <n v="899"/>
    <n v="295"/>
    <n v="604"/>
    <n v="240"/>
    <n v="364"/>
  </r>
  <r>
    <s v="407-8382107-3454764"/>
    <s v="05/01/2023"/>
    <x v="0"/>
    <x v="164"/>
    <x v="4"/>
    <x v="9"/>
    <x v="1"/>
    <s v="PETTAI"/>
    <x v="7"/>
    <n v="849"/>
    <n v="250"/>
    <n v="599"/>
    <n v="240"/>
    <n v="359"/>
  </r>
  <r>
    <s v="402-8094974-6879506"/>
    <s v="05/01/2023"/>
    <x v="0"/>
    <x v="128"/>
    <x v="4"/>
    <x v="9"/>
    <x v="1"/>
    <s v="BALASINOR"/>
    <x v="3"/>
    <n v="999"/>
    <n v="325"/>
    <n v="674"/>
    <n v="240"/>
    <n v="434"/>
  </r>
  <r>
    <s v="406-1530668-4563538"/>
    <s v="05/01/2023"/>
    <x v="0"/>
    <x v="145"/>
    <x v="4"/>
    <x v="9"/>
    <x v="1"/>
    <s v="SAPUTARA"/>
    <x v="3"/>
    <n v="799"/>
    <n v="205"/>
    <n v="594"/>
    <n v="240"/>
    <n v="354"/>
  </r>
  <r>
    <s v="407-4485712-9895536"/>
    <s v="05/01/2023"/>
    <x v="0"/>
    <x v="81"/>
    <x v="4"/>
    <x v="9"/>
    <x v="1"/>
    <s v="AMBARNATH"/>
    <x v="6"/>
    <n v="799"/>
    <n v="205"/>
    <n v="594"/>
    <n v="240"/>
    <n v="354"/>
  </r>
  <r>
    <s v="407-2502945-2609159"/>
    <s v="05/01/2023"/>
    <x v="0"/>
    <x v="286"/>
    <x v="4"/>
    <x v="9"/>
    <x v="1"/>
    <s v="NASHIK"/>
    <x v="6"/>
    <n v="849"/>
    <n v="250"/>
    <n v="599"/>
    <n v="240"/>
    <n v="359"/>
  </r>
  <r>
    <s v="171-4759062-4175525"/>
    <s v="05/01/2023"/>
    <x v="0"/>
    <x v="177"/>
    <x v="4"/>
    <x v="9"/>
    <x v="1"/>
    <s v="SHILLONG"/>
    <x v="23"/>
    <n v="799"/>
    <n v="205"/>
    <n v="594"/>
    <n v="240"/>
    <n v="354"/>
  </r>
  <r>
    <s v="408-0222204-7026762"/>
    <s v="07/01/2023"/>
    <x v="2"/>
    <x v="44"/>
    <x v="7"/>
    <x v="9"/>
    <x v="1"/>
    <s v="SATHUPALLY"/>
    <x v="8"/>
    <n v="0"/>
    <n v="0"/>
    <n v="0"/>
    <n v="0"/>
    <n v="0"/>
  </r>
  <r>
    <s v="408-5400079-9422728"/>
    <s v="02/01/2023"/>
    <x v="3"/>
    <x v="202"/>
    <x v="1"/>
    <x v="9"/>
    <x v="1"/>
    <s v="HOSHANGABAD"/>
    <x v="13"/>
    <n v="-999"/>
    <n v="395"/>
    <n v="-604"/>
    <n v="240"/>
    <n v="-364"/>
  </r>
  <r>
    <s v="405-6600493-7909960"/>
    <s v="06/01/2023"/>
    <x v="0"/>
    <x v="98"/>
    <x v="5"/>
    <x v="9"/>
    <x v="1"/>
    <s v="Bangalore"/>
    <x v="5"/>
    <n v="899"/>
    <n v="295"/>
    <n v="604"/>
    <n v="240"/>
    <n v="364"/>
  </r>
  <r>
    <s v="171-3114618-0805125"/>
    <s v="06/01/2023"/>
    <x v="0"/>
    <x v="200"/>
    <x v="5"/>
    <x v="9"/>
    <x v="1"/>
    <s v="ADONI"/>
    <x v="2"/>
    <n v="999"/>
    <n v="325"/>
    <n v="674"/>
    <n v="240"/>
    <n v="434"/>
  </r>
  <r>
    <s v="403-4462875-1104329"/>
    <s v="06/01/2023"/>
    <x v="0"/>
    <x v="98"/>
    <x v="5"/>
    <x v="9"/>
    <x v="1"/>
    <s v="SEDAM"/>
    <x v="5"/>
    <n v="899"/>
    <n v="295"/>
    <n v="604"/>
    <n v="240"/>
    <n v="364"/>
  </r>
  <r>
    <s v="408-7400962-0193920"/>
    <s v="06/01/2023"/>
    <x v="0"/>
    <x v="69"/>
    <x v="5"/>
    <x v="9"/>
    <x v="1"/>
    <s v="BENGALURU"/>
    <x v="5"/>
    <n v="849"/>
    <n v="250"/>
    <n v="599"/>
    <n v="240"/>
    <n v="359"/>
  </r>
  <r>
    <s v="408-0595860-6015536"/>
    <s v="06/01/2023"/>
    <x v="1"/>
    <x v="124"/>
    <x v="5"/>
    <x v="9"/>
    <x v="1"/>
    <s v="Mumbai"/>
    <x v="6"/>
    <n v="0"/>
    <n v="0"/>
    <n v="0"/>
    <n v="0"/>
    <n v="0"/>
  </r>
  <r>
    <s v="404-7250665-5921963"/>
    <s v="06/01/2023"/>
    <x v="0"/>
    <x v="240"/>
    <x v="5"/>
    <x v="9"/>
    <x v="1"/>
    <s v="SANGLI"/>
    <x v="6"/>
    <n v="849"/>
    <n v="250"/>
    <n v="599"/>
    <n v="240"/>
    <n v="359"/>
  </r>
  <r>
    <s v="408-3862183-9336316"/>
    <s v="06/01/2023"/>
    <x v="1"/>
    <x v="222"/>
    <x v="5"/>
    <x v="9"/>
    <x v="1"/>
    <s v="JODHPUR"/>
    <x v="10"/>
    <n v="0"/>
    <n v="0"/>
    <n v="0"/>
    <n v="0"/>
    <n v="0"/>
  </r>
  <r>
    <s v="402-7076560-0489117"/>
    <s v="06/01/2023"/>
    <x v="0"/>
    <x v="15"/>
    <x v="5"/>
    <x v="9"/>
    <x v="1"/>
    <s v="BENGALURU"/>
    <x v="5"/>
    <n v="849"/>
    <n v="250"/>
    <n v="599"/>
    <n v="240"/>
    <n v="359"/>
  </r>
  <r>
    <s v="405-8792204-5571540"/>
    <s v="06/01/2023"/>
    <x v="0"/>
    <x v="44"/>
    <x v="5"/>
    <x v="9"/>
    <x v="1"/>
    <s v="NELLORE"/>
    <x v="2"/>
    <n v="899"/>
    <n v="295"/>
    <n v="604"/>
    <n v="240"/>
    <n v="364"/>
  </r>
  <r>
    <s v="404-8420544-7568312"/>
    <s v="06/01/2023"/>
    <x v="0"/>
    <x v="86"/>
    <x v="5"/>
    <x v="9"/>
    <x v="1"/>
    <s v="KANKINARA"/>
    <x v="18"/>
    <n v="899"/>
    <n v="295"/>
    <n v="604"/>
    <n v="240"/>
    <n v="364"/>
  </r>
  <r>
    <s v="402-3405241-2367516"/>
    <s v="06/01/2023"/>
    <x v="0"/>
    <x v="181"/>
    <x v="5"/>
    <x v="9"/>
    <x v="1"/>
    <s v="Bhilai"/>
    <x v="20"/>
    <n v="799"/>
    <n v="205"/>
    <n v="594"/>
    <n v="240"/>
    <n v="354"/>
  </r>
  <r>
    <s v="171-0257661-6514764"/>
    <s v="06/01/2023"/>
    <x v="0"/>
    <x v="25"/>
    <x v="5"/>
    <x v="9"/>
    <x v="1"/>
    <s v="NASHIK"/>
    <x v="6"/>
    <n v="799"/>
    <n v="205"/>
    <n v="594"/>
    <n v="240"/>
    <n v="354"/>
  </r>
  <r>
    <s v="402-7126509-5382727"/>
    <s v="06/01/2023"/>
    <x v="0"/>
    <x v="88"/>
    <x v="5"/>
    <x v="9"/>
    <x v="1"/>
    <s v="GURUGRAM"/>
    <x v="15"/>
    <n v="899"/>
    <n v="295"/>
    <n v="604"/>
    <n v="240"/>
    <n v="364"/>
  </r>
  <r>
    <s v="402-7126509-5382727"/>
    <s v="06/01/2023"/>
    <x v="0"/>
    <x v="206"/>
    <x v="5"/>
    <x v="9"/>
    <x v="1"/>
    <s v="GURUGRAM"/>
    <x v="15"/>
    <n v="899"/>
    <n v="295"/>
    <n v="604"/>
    <n v="240"/>
    <n v="364"/>
  </r>
  <r>
    <s v="408-9738609-4114745"/>
    <s v="06/01/2023"/>
    <x v="0"/>
    <x v="137"/>
    <x v="5"/>
    <x v="9"/>
    <x v="1"/>
    <s v="Lucknow"/>
    <x v="1"/>
    <n v="849"/>
    <n v="250"/>
    <n v="599"/>
    <n v="240"/>
    <n v="359"/>
  </r>
  <r>
    <s v="403-4815672-8627559"/>
    <s v="06/01/2023"/>
    <x v="0"/>
    <x v="154"/>
    <x v="5"/>
    <x v="9"/>
    <x v="1"/>
    <s v="SURATGARH"/>
    <x v="10"/>
    <n v="799"/>
    <n v="205"/>
    <n v="594"/>
    <n v="240"/>
    <n v="354"/>
  </r>
  <r>
    <s v="403-5924937-6744301"/>
    <s v="06/01/2023"/>
    <x v="0"/>
    <x v="25"/>
    <x v="5"/>
    <x v="9"/>
    <x v="1"/>
    <s v="RAIPUR"/>
    <x v="20"/>
    <n v="799"/>
    <n v="205"/>
    <n v="594"/>
    <n v="240"/>
    <n v="354"/>
  </r>
  <r>
    <s v="171-2515259-0186735"/>
    <s v="01/01/2023"/>
    <x v="3"/>
    <x v="128"/>
    <x v="0"/>
    <x v="9"/>
    <x v="1"/>
    <s v="Bengaluru"/>
    <x v="5"/>
    <n v="-999"/>
    <n v="395"/>
    <n v="-604"/>
    <n v="240"/>
    <n v="-364"/>
  </r>
  <r>
    <s v="402-1695626-9583569"/>
    <s v="07/01/2023"/>
    <x v="2"/>
    <x v="74"/>
    <x v="7"/>
    <x v="9"/>
    <x v="1"/>
    <s v="Navi Mumbai"/>
    <x v="6"/>
    <n v="0"/>
    <n v="0"/>
    <n v="0"/>
    <n v="0"/>
    <n v="0"/>
  </r>
  <r>
    <s v="408-2476003-5328332"/>
    <s v="08/01/2023"/>
    <x v="2"/>
    <x v="145"/>
    <x v="6"/>
    <x v="9"/>
    <x v="1"/>
    <s v="PUNE"/>
    <x v="6"/>
    <n v="0"/>
    <n v="0"/>
    <n v="0"/>
    <n v="0"/>
    <n v="0"/>
  </r>
  <r>
    <s v="404-7250665-5921963"/>
    <s v="06/01/2023"/>
    <x v="3"/>
    <x v="240"/>
    <x v="5"/>
    <x v="9"/>
    <x v="1"/>
    <s v="SANGLI"/>
    <x v="6"/>
    <n v="-849"/>
    <n v="345"/>
    <n v="-504"/>
    <n v="240"/>
    <n v="-264"/>
  </r>
  <r>
    <s v="405-8792204-5571540"/>
    <s v="06/01/2023"/>
    <x v="3"/>
    <x v="44"/>
    <x v="5"/>
    <x v="9"/>
    <x v="1"/>
    <s v="NELLORE"/>
    <x v="2"/>
    <n v="-899"/>
    <n v="375"/>
    <n v="-524"/>
    <n v="240"/>
    <n v="-284"/>
  </r>
  <r>
    <s v="171-0422593-5952325"/>
    <s v="08/01/2023"/>
    <x v="2"/>
    <x v="148"/>
    <x v="6"/>
    <x v="9"/>
    <x v="1"/>
    <s v="BILASPUR"/>
    <x v="22"/>
    <n v="0"/>
    <n v="0"/>
    <n v="0"/>
    <n v="0"/>
    <n v="0"/>
  </r>
  <r>
    <s v="408-3077578-8739506"/>
    <s v="08/01/2023"/>
    <x v="2"/>
    <x v="98"/>
    <x v="6"/>
    <x v="9"/>
    <x v="1"/>
    <s v="AHMEDABAD"/>
    <x v="3"/>
    <n v="0"/>
    <n v="0"/>
    <n v="0"/>
    <n v="0"/>
    <n v="0"/>
  </r>
  <r>
    <s v="408-0080732-3569915"/>
    <s v="01/01/2023"/>
    <x v="3"/>
    <x v="83"/>
    <x v="0"/>
    <x v="9"/>
    <x v="1"/>
    <s v="Degana"/>
    <x v="10"/>
    <n v="-899"/>
    <n v="375"/>
    <n v="-524"/>
    <n v="240"/>
    <n v="-284"/>
  </r>
  <r>
    <s v="406-4450030-9474730"/>
    <s v="07/01/2023"/>
    <x v="0"/>
    <x v="206"/>
    <x v="7"/>
    <x v="9"/>
    <x v="1"/>
    <s v="Greater Noida"/>
    <x v="1"/>
    <n v="899"/>
    <n v="295"/>
    <n v="604"/>
    <n v="240"/>
    <n v="364"/>
  </r>
  <r>
    <s v="402-5777241-1753915"/>
    <s v="07/01/2023"/>
    <x v="0"/>
    <x v="123"/>
    <x v="7"/>
    <x v="9"/>
    <x v="1"/>
    <s v="BENGALURU"/>
    <x v="5"/>
    <n v="999"/>
    <n v="325"/>
    <n v="674"/>
    <n v="240"/>
    <n v="434"/>
  </r>
  <r>
    <s v="403-7428724-0171507"/>
    <s v="08/01/2023"/>
    <x v="0"/>
    <x v="21"/>
    <x v="6"/>
    <x v="9"/>
    <x v="1"/>
    <s v="VIJAYAWADA"/>
    <x v="2"/>
    <n v="899"/>
    <n v="295"/>
    <n v="604"/>
    <n v="240"/>
    <n v="364"/>
  </r>
  <r>
    <s v="402-1695626-9583569"/>
    <s v="07/01/2023"/>
    <x v="0"/>
    <x v="74"/>
    <x v="7"/>
    <x v="9"/>
    <x v="1"/>
    <s v="Navi Mumbai"/>
    <x v="6"/>
    <n v="899"/>
    <n v="295"/>
    <n v="604"/>
    <n v="240"/>
    <n v="364"/>
  </r>
  <r>
    <s v="171-1699841-0259559"/>
    <s v="07/01/2023"/>
    <x v="0"/>
    <x v="287"/>
    <x v="7"/>
    <x v="9"/>
    <x v="1"/>
    <s v="MANGALURU"/>
    <x v="5"/>
    <n v="799"/>
    <n v="205"/>
    <n v="594"/>
    <n v="240"/>
    <n v="354"/>
  </r>
  <r>
    <s v="402-1485583-3857930"/>
    <s v="07/01/2023"/>
    <x v="0"/>
    <x v="59"/>
    <x v="7"/>
    <x v="9"/>
    <x v="1"/>
    <s v="Pathankot"/>
    <x v="26"/>
    <n v="899"/>
    <n v="295"/>
    <n v="604"/>
    <n v="240"/>
    <n v="364"/>
  </r>
  <r>
    <s v="406-3212889-2127556"/>
    <s v="07/01/2023"/>
    <x v="0"/>
    <x v="145"/>
    <x v="7"/>
    <x v="9"/>
    <x v="1"/>
    <s v="THIRUVANANTHAPURAM"/>
    <x v="9"/>
    <n v="799"/>
    <n v="205"/>
    <n v="594"/>
    <n v="240"/>
    <n v="354"/>
  </r>
  <r>
    <s v="404-9463631-6174706"/>
    <s v="07/01/2023"/>
    <x v="0"/>
    <x v="166"/>
    <x v="7"/>
    <x v="9"/>
    <x v="1"/>
    <s v="LONI"/>
    <x v="1"/>
    <n v="849"/>
    <n v="250"/>
    <n v="599"/>
    <n v="240"/>
    <n v="359"/>
  </r>
  <r>
    <s v="407-9074133-0369967"/>
    <s v="08/01/2023"/>
    <x v="0"/>
    <x v="44"/>
    <x v="6"/>
    <x v="9"/>
    <x v="1"/>
    <s v="CHENNAI"/>
    <x v="7"/>
    <n v="899"/>
    <n v="295"/>
    <n v="604"/>
    <n v="240"/>
    <n v="364"/>
  </r>
  <r>
    <s v="402-1582222-2967536"/>
    <s v="07/01/2023"/>
    <x v="0"/>
    <x v="79"/>
    <x v="7"/>
    <x v="9"/>
    <x v="1"/>
    <s v="BHOPAL"/>
    <x v="13"/>
    <n v="899"/>
    <n v="295"/>
    <n v="604"/>
    <n v="240"/>
    <n v="364"/>
  </r>
  <r>
    <s v="171-5146859-7805903"/>
    <s v="07/01/2023"/>
    <x v="0"/>
    <x v="166"/>
    <x v="7"/>
    <x v="9"/>
    <x v="1"/>
    <s v="LONI"/>
    <x v="1"/>
    <n v="849"/>
    <n v="250"/>
    <n v="599"/>
    <n v="240"/>
    <n v="359"/>
  </r>
  <r>
    <s v="408-2476003-5328332"/>
    <s v="08/01/2023"/>
    <x v="0"/>
    <x v="145"/>
    <x v="6"/>
    <x v="9"/>
    <x v="1"/>
    <s v="PUNE"/>
    <x v="6"/>
    <n v="799"/>
    <n v="205"/>
    <n v="594"/>
    <n v="240"/>
    <n v="354"/>
  </r>
  <r>
    <s v="408-0387443-8669152"/>
    <s v="08/01/2023"/>
    <x v="1"/>
    <x v="80"/>
    <x v="6"/>
    <x v="9"/>
    <x v="1"/>
    <s v="BILASPUR"/>
    <x v="22"/>
    <n v="0"/>
    <n v="0"/>
    <n v="0"/>
    <n v="0"/>
    <n v="0"/>
  </r>
  <r>
    <s v="406-0428162-0042735"/>
    <s v="07/01/2023"/>
    <x v="0"/>
    <x v="59"/>
    <x v="7"/>
    <x v="9"/>
    <x v="1"/>
    <s v="MUMBAI"/>
    <x v="6"/>
    <n v="899"/>
    <n v="295"/>
    <n v="604"/>
    <n v="240"/>
    <n v="364"/>
  </r>
  <r>
    <s v="402-1999073-2274749"/>
    <s v="08/01/2023"/>
    <x v="0"/>
    <x v="15"/>
    <x v="6"/>
    <x v="9"/>
    <x v="1"/>
    <s v="BENGALURU"/>
    <x v="5"/>
    <n v="849"/>
    <n v="250"/>
    <n v="599"/>
    <n v="240"/>
    <n v="359"/>
  </r>
  <r>
    <s v="406-4998833-4598749"/>
    <s v="08/01/2023"/>
    <x v="0"/>
    <x v="59"/>
    <x v="6"/>
    <x v="9"/>
    <x v="1"/>
    <s v="Hanamkonda"/>
    <x v="8"/>
    <n v="899"/>
    <n v="295"/>
    <n v="604"/>
    <n v="240"/>
    <n v="364"/>
  </r>
  <r>
    <s v="408-3077578-8739506"/>
    <s v="08/01/2023"/>
    <x v="0"/>
    <x v="98"/>
    <x v="6"/>
    <x v="9"/>
    <x v="1"/>
    <s v="AHMEDABAD"/>
    <x v="3"/>
    <n v="899"/>
    <n v="295"/>
    <n v="604"/>
    <n v="240"/>
    <n v="364"/>
  </r>
  <r>
    <s v="407-2311785-8460301"/>
    <s v="07/01/2023"/>
    <x v="0"/>
    <x v="124"/>
    <x v="7"/>
    <x v="9"/>
    <x v="1"/>
    <s v="Indore"/>
    <x v="13"/>
    <n v="999"/>
    <n v="325"/>
    <n v="674"/>
    <n v="240"/>
    <n v="434"/>
  </r>
  <r>
    <s v="407-6604713-4283527"/>
    <s v="08/01/2023"/>
    <x v="0"/>
    <x v="288"/>
    <x v="6"/>
    <x v="9"/>
    <x v="1"/>
    <s v="JAMSHEDPUR"/>
    <x v="11"/>
    <n v="999"/>
    <n v="325"/>
    <n v="674"/>
    <n v="240"/>
    <n v="434"/>
  </r>
  <r>
    <s v="171-1161159-7426733"/>
    <s v="08/01/2023"/>
    <x v="0"/>
    <x v="128"/>
    <x v="6"/>
    <x v="9"/>
    <x v="1"/>
    <s v="ZIRAKPUR"/>
    <x v="26"/>
    <n v="999"/>
    <n v="325"/>
    <n v="674"/>
    <n v="240"/>
    <n v="434"/>
  </r>
  <r>
    <s v="405-6516194-6137163"/>
    <s v="08/01/2023"/>
    <x v="0"/>
    <x v="193"/>
    <x v="6"/>
    <x v="9"/>
    <x v="1"/>
    <s v="DALSINGHSARAI"/>
    <x v="0"/>
    <n v="799"/>
    <n v="205"/>
    <n v="594"/>
    <n v="240"/>
    <n v="354"/>
  </r>
  <r>
    <s v="405-7385388-0818759"/>
    <s v="08/01/2023"/>
    <x v="0"/>
    <x v="137"/>
    <x v="6"/>
    <x v="9"/>
    <x v="1"/>
    <s v="GHAZIABAD"/>
    <x v="1"/>
    <n v="849"/>
    <n v="250"/>
    <n v="599"/>
    <n v="240"/>
    <n v="359"/>
  </r>
  <r>
    <s v="405-8162880-0658718"/>
    <s v="07/01/2023"/>
    <x v="0"/>
    <x v="149"/>
    <x v="7"/>
    <x v="9"/>
    <x v="1"/>
    <s v="JHARSUGUDA"/>
    <x v="14"/>
    <n v="799"/>
    <n v="205"/>
    <n v="594"/>
    <n v="240"/>
    <n v="354"/>
  </r>
  <r>
    <s v="171-5249641-2324360"/>
    <s v="08/01/2023"/>
    <x v="0"/>
    <x v="25"/>
    <x v="6"/>
    <x v="9"/>
    <x v="1"/>
    <s v="KALYAN west"/>
    <x v="6"/>
    <n v="799"/>
    <n v="205"/>
    <n v="594"/>
    <n v="240"/>
    <n v="354"/>
  </r>
  <r>
    <s v="408-7717077-8729952"/>
    <s v="08/01/2023"/>
    <x v="1"/>
    <x v="135"/>
    <x v="6"/>
    <x v="9"/>
    <x v="1"/>
    <s v="PUNE"/>
    <x v="6"/>
    <n v="0"/>
    <n v="0"/>
    <n v="0"/>
    <n v="0"/>
    <n v="0"/>
  </r>
  <r>
    <s v="402-6239612-5712363"/>
    <s v="08/01/2023"/>
    <x v="0"/>
    <x v="207"/>
    <x v="6"/>
    <x v="9"/>
    <x v="1"/>
    <s v="NAVI MUMBAI"/>
    <x v="6"/>
    <n v="799"/>
    <n v="205"/>
    <n v="594"/>
    <n v="240"/>
    <n v="354"/>
  </r>
  <r>
    <s v="408-2433751-9984349"/>
    <s v="08/01/2023"/>
    <x v="0"/>
    <x v="289"/>
    <x v="6"/>
    <x v="9"/>
    <x v="1"/>
    <s v="Osmanabad"/>
    <x v="6"/>
    <n v="799"/>
    <n v="205"/>
    <n v="594"/>
    <n v="240"/>
    <n v="354"/>
  </r>
  <r>
    <s v="407-2468041-0532321"/>
    <s v="09/01/2023"/>
    <x v="2"/>
    <x v="148"/>
    <x v="8"/>
    <x v="9"/>
    <x v="1"/>
    <s v="Hyderabad"/>
    <x v="8"/>
    <n v="0"/>
    <n v="0"/>
    <n v="0"/>
    <n v="0"/>
    <n v="0"/>
  </r>
  <r>
    <s v="406-5591816-6534737"/>
    <s v="01/01/2023"/>
    <x v="3"/>
    <x v="133"/>
    <x v="0"/>
    <x v="9"/>
    <x v="1"/>
    <s v="MANGALURU"/>
    <x v="5"/>
    <n v="-799"/>
    <n v="320"/>
    <n v="-479"/>
    <n v="240"/>
    <n v="-239"/>
  </r>
  <r>
    <s v="402-5113943-9805145"/>
    <s v="09/01/2023"/>
    <x v="0"/>
    <x v="44"/>
    <x v="8"/>
    <x v="9"/>
    <x v="1"/>
    <s v="GHAZIABAD"/>
    <x v="1"/>
    <n v="899"/>
    <n v="295"/>
    <n v="604"/>
    <n v="240"/>
    <n v="364"/>
  </r>
  <r>
    <s v="406-7512098-4125958"/>
    <s v="09/01/2023"/>
    <x v="0"/>
    <x v="31"/>
    <x v="8"/>
    <x v="9"/>
    <x v="1"/>
    <s v="THIRUVALLA"/>
    <x v="9"/>
    <n v="799"/>
    <n v="205"/>
    <n v="594"/>
    <n v="240"/>
    <n v="354"/>
  </r>
  <r>
    <s v="171-0494263-9028347"/>
    <s v="08/01/2023"/>
    <x v="0"/>
    <x v="95"/>
    <x v="6"/>
    <x v="9"/>
    <x v="1"/>
    <s v="GANDHINAGAR"/>
    <x v="3"/>
    <n v="899"/>
    <n v="295"/>
    <n v="604"/>
    <n v="240"/>
    <n v="364"/>
  </r>
  <r>
    <s v="407-0589668-3848304"/>
    <s v="09/01/2023"/>
    <x v="0"/>
    <x v="68"/>
    <x v="8"/>
    <x v="9"/>
    <x v="1"/>
    <s v="BADLAPUR"/>
    <x v="6"/>
    <n v="799"/>
    <n v="205"/>
    <n v="594"/>
    <n v="240"/>
    <n v="354"/>
  </r>
  <r>
    <s v="407-0275534-0682725"/>
    <s v="09/01/2023"/>
    <x v="0"/>
    <x v="200"/>
    <x v="8"/>
    <x v="9"/>
    <x v="1"/>
    <s v="Pune"/>
    <x v="6"/>
    <n v="999"/>
    <n v="325"/>
    <n v="674"/>
    <n v="240"/>
    <n v="434"/>
  </r>
  <r>
    <s v="171-2705066-8169158"/>
    <s v="08/01/2023"/>
    <x v="0"/>
    <x v="124"/>
    <x v="6"/>
    <x v="9"/>
    <x v="1"/>
    <s v="PANIHATI"/>
    <x v="18"/>
    <n v="999"/>
    <n v="325"/>
    <n v="674"/>
    <n v="240"/>
    <n v="434"/>
  </r>
  <r>
    <s v="406-7517446-1804365"/>
    <s v="09/01/2023"/>
    <x v="0"/>
    <x v="68"/>
    <x v="8"/>
    <x v="9"/>
    <x v="1"/>
    <s v="BENGALURU"/>
    <x v="5"/>
    <n v="799"/>
    <n v="205"/>
    <n v="594"/>
    <n v="240"/>
    <n v="354"/>
  </r>
  <r>
    <s v="407-6093801-8867516"/>
    <s v="09/01/2023"/>
    <x v="0"/>
    <x v="193"/>
    <x v="8"/>
    <x v="9"/>
    <x v="1"/>
    <s v="BARBIL"/>
    <x v="14"/>
    <n v="799"/>
    <n v="205"/>
    <n v="594"/>
    <n v="240"/>
    <n v="354"/>
  </r>
  <r>
    <s v="406-7517717-1235533"/>
    <s v="09/01/2023"/>
    <x v="0"/>
    <x v="69"/>
    <x v="8"/>
    <x v="9"/>
    <x v="1"/>
    <s v="BENGALURU"/>
    <x v="5"/>
    <n v="849"/>
    <n v="250"/>
    <n v="599"/>
    <n v="240"/>
    <n v="359"/>
  </r>
  <r>
    <s v="402-1415000-9092315"/>
    <s v="09/01/2023"/>
    <x v="0"/>
    <x v="179"/>
    <x v="8"/>
    <x v="9"/>
    <x v="1"/>
    <s v="SAGAR"/>
    <x v="13"/>
    <n v="799"/>
    <n v="205"/>
    <n v="594"/>
    <n v="240"/>
    <n v="354"/>
  </r>
  <r>
    <s v="171-5758887-0517124"/>
    <s v="11/01/2023"/>
    <x v="2"/>
    <x v="153"/>
    <x v="9"/>
    <x v="9"/>
    <x v="1"/>
    <s v="SILCHAR"/>
    <x v="4"/>
    <n v="0"/>
    <n v="0"/>
    <n v="0"/>
    <n v="0"/>
    <n v="0"/>
  </r>
  <r>
    <s v="403-1339288-9690768"/>
    <s v="11/01/2023"/>
    <x v="2"/>
    <x v="269"/>
    <x v="9"/>
    <x v="9"/>
    <x v="1"/>
    <s v="PUNE"/>
    <x v="6"/>
    <n v="0"/>
    <n v="0"/>
    <n v="0"/>
    <n v="0"/>
    <n v="0"/>
  </r>
  <r>
    <s v="171-2052313-4319503"/>
    <s v="10/01/2023"/>
    <x v="0"/>
    <x v="216"/>
    <x v="10"/>
    <x v="9"/>
    <x v="1"/>
    <s v="Bangalore"/>
    <x v="5"/>
    <n v="799"/>
    <n v="205"/>
    <n v="594"/>
    <n v="240"/>
    <n v="354"/>
  </r>
  <r>
    <s v="408-1249298-3154764"/>
    <s v="10/01/2023"/>
    <x v="1"/>
    <x v="123"/>
    <x v="10"/>
    <x v="9"/>
    <x v="1"/>
    <s v="DOWLESWARAM"/>
    <x v="2"/>
    <n v="0"/>
    <n v="0"/>
    <n v="0"/>
    <n v="0"/>
    <n v="0"/>
  </r>
  <r>
    <s v="408-4951117-7310762"/>
    <s v="11/01/2023"/>
    <x v="0"/>
    <x v="193"/>
    <x v="9"/>
    <x v="9"/>
    <x v="1"/>
    <s v="NOIDA"/>
    <x v="1"/>
    <n v="799"/>
    <n v="205"/>
    <n v="594"/>
    <n v="240"/>
    <n v="354"/>
  </r>
  <r>
    <s v="404-2865061-6961141"/>
    <s v="10/01/2023"/>
    <x v="0"/>
    <x v="21"/>
    <x v="10"/>
    <x v="9"/>
    <x v="1"/>
    <s v="KHEKADA"/>
    <x v="1"/>
    <n v="899"/>
    <n v="295"/>
    <n v="604"/>
    <n v="240"/>
    <n v="364"/>
  </r>
  <r>
    <s v="406-4961804-4746759"/>
    <s v="10/01/2023"/>
    <x v="0"/>
    <x v="80"/>
    <x v="10"/>
    <x v="9"/>
    <x v="1"/>
    <s v="KOLKATA"/>
    <x v="18"/>
    <n v="899"/>
    <n v="295"/>
    <n v="604"/>
    <n v="240"/>
    <n v="364"/>
  </r>
  <r>
    <s v="408-0711117-3753156"/>
    <s v="10/01/2023"/>
    <x v="0"/>
    <x v="187"/>
    <x v="10"/>
    <x v="9"/>
    <x v="1"/>
    <s v="HOSHANGABAD"/>
    <x v="13"/>
    <n v="799"/>
    <n v="205"/>
    <n v="594"/>
    <n v="240"/>
    <n v="354"/>
  </r>
  <r>
    <s v="171-5539355-2541146"/>
    <s v="09/01/2023"/>
    <x v="0"/>
    <x v="166"/>
    <x v="8"/>
    <x v="9"/>
    <x v="1"/>
    <s v="MUMBAI"/>
    <x v="6"/>
    <n v="849"/>
    <n v="250"/>
    <n v="599"/>
    <n v="240"/>
    <n v="359"/>
  </r>
  <r>
    <s v="408-7512659-6395513"/>
    <s v="10/01/2023"/>
    <x v="1"/>
    <x v="241"/>
    <x v="10"/>
    <x v="9"/>
    <x v="1"/>
    <s v="BCPL TOWNSHIP"/>
    <x v="4"/>
    <n v="0"/>
    <n v="0"/>
    <n v="0"/>
    <n v="0"/>
    <n v="0"/>
  </r>
  <r>
    <s v="404-9791537-7080352"/>
    <s v="10/01/2023"/>
    <x v="0"/>
    <x v="68"/>
    <x v="10"/>
    <x v="9"/>
    <x v="1"/>
    <s v="DAUSA"/>
    <x v="10"/>
    <n v="799"/>
    <n v="205"/>
    <n v="594"/>
    <n v="240"/>
    <n v="354"/>
  </r>
  <r>
    <s v="403-6500043-3871563"/>
    <s v="10/01/2023"/>
    <x v="0"/>
    <x v="248"/>
    <x v="10"/>
    <x v="9"/>
    <x v="1"/>
    <s v="MUMBAI"/>
    <x v="6"/>
    <n v="799"/>
    <n v="205"/>
    <n v="594"/>
    <n v="240"/>
    <n v="354"/>
  </r>
  <r>
    <s v="408-1548442-6855542"/>
    <s v="10/01/2023"/>
    <x v="0"/>
    <x v="137"/>
    <x v="10"/>
    <x v="9"/>
    <x v="1"/>
    <s v="CHENNAI"/>
    <x v="7"/>
    <n v="849"/>
    <n v="250"/>
    <n v="599"/>
    <n v="240"/>
    <n v="359"/>
  </r>
  <r>
    <s v="404-4614333-9521914"/>
    <s v="10/01/2023"/>
    <x v="0"/>
    <x v="88"/>
    <x v="10"/>
    <x v="9"/>
    <x v="1"/>
    <s v="VIJAYAWADA"/>
    <x v="2"/>
    <n v="899"/>
    <n v="295"/>
    <n v="604"/>
    <n v="240"/>
    <n v="364"/>
  </r>
  <r>
    <s v="408-5728537-3795517"/>
    <s v="10/01/2023"/>
    <x v="1"/>
    <x v="202"/>
    <x v="10"/>
    <x v="9"/>
    <x v="1"/>
    <s v="Chennai"/>
    <x v="7"/>
    <n v="0"/>
    <n v="0"/>
    <n v="0"/>
    <n v="0"/>
    <n v="0"/>
  </r>
  <r>
    <s v="407-8040721-6292315"/>
    <s v="10/01/2023"/>
    <x v="0"/>
    <x v="137"/>
    <x v="10"/>
    <x v="9"/>
    <x v="1"/>
    <s v="Hindaun city"/>
    <x v="10"/>
    <n v="849"/>
    <n v="250"/>
    <n v="599"/>
    <n v="240"/>
    <n v="359"/>
  </r>
  <r>
    <s v="171-9789125-0258732"/>
    <s v="10/01/2023"/>
    <x v="0"/>
    <x v="75"/>
    <x v="10"/>
    <x v="9"/>
    <x v="1"/>
    <s v="BENGALURU"/>
    <x v="5"/>
    <n v="799"/>
    <n v="205"/>
    <n v="594"/>
    <n v="240"/>
    <n v="354"/>
  </r>
  <r>
    <s v="403-4196338-7951569"/>
    <s v="10/01/2023"/>
    <x v="0"/>
    <x v="80"/>
    <x v="10"/>
    <x v="9"/>
    <x v="1"/>
    <s v="BENGALURU"/>
    <x v="5"/>
    <n v="899"/>
    <n v="295"/>
    <n v="604"/>
    <n v="240"/>
    <n v="364"/>
  </r>
  <r>
    <s v="404-5319516-9146731"/>
    <s v="11/01/2023"/>
    <x v="2"/>
    <x v="88"/>
    <x v="9"/>
    <x v="9"/>
    <x v="1"/>
    <s v="GUWAHATI"/>
    <x v="4"/>
    <n v="0"/>
    <n v="0"/>
    <n v="0"/>
    <n v="0"/>
    <n v="0"/>
  </r>
  <r>
    <s v="408-9158739-3625933"/>
    <s v="03/01/2023"/>
    <x v="3"/>
    <x v="133"/>
    <x v="2"/>
    <x v="9"/>
    <x v="1"/>
    <s v="AMRAVATI"/>
    <x v="6"/>
    <n v="-799"/>
    <n v="320"/>
    <n v="-479"/>
    <n v="240"/>
    <n v="-239"/>
  </r>
  <r>
    <s v="407-0275534-0682725"/>
    <s v="09/01/2023"/>
    <x v="3"/>
    <x v="200"/>
    <x v="8"/>
    <x v="9"/>
    <x v="1"/>
    <s v="Pune"/>
    <x v="6"/>
    <n v="-999"/>
    <n v="395"/>
    <n v="-604"/>
    <n v="240"/>
    <n v="-364"/>
  </r>
  <r>
    <s v="403-6500043-3871563"/>
    <s v="10/01/2023"/>
    <x v="3"/>
    <x v="248"/>
    <x v="10"/>
    <x v="9"/>
    <x v="1"/>
    <s v="MUMBAI"/>
    <x v="6"/>
    <n v="-799"/>
    <n v="320"/>
    <n v="-479"/>
    <n v="240"/>
    <n v="-239"/>
  </r>
  <r>
    <s v="402-0298350-5801950"/>
    <s v="09/01/2023"/>
    <x v="0"/>
    <x v="128"/>
    <x v="8"/>
    <x v="9"/>
    <x v="1"/>
    <s v="OTHAKADAI"/>
    <x v="7"/>
    <n v="999"/>
    <n v="325"/>
    <n v="674"/>
    <n v="240"/>
    <n v="434"/>
  </r>
  <r>
    <s v="405-9672527-9813136"/>
    <s v="11/01/2023"/>
    <x v="0"/>
    <x v="123"/>
    <x v="9"/>
    <x v="9"/>
    <x v="1"/>
    <s v="Mumbai"/>
    <x v="6"/>
    <n v="999"/>
    <n v="325"/>
    <n v="674"/>
    <n v="240"/>
    <n v="434"/>
  </r>
  <r>
    <s v="171-1918103-4706718"/>
    <s v="11/01/2023"/>
    <x v="0"/>
    <x v="206"/>
    <x v="9"/>
    <x v="9"/>
    <x v="1"/>
    <s v="UDUPI"/>
    <x v="5"/>
    <n v="899"/>
    <n v="295"/>
    <n v="604"/>
    <n v="240"/>
    <n v="364"/>
  </r>
  <r>
    <s v="408-2998045-7902700"/>
    <s v="11/01/2023"/>
    <x v="0"/>
    <x v="241"/>
    <x v="9"/>
    <x v="9"/>
    <x v="1"/>
    <s v="HAZARIBAGH"/>
    <x v="11"/>
    <n v="799"/>
    <n v="205"/>
    <n v="594"/>
    <n v="240"/>
    <n v="354"/>
  </r>
  <r>
    <s v="405-6736527-4314757"/>
    <s v="11/01/2023"/>
    <x v="0"/>
    <x v="88"/>
    <x v="9"/>
    <x v="9"/>
    <x v="1"/>
    <s v="AHMEDABAD"/>
    <x v="3"/>
    <n v="899"/>
    <n v="295"/>
    <n v="604"/>
    <n v="240"/>
    <n v="364"/>
  </r>
  <r>
    <s v="406-0154408-8261957"/>
    <s v="11/01/2023"/>
    <x v="0"/>
    <x v="25"/>
    <x v="9"/>
    <x v="9"/>
    <x v="1"/>
    <s v="NOIDA"/>
    <x v="1"/>
    <n v="799"/>
    <n v="205"/>
    <n v="594"/>
    <n v="240"/>
    <n v="354"/>
  </r>
  <r>
    <s v="405-6900377-9759550"/>
    <s v="11/01/2023"/>
    <x v="0"/>
    <x v="68"/>
    <x v="9"/>
    <x v="9"/>
    <x v="1"/>
    <s v="CHITTAURGARH"/>
    <x v="10"/>
    <n v="799"/>
    <n v="205"/>
    <n v="594"/>
    <n v="240"/>
    <n v="354"/>
  </r>
  <r>
    <s v="406-4865122-4312305"/>
    <s v="11/01/2023"/>
    <x v="0"/>
    <x v="15"/>
    <x v="9"/>
    <x v="9"/>
    <x v="1"/>
    <s v="BENGALURU"/>
    <x v="5"/>
    <n v="849"/>
    <n v="250"/>
    <n v="599"/>
    <n v="240"/>
    <n v="359"/>
  </r>
  <r>
    <s v="408-0099675-8116310"/>
    <s v="12/01/2023"/>
    <x v="0"/>
    <x v="83"/>
    <x v="11"/>
    <x v="9"/>
    <x v="1"/>
    <s v="KALYAN East  Thane"/>
    <x v="6"/>
    <n v="899"/>
    <n v="295"/>
    <n v="604"/>
    <n v="240"/>
    <n v="364"/>
  </r>
  <r>
    <s v="171-8145729-9861148"/>
    <s v="12/01/2023"/>
    <x v="0"/>
    <x v="15"/>
    <x v="11"/>
    <x v="9"/>
    <x v="1"/>
    <s v="BHILAI"/>
    <x v="20"/>
    <n v="849"/>
    <n v="250"/>
    <n v="599"/>
    <n v="240"/>
    <n v="359"/>
  </r>
  <r>
    <s v="408-6075101-2699561"/>
    <s v="11/01/2023"/>
    <x v="1"/>
    <x v="15"/>
    <x v="9"/>
    <x v="9"/>
    <x v="1"/>
    <s v="BENGALURU"/>
    <x v="5"/>
    <n v="0"/>
    <n v="0"/>
    <n v="0"/>
    <n v="0"/>
    <n v="0"/>
  </r>
  <r>
    <s v="403-1339288-9690768"/>
    <s v="11/01/2023"/>
    <x v="0"/>
    <x v="269"/>
    <x v="9"/>
    <x v="9"/>
    <x v="1"/>
    <s v="PUNE"/>
    <x v="6"/>
    <n v="849"/>
    <n v="250"/>
    <n v="599"/>
    <n v="240"/>
    <n v="359"/>
  </r>
  <r>
    <s v="403-4833427-9140314"/>
    <s v="11/01/2023"/>
    <x v="0"/>
    <x v="177"/>
    <x v="9"/>
    <x v="9"/>
    <x v="1"/>
    <s v="KANPUR Nagar"/>
    <x v="1"/>
    <n v="799"/>
    <n v="205"/>
    <n v="594"/>
    <n v="240"/>
    <n v="354"/>
  </r>
  <r>
    <s v="171-5758887-0517124"/>
    <s v="11/01/2023"/>
    <x v="0"/>
    <x v="153"/>
    <x v="9"/>
    <x v="9"/>
    <x v="1"/>
    <s v="SILCHAR"/>
    <x v="4"/>
    <n v="799"/>
    <n v="205"/>
    <n v="594"/>
    <n v="240"/>
    <n v="354"/>
  </r>
  <r>
    <s v="407-9555296-8313124"/>
    <s v="11/01/2023"/>
    <x v="0"/>
    <x v="145"/>
    <x v="9"/>
    <x v="9"/>
    <x v="1"/>
    <s v="KOLKATA"/>
    <x v="18"/>
    <n v="799"/>
    <n v="205"/>
    <n v="594"/>
    <n v="240"/>
    <n v="354"/>
  </r>
  <r>
    <s v="402-1415000-9092315"/>
    <s v="09/01/2023"/>
    <x v="3"/>
    <x v="179"/>
    <x v="8"/>
    <x v="9"/>
    <x v="1"/>
    <s v="SAGAR"/>
    <x v="13"/>
    <n v="-799"/>
    <n v="320"/>
    <n v="-479"/>
    <n v="240"/>
    <n v="-239"/>
  </r>
  <r>
    <s v="404-8420544-7568312"/>
    <s v="06/01/2023"/>
    <x v="3"/>
    <x v="86"/>
    <x v="5"/>
    <x v="9"/>
    <x v="1"/>
    <s v="KANKINARA"/>
    <x v="18"/>
    <n v="-899"/>
    <n v="375"/>
    <n v="-524"/>
    <n v="240"/>
    <n v="-284"/>
  </r>
  <r>
    <s v="402-1582222-2967536"/>
    <s v="07/01/2023"/>
    <x v="3"/>
    <x v="79"/>
    <x v="7"/>
    <x v="9"/>
    <x v="1"/>
    <s v="BHOPAL"/>
    <x v="13"/>
    <n v="-899"/>
    <n v="375"/>
    <n v="-524"/>
    <n v="240"/>
    <n v="-284"/>
  </r>
  <r>
    <s v="406-4450030-9474730"/>
    <s v="07/01/2023"/>
    <x v="3"/>
    <x v="206"/>
    <x v="7"/>
    <x v="9"/>
    <x v="1"/>
    <s v="Greater Noida"/>
    <x v="1"/>
    <n v="-899"/>
    <n v="375"/>
    <n v="-524"/>
    <n v="240"/>
    <n v="-284"/>
  </r>
  <r>
    <s v="408-1548442-6855542"/>
    <s v="10/01/2023"/>
    <x v="3"/>
    <x v="137"/>
    <x v="10"/>
    <x v="9"/>
    <x v="1"/>
    <s v="CHENNAI"/>
    <x v="7"/>
    <n v="-849"/>
    <n v="345"/>
    <n v="-504"/>
    <n v="240"/>
    <n v="-264"/>
  </r>
  <r>
    <s v="408-8315674-3664368"/>
    <s v="12/01/2023"/>
    <x v="1"/>
    <x v="124"/>
    <x v="11"/>
    <x v="9"/>
    <x v="1"/>
    <s v="DHARWAD"/>
    <x v="5"/>
    <n v="0"/>
    <n v="0"/>
    <n v="0"/>
    <n v="0"/>
    <n v="0"/>
  </r>
  <r>
    <s v="405-6001387-7066713"/>
    <s v="12/01/2023"/>
    <x v="0"/>
    <x v="68"/>
    <x v="11"/>
    <x v="9"/>
    <x v="1"/>
    <s v="Ganjam"/>
    <x v="14"/>
    <n v="799"/>
    <n v="205"/>
    <n v="594"/>
    <n v="240"/>
    <n v="354"/>
  </r>
  <r>
    <s v="406-8768064-5741101"/>
    <s v="12/01/2023"/>
    <x v="0"/>
    <x v="86"/>
    <x v="11"/>
    <x v="9"/>
    <x v="1"/>
    <s v="BENGALURU"/>
    <x v="5"/>
    <n v="899"/>
    <n v="295"/>
    <n v="604"/>
    <n v="240"/>
    <n v="364"/>
  </r>
  <r>
    <s v="407-8082034-8057932"/>
    <s v="12/01/2023"/>
    <x v="0"/>
    <x v="81"/>
    <x v="11"/>
    <x v="9"/>
    <x v="1"/>
    <s v="KALADHUNGI"/>
    <x v="24"/>
    <n v="799"/>
    <n v="205"/>
    <n v="594"/>
    <n v="240"/>
    <n v="354"/>
  </r>
  <r>
    <s v="407-0837142-3530740"/>
    <s v="12/01/2023"/>
    <x v="0"/>
    <x v="59"/>
    <x v="11"/>
    <x v="9"/>
    <x v="1"/>
    <s v="DIAMOND HARBOUR"/>
    <x v="18"/>
    <n v="899"/>
    <n v="295"/>
    <n v="604"/>
    <n v="240"/>
    <n v="364"/>
  </r>
  <r>
    <s v="403-2474629-5940352"/>
    <s v="12/01/2023"/>
    <x v="0"/>
    <x v="64"/>
    <x v="11"/>
    <x v="9"/>
    <x v="1"/>
    <s v="MUMBAI"/>
    <x v="6"/>
    <n v="799"/>
    <n v="205"/>
    <n v="594"/>
    <n v="240"/>
    <n v="354"/>
  </r>
  <r>
    <s v="408-7568714-2563501"/>
    <s v="12/01/2023"/>
    <x v="0"/>
    <x v="15"/>
    <x v="11"/>
    <x v="9"/>
    <x v="1"/>
    <s v="Bikaner"/>
    <x v="10"/>
    <n v="849"/>
    <n v="250"/>
    <n v="599"/>
    <n v="240"/>
    <n v="359"/>
  </r>
  <r>
    <s v="402-0443729-1334722"/>
    <s v="12/01/2023"/>
    <x v="0"/>
    <x v="81"/>
    <x v="11"/>
    <x v="9"/>
    <x v="1"/>
    <s v="KUNNATHUNAD"/>
    <x v="9"/>
    <n v="799"/>
    <n v="205"/>
    <n v="594"/>
    <n v="240"/>
    <n v="354"/>
  </r>
  <r>
    <s v="402-1606976-0153940"/>
    <s v="12/01/2023"/>
    <x v="0"/>
    <x v="164"/>
    <x v="11"/>
    <x v="9"/>
    <x v="1"/>
    <s v="MADURANTHAKAM"/>
    <x v="7"/>
    <n v="849"/>
    <n v="250"/>
    <n v="599"/>
    <n v="240"/>
    <n v="359"/>
  </r>
  <r>
    <s v="403-4905153-9635543"/>
    <s v="12/01/2023"/>
    <x v="0"/>
    <x v="31"/>
    <x v="11"/>
    <x v="9"/>
    <x v="1"/>
    <s v="JHANSI"/>
    <x v="1"/>
    <n v="799"/>
    <n v="205"/>
    <n v="594"/>
    <n v="240"/>
    <n v="354"/>
  </r>
  <r>
    <s v="402-7076560-0489117"/>
    <s v="06/01/2023"/>
    <x v="3"/>
    <x v="15"/>
    <x v="5"/>
    <x v="9"/>
    <x v="1"/>
    <s v="BENGALURU"/>
    <x v="5"/>
    <n v="-849"/>
    <n v="345"/>
    <n v="-504"/>
    <n v="240"/>
    <n v="-264"/>
  </r>
  <r>
    <s v="171-0278029-1603574"/>
    <s v="04/01/2023"/>
    <x v="3"/>
    <x v="88"/>
    <x v="3"/>
    <x v="9"/>
    <x v="1"/>
    <s v="BILASPUR"/>
    <x v="22"/>
    <n v="-899"/>
    <n v="375"/>
    <n v="-524"/>
    <n v="240"/>
    <n v="-284"/>
  </r>
  <r>
    <s v="171-5146859-7805903"/>
    <s v="07/01/2023"/>
    <x v="3"/>
    <x v="166"/>
    <x v="7"/>
    <x v="9"/>
    <x v="1"/>
    <s v="LONI"/>
    <x v="1"/>
    <n v="-849"/>
    <n v="345"/>
    <n v="-504"/>
    <n v="240"/>
    <n v="-264"/>
  </r>
  <r>
    <s v="405-6066751-2277146"/>
    <s v="13/01/2023"/>
    <x v="2"/>
    <x v="164"/>
    <x v="12"/>
    <x v="9"/>
    <x v="1"/>
    <s v="PARAMATHI"/>
    <x v="7"/>
    <n v="0"/>
    <n v="0"/>
    <n v="0"/>
    <n v="0"/>
    <n v="0"/>
  </r>
  <r>
    <s v="406-4000136-3649952"/>
    <s v="13/01/2023"/>
    <x v="0"/>
    <x v="126"/>
    <x v="12"/>
    <x v="9"/>
    <x v="1"/>
    <s v="HYDERABAD"/>
    <x v="8"/>
    <n v="849"/>
    <n v="250"/>
    <n v="599"/>
    <n v="240"/>
    <n v="359"/>
  </r>
  <r>
    <s v="402-6347726-1229919"/>
    <s v="13/01/2023"/>
    <x v="0"/>
    <x v="98"/>
    <x v="12"/>
    <x v="9"/>
    <x v="1"/>
    <s v="DIMAPUR"/>
    <x v="17"/>
    <n v="899"/>
    <n v="295"/>
    <n v="604"/>
    <n v="240"/>
    <n v="364"/>
  </r>
  <r>
    <s v="403-3711405-5262738"/>
    <s v="13/01/2023"/>
    <x v="0"/>
    <x v="183"/>
    <x v="12"/>
    <x v="9"/>
    <x v="1"/>
    <s v="GUNTUR"/>
    <x v="2"/>
    <n v="849"/>
    <n v="250"/>
    <n v="599"/>
    <n v="240"/>
    <n v="359"/>
  </r>
  <r>
    <s v="405-3973221-1072361"/>
    <s v="13/01/2023"/>
    <x v="0"/>
    <x v="80"/>
    <x v="12"/>
    <x v="9"/>
    <x v="1"/>
    <s v="BADDI"/>
    <x v="22"/>
    <n v="899"/>
    <n v="295"/>
    <n v="604"/>
    <n v="240"/>
    <n v="364"/>
  </r>
  <r>
    <s v="405-2706475-5798769"/>
    <s v="13/01/2023"/>
    <x v="0"/>
    <x v="21"/>
    <x v="12"/>
    <x v="9"/>
    <x v="1"/>
    <s v="LIMKHEDA"/>
    <x v="3"/>
    <n v="899"/>
    <n v="295"/>
    <n v="604"/>
    <n v="240"/>
    <n v="364"/>
  </r>
  <r>
    <s v="407-8524721-8093966"/>
    <s v="13/01/2023"/>
    <x v="0"/>
    <x v="88"/>
    <x v="12"/>
    <x v="9"/>
    <x v="1"/>
    <s v="BERHAMPUR"/>
    <x v="14"/>
    <n v="899"/>
    <n v="295"/>
    <n v="604"/>
    <n v="240"/>
    <n v="364"/>
  </r>
  <r>
    <s v="404-3485016-0158731"/>
    <s v="13/01/2023"/>
    <x v="0"/>
    <x v="255"/>
    <x v="12"/>
    <x v="9"/>
    <x v="1"/>
    <s v="NEW DELHI"/>
    <x v="16"/>
    <n v="799"/>
    <n v="205"/>
    <n v="594"/>
    <n v="240"/>
    <n v="354"/>
  </r>
  <r>
    <s v="405-7589137-7456354"/>
    <s v="13/01/2023"/>
    <x v="0"/>
    <x v="15"/>
    <x v="12"/>
    <x v="9"/>
    <x v="1"/>
    <s v="ADILABAD"/>
    <x v="8"/>
    <n v="849"/>
    <n v="250"/>
    <n v="599"/>
    <n v="240"/>
    <n v="359"/>
  </r>
  <r>
    <s v="407-3830310-3215506"/>
    <s v="13/01/2023"/>
    <x v="0"/>
    <x v="156"/>
    <x v="12"/>
    <x v="9"/>
    <x v="1"/>
    <s v="MANGALURU"/>
    <x v="5"/>
    <n v="799"/>
    <n v="205"/>
    <n v="594"/>
    <n v="240"/>
    <n v="354"/>
  </r>
  <r>
    <s v="408-9970981-7200324"/>
    <s v="13/01/2023"/>
    <x v="1"/>
    <x v="289"/>
    <x v="12"/>
    <x v="9"/>
    <x v="1"/>
    <s v="Osmanabad"/>
    <x v="6"/>
    <n v="0"/>
    <n v="0"/>
    <n v="0"/>
    <n v="0"/>
    <n v="0"/>
  </r>
  <r>
    <s v="404-5274956-2981952"/>
    <s v="13/01/2023"/>
    <x v="0"/>
    <x v="95"/>
    <x v="12"/>
    <x v="9"/>
    <x v="1"/>
    <s v="DEOBAND"/>
    <x v="1"/>
    <n v="899"/>
    <n v="295"/>
    <n v="604"/>
    <n v="240"/>
    <n v="364"/>
  </r>
  <r>
    <s v="408-4876840-7885116"/>
    <s v="15/01/2023"/>
    <x v="2"/>
    <x v="124"/>
    <x v="14"/>
    <x v="9"/>
    <x v="1"/>
    <s v="THIRUVARUR"/>
    <x v="7"/>
    <n v="0"/>
    <n v="0"/>
    <n v="0"/>
    <n v="0"/>
    <n v="0"/>
  </r>
  <r>
    <s v="408-7649903-5657933"/>
    <s v="15/01/2023"/>
    <x v="2"/>
    <x v="166"/>
    <x v="14"/>
    <x v="9"/>
    <x v="1"/>
    <s v="MANGALURU"/>
    <x v="5"/>
    <n v="0"/>
    <n v="0"/>
    <n v="0"/>
    <n v="0"/>
    <n v="0"/>
  </r>
  <r>
    <s v="404-5705155-9898734"/>
    <s v="14/01/2023"/>
    <x v="2"/>
    <x v="81"/>
    <x v="13"/>
    <x v="9"/>
    <x v="1"/>
    <s v="MUNDRA"/>
    <x v="3"/>
    <n v="0"/>
    <n v="0"/>
    <n v="0"/>
    <n v="0"/>
    <n v="0"/>
  </r>
  <r>
    <s v="406-0154408-8261957"/>
    <s v="11/01/2023"/>
    <x v="3"/>
    <x v="25"/>
    <x v="9"/>
    <x v="9"/>
    <x v="1"/>
    <s v="NOIDA"/>
    <x v="1"/>
    <n v="-799"/>
    <n v="320"/>
    <n v="-479"/>
    <n v="240"/>
    <n v="-239"/>
  </r>
  <r>
    <s v="407-6604713-4283527"/>
    <s v="08/01/2023"/>
    <x v="3"/>
    <x v="288"/>
    <x v="6"/>
    <x v="9"/>
    <x v="1"/>
    <s v="JAMSHEDPUR"/>
    <x v="11"/>
    <n v="-999"/>
    <n v="395"/>
    <n v="-604"/>
    <n v="240"/>
    <n v="-364"/>
  </r>
  <r>
    <s v="402-5113943-9805145"/>
    <s v="09/01/2023"/>
    <x v="3"/>
    <x v="44"/>
    <x v="8"/>
    <x v="9"/>
    <x v="1"/>
    <s v="GHAZIABAD"/>
    <x v="1"/>
    <n v="-899"/>
    <n v="375"/>
    <n v="-524"/>
    <n v="240"/>
    <n v="-284"/>
  </r>
  <r>
    <s v="171-1699841-0259559"/>
    <s v="07/01/2023"/>
    <x v="3"/>
    <x v="287"/>
    <x v="7"/>
    <x v="9"/>
    <x v="1"/>
    <s v="MANGALURU"/>
    <x v="5"/>
    <n v="-799"/>
    <n v="320"/>
    <n v="-479"/>
    <n v="240"/>
    <n v="-239"/>
  </r>
  <r>
    <s v="171-8145729-9861148"/>
    <s v="12/01/2023"/>
    <x v="3"/>
    <x v="15"/>
    <x v="11"/>
    <x v="9"/>
    <x v="1"/>
    <s v="BHILAI"/>
    <x v="20"/>
    <n v="-849"/>
    <n v="345"/>
    <n v="-504"/>
    <n v="240"/>
    <n v="-264"/>
  </r>
  <r>
    <s v="404-9536659-0938745"/>
    <s v="14/01/2023"/>
    <x v="0"/>
    <x v="164"/>
    <x v="13"/>
    <x v="9"/>
    <x v="1"/>
    <s v="PATNA"/>
    <x v="0"/>
    <n v="849"/>
    <n v="250"/>
    <n v="599"/>
    <n v="240"/>
    <n v="359"/>
  </r>
  <r>
    <s v="408-1176631-2387567"/>
    <s v="15/01/2023"/>
    <x v="1"/>
    <x v="88"/>
    <x v="14"/>
    <x v="9"/>
    <x v="1"/>
    <s v="AHMEDABAD"/>
    <x v="3"/>
    <n v="0"/>
    <n v="0"/>
    <n v="0"/>
    <n v="0"/>
    <n v="0"/>
  </r>
  <r>
    <s v="402-6114159-9070758"/>
    <s v="15/01/2023"/>
    <x v="0"/>
    <x v="125"/>
    <x v="14"/>
    <x v="9"/>
    <x v="1"/>
    <s v="HUBBALLI"/>
    <x v="5"/>
    <n v="999"/>
    <n v="325"/>
    <n v="674"/>
    <n v="240"/>
    <n v="434"/>
  </r>
  <r>
    <s v="408-8322788-6640323"/>
    <s v="15/01/2023"/>
    <x v="0"/>
    <x v="143"/>
    <x v="14"/>
    <x v="9"/>
    <x v="1"/>
    <s v="NEW DELHI"/>
    <x v="16"/>
    <n v="849"/>
    <n v="250"/>
    <n v="599"/>
    <n v="240"/>
    <n v="359"/>
  </r>
  <r>
    <s v="407-3825819-9664310"/>
    <s v="14/01/2023"/>
    <x v="0"/>
    <x v="165"/>
    <x v="13"/>
    <x v="9"/>
    <x v="1"/>
    <s v="Shimla"/>
    <x v="22"/>
    <n v="799"/>
    <n v="205"/>
    <n v="594"/>
    <n v="240"/>
    <n v="354"/>
  </r>
  <r>
    <s v="406-9745218-6101150"/>
    <s v="15/01/2023"/>
    <x v="0"/>
    <x v="15"/>
    <x v="14"/>
    <x v="9"/>
    <x v="1"/>
    <s v="Secunderabad"/>
    <x v="8"/>
    <n v="849"/>
    <n v="250"/>
    <n v="599"/>
    <n v="240"/>
    <n v="359"/>
  </r>
  <r>
    <s v="408-7649903-5657933"/>
    <s v="15/01/2023"/>
    <x v="0"/>
    <x v="166"/>
    <x v="14"/>
    <x v="9"/>
    <x v="1"/>
    <s v="MANGALURU"/>
    <x v="5"/>
    <n v="849"/>
    <n v="250"/>
    <n v="599"/>
    <n v="240"/>
    <n v="359"/>
  </r>
  <r>
    <s v="408-5291339-3837963"/>
    <s v="15/01/2023"/>
    <x v="0"/>
    <x v="168"/>
    <x v="14"/>
    <x v="9"/>
    <x v="1"/>
    <s v="JAIPUR"/>
    <x v="10"/>
    <n v="799"/>
    <n v="205"/>
    <n v="594"/>
    <n v="240"/>
    <n v="354"/>
  </r>
  <r>
    <s v="405-5880688-6365909"/>
    <s v="15/01/2023"/>
    <x v="0"/>
    <x v="121"/>
    <x v="14"/>
    <x v="9"/>
    <x v="1"/>
    <s v="LUCKNOW"/>
    <x v="1"/>
    <n v="799"/>
    <n v="205"/>
    <n v="594"/>
    <n v="240"/>
    <n v="354"/>
  </r>
  <r>
    <s v="408-8128551-0986727"/>
    <s v="14/01/2023"/>
    <x v="0"/>
    <x v="50"/>
    <x v="13"/>
    <x v="9"/>
    <x v="1"/>
    <s v="Kanpur Nagar"/>
    <x v="1"/>
    <n v="799"/>
    <n v="205"/>
    <n v="594"/>
    <n v="240"/>
    <n v="354"/>
  </r>
  <r>
    <s v="403-1099369-9004345"/>
    <s v="14/01/2023"/>
    <x v="0"/>
    <x v="80"/>
    <x v="13"/>
    <x v="9"/>
    <x v="1"/>
    <s v="KOLKATA"/>
    <x v="18"/>
    <n v="899"/>
    <n v="295"/>
    <n v="604"/>
    <n v="240"/>
    <n v="364"/>
  </r>
  <r>
    <s v="402-8010582-8798718"/>
    <s v="14/01/2023"/>
    <x v="0"/>
    <x v="290"/>
    <x v="13"/>
    <x v="9"/>
    <x v="1"/>
    <s v="GURUGRAM"/>
    <x v="15"/>
    <n v="799"/>
    <n v="205"/>
    <n v="594"/>
    <n v="240"/>
    <n v="354"/>
  </r>
  <r>
    <s v="404-0950579-3589935"/>
    <s v="14/01/2023"/>
    <x v="0"/>
    <x v="178"/>
    <x v="13"/>
    <x v="9"/>
    <x v="1"/>
    <s v="BENGALURU"/>
    <x v="5"/>
    <n v="799"/>
    <n v="205"/>
    <n v="594"/>
    <n v="240"/>
    <n v="354"/>
  </r>
  <r>
    <s v="407-9018906-0042720"/>
    <s v="14/01/2023"/>
    <x v="0"/>
    <x v="176"/>
    <x v="13"/>
    <x v="9"/>
    <x v="1"/>
    <s v="Aizawl"/>
    <x v="28"/>
    <n v="899"/>
    <n v="295"/>
    <n v="604"/>
    <n v="240"/>
    <n v="364"/>
  </r>
  <r>
    <s v="405-6270005-9832320"/>
    <s v="14/01/2023"/>
    <x v="0"/>
    <x v="68"/>
    <x v="13"/>
    <x v="9"/>
    <x v="1"/>
    <s v="KASHIPUR"/>
    <x v="24"/>
    <n v="799"/>
    <n v="205"/>
    <n v="594"/>
    <n v="240"/>
    <n v="354"/>
  </r>
  <r>
    <s v="402-2300908-0817137"/>
    <s v="14/01/2023"/>
    <x v="0"/>
    <x v="44"/>
    <x v="13"/>
    <x v="9"/>
    <x v="1"/>
    <s v="HILSA"/>
    <x v="0"/>
    <n v="899"/>
    <n v="295"/>
    <n v="604"/>
    <n v="240"/>
    <n v="364"/>
  </r>
  <r>
    <s v="408-4876840-7885116"/>
    <s v="15/01/2023"/>
    <x v="0"/>
    <x v="124"/>
    <x v="14"/>
    <x v="9"/>
    <x v="1"/>
    <s v="THIRUVARUR"/>
    <x v="7"/>
    <n v="999"/>
    <n v="325"/>
    <n v="674"/>
    <n v="240"/>
    <n v="434"/>
  </r>
  <r>
    <s v="408-2656648-8499561"/>
    <s v="15/01/2023"/>
    <x v="0"/>
    <x v="206"/>
    <x v="14"/>
    <x v="9"/>
    <x v="1"/>
    <s v="TINSUKIA"/>
    <x v="4"/>
    <n v="899"/>
    <n v="295"/>
    <n v="604"/>
    <n v="240"/>
    <n v="364"/>
  </r>
  <r>
    <s v="407-1407548-6987546"/>
    <s v="15/01/2023"/>
    <x v="0"/>
    <x v="120"/>
    <x v="14"/>
    <x v="9"/>
    <x v="1"/>
    <s v="HAPUR"/>
    <x v="1"/>
    <n v="849"/>
    <n v="250"/>
    <n v="599"/>
    <n v="240"/>
    <n v="359"/>
  </r>
  <r>
    <s v="406-1572289-8931546"/>
    <s v="14/01/2023"/>
    <x v="0"/>
    <x v="261"/>
    <x v="13"/>
    <x v="9"/>
    <x v="1"/>
    <s v="NEW DELHI"/>
    <x v="16"/>
    <n v="999"/>
    <n v="325"/>
    <n v="674"/>
    <n v="240"/>
    <n v="434"/>
  </r>
  <r>
    <s v="404-9791537-7080352"/>
    <s v="10/01/2023"/>
    <x v="3"/>
    <x v="68"/>
    <x v="10"/>
    <x v="9"/>
    <x v="1"/>
    <s v="DAUSA"/>
    <x v="10"/>
    <n v="-799"/>
    <n v="320"/>
    <n v="-479"/>
    <n v="240"/>
    <n v="-239"/>
  </r>
  <r>
    <s v="171-5539355-2541146"/>
    <s v="09/01/2023"/>
    <x v="3"/>
    <x v="166"/>
    <x v="8"/>
    <x v="9"/>
    <x v="1"/>
    <s v="MUMBAI"/>
    <x v="6"/>
    <n v="-849"/>
    <n v="345"/>
    <n v="-504"/>
    <n v="240"/>
    <n v="-264"/>
  </r>
  <r>
    <s v="402-6385256-4701965"/>
    <s v="17/01/2023"/>
    <x v="2"/>
    <x v="25"/>
    <x v="16"/>
    <x v="9"/>
    <x v="1"/>
    <s v="AMBALA"/>
    <x v="15"/>
    <n v="0"/>
    <n v="0"/>
    <n v="0"/>
    <n v="0"/>
    <n v="0"/>
  </r>
  <r>
    <s v="402-5777241-1753915"/>
    <s v="07/01/2023"/>
    <x v="3"/>
    <x v="123"/>
    <x v="7"/>
    <x v="9"/>
    <x v="1"/>
    <s v="BENGALURU"/>
    <x v="5"/>
    <n v="-999"/>
    <n v="395"/>
    <n v="-604"/>
    <n v="240"/>
    <n v="-364"/>
  </r>
  <r>
    <s v="402-7473605-7486724"/>
    <s v="15/01/2023"/>
    <x v="0"/>
    <x v="44"/>
    <x v="14"/>
    <x v="9"/>
    <x v="1"/>
    <s v="MUZAFFARNAGAR"/>
    <x v="1"/>
    <n v="899"/>
    <n v="295"/>
    <n v="604"/>
    <n v="240"/>
    <n v="364"/>
  </r>
  <r>
    <s v="405-2211542-0833127"/>
    <s v="16/01/2023"/>
    <x v="0"/>
    <x v="86"/>
    <x v="15"/>
    <x v="9"/>
    <x v="1"/>
    <s v="MANGALURU"/>
    <x v="5"/>
    <n v="899"/>
    <n v="295"/>
    <n v="604"/>
    <n v="240"/>
    <n v="364"/>
  </r>
  <r>
    <s v="405-4277948-1650708"/>
    <s v="16/01/2023"/>
    <x v="0"/>
    <x v="123"/>
    <x v="15"/>
    <x v="9"/>
    <x v="1"/>
    <s v="ALIGARH"/>
    <x v="1"/>
    <n v="999"/>
    <n v="325"/>
    <n v="674"/>
    <n v="240"/>
    <n v="434"/>
  </r>
  <r>
    <s v="408-8460963-5737121"/>
    <s v="16/01/2023"/>
    <x v="0"/>
    <x v="161"/>
    <x v="15"/>
    <x v="9"/>
    <x v="1"/>
    <s v="Latur"/>
    <x v="6"/>
    <n v="799"/>
    <n v="205"/>
    <n v="594"/>
    <n v="240"/>
    <n v="354"/>
  </r>
  <r>
    <s v="171-1350415-3501121"/>
    <s v="15/01/2023"/>
    <x v="0"/>
    <x v="154"/>
    <x v="14"/>
    <x v="9"/>
    <x v="1"/>
    <s v="Mumbai"/>
    <x v="6"/>
    <n v="799"/>
    <n v="205"/>
    <n v="594"/>
    <n v="240"/>
    <n v="354"/>
  </r>
  <r>
    <s v="407-7581565-5607548"/>
    <s v="16/01/2023"/>
    <x v="0"/>
    <x v="6"/>
    <x v="15"/>
    <x v="9"/>
    <x v="1"/>
    <s v="AMRAVATI"/>
    <x v="6"/>
    <n v="899"/>
    <n v="295"/>
    <n v="604"/>
    <n v="240"/>
    <n v="364"/>
  </r>
  <r>
    <s v="404-3485016-0158731"/>
    <s v="13/01/2023"/>
    <x v="3"/>
    <x v="255"/>
    <x v="12"/>
    <x v="9"/>
    <x v="1"/>
    <s v="NEW DELHI"/>
    <x v="16"/>
    <n v="-799"/>
    <n v="320"/>
    <n v="-479"/>
    <n v="240"/>
    <n v="-239"/>
  </r>
  <r>
    <s v="408-4951117-7310762"/>
    <s v="11/01/2023"/>
    <x v="3"/>
    <x v="193"/>
    <x v="9"/>
    <x v="9"/>
    <x v="1"/>
    <s v="NOIDA"/>
    <x v="1"/>
    <n v="-799"/>
    <n v="320"/>
    <n v="-479"/>
    <n v="240"/>
    <n v="-239"/>
  </r>
  <r>
    <s v="406-0563771-1905105"/>
    <s v="15/01/2023"/>
    <x v="0"/>
    <x v="137"/>
    <x v="14"/>
    <x v="9"/>
    <x v="1"/>
    <s v="Chityala"/>
    <x v="8"/>
    <n v="849"/>
    <n v="250"/>
    <n v="599"/>
    <n v="240"/>
    <n v="359"/>
  </r>
  <r>
    <s v="407-3613879-4691516"/>
    <s v="17/01/2023"/>
    <x v="2"/>
    <x v="205"/>
    <x v="16"/>
    <x v="9"/>
    <x v="1"/>
    <s v="Dombivali East"/>
    <x v="6"/>
    <n v="0"/>
    <n v="0"/>
    <n v="0"/>
    <n v="0"/>
    <n v="0"/>
  </r>
  <r>
    <s v="406-4865122-4312305"/>
    <s v="11/01/2023"/>
    <x v="3"/>
    <x v="15"/>
    <x v="9"/>
    <x v="9"/>
    <x v="1"/>
    <s v="BENGALURU"/>
    <x v="5"/>
    <n v="-849"/>
    <n v="345"/>
    <n v="-504"/>
    <n v="240"/>
    <n v="-264"/>
  </r>
  <r>
    <s v="403-2851108-8039509"/>
    <s v="17/01/2023"/>
    <x v="0"/>
    <x v="88"/>
    <x v="16"/>
    <x v="9"/>
    <x v="1"/>
    <s v="AMBIKAPUR"/>
    <x v="20"/>
    <n v="899"/>
    <n v="295"/>
    <n v="604"/>
    <n v="240"/>
    <n v="364"/>
  </r>
  <r>
    <s v="405-7235663-7564341"/>
    <s v="17/01/2023"/>
    <x v="0"/>
    <x v="88"/>
    <x v="16"/>
    <x v="9"/>
    <x v="1"/>
    <s v="HASSAN"/>
    <x v="5"/>
    <n v="899"/>
    <n v="295"/>
    <n v="604"/>
    <n v="240"/>
    <n v="364"/>
  </r>
  <r>
    <s v="407-9956482-3645141"/>
    <s v="18/01/2023"/>
    <x v="0"/>
    <x v="21"/>
    <x v="18"/>
    <x v="9"/>
    <x v="1"/>
    <s v="AHMEDABAD"/>
    <x v="3"/>
    <n v="899"/>
    <n v="295"/>
    <n v="604"/>
    <n v="240"/>
    <n v="364"/>
  </r>
  <r>
    <s v="405-6713627-8448343"/>
    <s v="17/01/2023"/>
    <x v="0"/>
    <x v="187"/>
    <x v="16"/>
    <x v="9"/>
    <x v="1"/>
    <s v="BENGALURU"/>
    <x v="5"/>
    <n v="799"/>
    <n v="205"/>
    <n v="594"/>
    <n v="240"/>
    <n v="354"/>
  </r>
  <r>
    <s v="171-3558977-6658737"/>
    <s v="15/01/2023"/>
    <x v="0"/>
    <x v="291"/>
    <x v="14"/>
    <x v="9"/>
    <x v="1"/>
    <s v="ANCHARAKANDY"/>
    <x v="9"/>
    <n v="999"/>
    <n v="325"/>
    <n v="674"/>
    <n v="240"/>
    <n v="434"/>
  </r>
  <r>
    <s v="405-1335608-6581138"/>
    <s v="17/01/2023"/>
    <x v="0"/>
    <x v="81"/>
    <x v="16"/>
    <x v="9"/>
    <x v="1"/>
    <s v="GREATER NOIDA"/>
    <x v="1"/>
    <n v="799"/>
    <n v="205"/>
    <n v="594"/>
    <n v="240"/>
    <n v="354"/>
  </r>
  <r>
    <s v="171-0641893-3758710"/>
    <s v="17/01/2023"/>
    <x v="0"/>
    <x v="15"/>
    <x v="16"/>
    <x v="9"/>
    <x v="1"/>
    <s v="PUNE"/>
    <x v="6"/>
    <n v="849"/>
    <n v="250"/>
    <n v="599"/>
    <n v="240"/>
    <n v="359"/>
  </r>
  <r>
    <s v="403-0093056-3610775"/>
    <s v="17/01/2023"/>
    <x v="0"/>
    <x v="131"/>
    <x v="16"/>
    <x v="9"/>
    <x v="1"/>
    <s v="DIU"/>
    <x v="35"/>
    <n v="799"/>
    <n v="205"/>
    <n v="594"/>
    <n v="240"/>
    <n v="354"/>
  </r>
  <r>
    <s v="408-1399272-6837145"/>
    <s v="17/01/2023"/>
    <x v="1"/>
    <x v="31"/>
    <x v="16"/>
    <x v="9"/>
    <x v="1"/>
    <s v="BADLAPUR"/>
    <x v="6"/>
    <n v="0"/>
    <n v="0"/>
    <n v="0"/>
    <n v="0"/>
    <n v="0"/>
  </r>
  <r>
    <s v="405-6799441-8289144"/>
    <s v="17/01/2023"/>
    <x v="0"/>
    <x v="123"/>
    <x v="16"/>
    <x v="9"/>
    <x v="1"/>
    <s v="KOLKATA"/>
    <x v="18"/>
    <n v="999"/>
    <n v="325"/>
    <n v="674"/>
    <n v="240"/>
    <n v="434"/>
  </r>
  <r>
    <s v="405-0388013-7219525"/>
    <s v="17/01/2023"/>
    <x v="0"/>
    <x v="124"/>
    <x v="16"/>
    <x v="9"/>
    <x v="1"/>
    <s v="ANAND"/>
    <x v="3"/>
    <n v="999"/>
    <n v="325"/>
    <n v="674"/>
    <n v="240"/>
    <n v="434"/>
  </r>
  <r>
    <s v="408-1662712-9501967"/>
    <s v="17/01/2023"/>
    <x v="0"/>
    <x v="59"/>
    <x v="16"/>
    <x v="9"/>
    <x v="1"/>
    <s v="BENGALURU"/>
    <x v="5"/>
    <n v="899"/>
    <n v="295"/>
    <n v="604"/>
    <n v="240"/>
    <n v="364"/>
  </r>
  <r>
    <s v="403-9955628-4742701"/>
    <s v="17/01/2023"/>
    <x v="0"/>
    <x v="202"/>
    <x v="16"/>
    <x v="9"/>
    <x v="1"/>
    <s v="PADRA  Vadodara"/>
    <x v="3"/>
    <n v="999"/>
    <n v="325"/>
    <n v="674"/>
    <n v="240"/>
    <n v="434"/>
  </r>
  <r>
    <s v="406-6366408-1778721"/>
    <s v="17/01/2023"/>
    <x v="0"/>
    <x v="151"/>
    <x v="16"/>
    <x v="9"/>
    <x v="1"/>
    <s v="PATNA"/>
    <x v="0"/>
    <n v="799"/>
    <n v="205"/>
    <n v="594"/>
    <n v="240"/>
    <n v="354"/>
  </r>
  <r>
    <s v="406-6366408-1778721"/>
    <s v="17/01/2023"/>
    <x v="0"/>
    <x v="188"/>
    <x v="16"/>
    <x v="9"/>
    <x v="1"/>
    <s v="PATNA"/>
    <x v="0"/>
    <n v="799"/>
    <n v="205"/>
    <n v="594"/>
    <n v="240"/>
    <n v="354"/>
  </r>
  <r>
    <s v="406-6366408-1778721"/>
    <s v="17/01/2023"/>
    <x v="0"/>
    <x v="168"/>
    <x v="16"/>
    <x v="9"/>
    <x v="1"/>
    <s v="PATNA"/>
    <x v="0"/>
    <n v="799"/>
    <n v="205"/>
    <n v="594"/>
    <n v="240"/>
    <n v="354"/>
  </r>
  <r>
    <s v="408-5899353-1671557"/>
    <s v="17/01/2023"/>
    <x v="1"/>
    <x v="21"/>
    <x v="16"/>
    <x v="9"/>
    <x v="1"/>
    <s v="DIAMOND HARBOUR"/>
    <x v="18"/>
    <n v="0"/>
    <n v="0"/>
    <n v="0"/>
    <n v="0"/>
    <n v="0"/>
  </r>
  <r>
    <s v="407-3613879-4691516"/>
    <s v="17/01/2023"/>
    <x v="0"/>
    <x v="205"/>
    <x v="16"/>
    <x v="9"/>
    <x v="1"/>
    <s v="Dombivali East"/>
    <x v="6"/>
    <n v="799"/>
    <n v="205"/>
    <n v="594"/>
    <n v="240"/>
    <n v="354"/>
  </r>
  <r>
    <s v="407-9286774-0201939"/>
    <s v="17/01/2023"/>
    <x v="0"/>
    <x v="128"/>
    <x v="16"/>
    <x v="9"/>
    <x v="1"/>
    <s v="MEERUT"/>
    <x v="1"/>
    <n v="999"/>
    <n v="325"/>
    <n v="674"/>
    <n v="240"/>
    <n v="434"/>
  </r>
  <r>
    <s v="407-8082034-8057932"/>
    <s v="12/01/2023"/>
    <x v="3"/>
    <x v="81"/>
    <x v="11"/>
    <x v="9"/>
    <x v="1"/>
    <s v="KALADHUNGI"/>
    <x v="24"/>
    <n v="-799"/>
    <n v="320"/>
    <n v="-479"/>
    <n v="240"/>
    <n v="-239"/>
  </r>
  <r>
    <s v="404-0021239-7720347"/>
    <s v="18/01/2023"/>
    <x v="2"/>
    <x v="15"/>
    <x v="18"/>
    <x v="9"/>
    <x v="1"/>
    <s v="NEW DELHI"/>
    <x v="16"/>
    <n v="0"/>
    <n v="0"/>
    <n v="0"/>
    <n v="0"/>
    <n v="0"/>
  </r>
  <r>
    <s v="402-8010582-8798718"/>
    <s v="14/01/2023"/>
    <x v="3"/>
    <x v="290"/>
    <x v="13"/>
    <x v="9"/>
    <x v="1"/>
    <s v="GURUGRAM"/>
    <x v="15"/>
    <n v="-799"/>
    <n v="320"/>
    <n v="-479"/>
    <n v="240"/>
    <n v="-239"/>
  </r>
  <r>
    <s v="408-1355089-6732316"/>
    <s v="18/01/2023"/>
    <x v="0"/>
    <x v="124"/>
    <x v="18"/>
    <x v="9"/>
    <x v="1"/>
    <s v="SEDAM"/>
    <x v="5"/>
    <n v="999"/>
    <n v="325"/>
    <n v="674"/>
    <n v="240"/>
    <n v="434"/>
  </r>
  <r>
    <s v="403-8932819-2677121"/>
    <s v="18/01/2023"/>
    <x v="0"/>
    <x v="137"/>
    <x v="18"/>
    <x v="9"/>
    <x v="1"/>
    <s v="BENGALURU"/>
    <x v="5"/>
    <n v="849"/>
    <n v="250"/>
    <n v="599"/>
    <n v="240"/>
    <n v="359"/>
  </r>
  <r>
    <s v="408-2414088-5706739"/>
    <s v="18/01/2023"/>
    <x v="0"/>
    <x v="145"/>
    <x v="18"/>
    <x v="9"/>
    <x v="1"/>
    <s v="HOSHANGABAD"/>
    <x v="13"/>
    <n v="799"/>
    <n v="205"/>
    <n v="594"/>
    <n v="240"/>
    <n v="354"/>
  </r>
  <r>
    <s v="402-4913544-6033142"/>
    <s v="18/01/2023"/>
    <x v="0"/>
    <x v="124"/>
    <x v="18"/>
    <x v="9"/>
    <x v="1"/>
    <s v="KOLLAM"/>
    <x v="9"/>
    <n v="999"/>
    <n v="325"/>
    <n v="674"/>
    <n v="240"/>
    <n v="434"/>
  </r>
  <r>
    <s v="408-0746122-3721129"/>
    <s v="18/01/2023"/>
    <x v="0"/>
    <x v="98"/>
    <x v="18"/>
    <x v="9"/>
    <x v="1"/>
    <s v="CHENNAI"/>
    <x v="7"/>
    <n v="899"/>
    <n v="295"/>
    <n v="604"/>
    <n v="240"/>
    <n v="364"/>
  </r>
  <r>
    <s v="171-1710836-3775545"/>
    <s v="18/01/2023"/>
    <x v="0"/>
    <x v="121"/>
    <x v="18"/>
    <x v="9"/>
    <x v="1"/>
    <s v="MEERUT"/>
    <x v="1"/>
    <n v="799"/>
    <n v="205"/>
    <n v="594"/>
    <n v="240"/>
    <n v="354"/>
  </r>
  <r>
    <s v="171-9112382-7896360"/>
    <s v="18/01/2023"/>
    <x v="0"/>
    <x v="79"/>
    <x v="18"/>
    <x v="9"/>
    <x v="1"/>
    <s v="NEW DELHI"/>
    <x v="16"/>
    <n v="899"/>
    <n v="295"/>
    <n v="604"/>
    <n v="240"/>
    <n v="364"/>
  </r>
  <r>
    <s v="404-7321352-4203533"/>
    <s v="18/01/2023"/>
    <x v="0"/>
    <x v="88"/>
    <x v="18"/>
    <x v="9"/>
    <x v="1"/>
    <s v="SHERGHATI"/>
    <x v="0"/>
    <n v="899"/>
    <n v="295"/>
    <n v="604"/>
    <n v="240"/>
    <n v="364"/>
  </r>
  <r>
    <s v="402-5870626-6033116"/>
    <s v="18/01/2023"/>
    <x v="0"/>
    <x v="137"/>
    <x v="18"/>
    <x v="9"/>
    <x v="1"/>
    <s v="VASCO DA GAMA"/>
    <x v="21"/>
    <n v="849"/>
    <n v="250"/>
    <n v="599"/>
    <n v="240"/>
    <n v="359"/>
  </r>
  <r>
    <s v="408-9176878-5898748"/>
    <s v="18/01/2023"/>
    <x v="0"/>
    <x v="129"/>
    <x v="18"/>
    <x v="9"/>
    <x v="1"/>
    <s v="Noida"/>
    <x v="1"/>
    <n v="799"/>
    <n v="205"/>
    <n v="594"/>
    <n v="240"/>
    <n v="354"/>
  </r>
  <r>
    <s v="405-2401455-1753924"/>
    <s v="04/01/2023"/>
    <x v="3"/>
    <x v="200"/>
    <x v="3"/>
    <x v="9"/>
    <x v="1"/>
    <s v="Chennai"/>
    <x v="7"/>
    <n v="-999"/>
    <n v="395"/>
    <n v="-604"/>
    <n v="240"/>
    <n v="-364"/>
  </r>
  <r>
    <s v="171-2052313-4319503"/>
    <s v="10/01/2023"/>
    <x v="3"/>
    <x v="216"/>
    <x v="10"/>
    <x v="9"/>
    <x v="1"/>
    <s v="Bangalore"/>
    <x v="5"/>
    <n v="-799"/>
    <n v="320"/>
    <n v="-479"/>
    <n v="240"/>
    <n v="-239"/>
  </r>
  <r>
    <s v="405-6270005-9832320"/>
    <s v="14/01/2023"/>
    <x v="3"/>
    <x v="68"/>
    <x v="13"/>
    <x v="9"/>
    <x v="1"/>
    <s v="KASHIPUR"/>
    <x v="24"/>
    <n v="-799"/>
    <n v="320"/>
    <n v="-479"/>
    <n v="240"/>
    <n v="-239"/>
  </r>
  <r>
    <s v="403-9754860-0655565"/>
    <s v="19/01/2023"/>
    <x v="2"/>
    <x v="81"/>
    <x v="17"/>
    <x v="9"/>
    <x v="1"/>
    <s v="Raebareli"/>
    <x v="1"/>
    <n v="0"/>
    <n v="0"/>
    <n v="0"/>
    <n v="0"/>
    <n v="0"/>
  </r>
  <r>
    <s v="403-3711405-5262738"/>
    <s v="13/01/2023"/>
    <x v="3"/>
    <x v="183"/>
    <x v="12"/>
    <x v="9"/>
    <x v="1"/>
    <s v="GUNTUR"/>
    <x v="2"/>
    <n v="-849"/>
    <n v="345"/>
    <n v="-504"/>
    <n v="240"/>
    <n v="-264"/>
  </r>
  <r>
    <s v="407-3830310-3215506"/>
    <s v="13/01/2023"/>
    <x v="3"/>
    <x v="156"/>
    <x v="12"/>
    <x v="9"/>
    <x v="1"/>
    <s v="MANGALURU"/>
    <x v="5"/>
    <n v="-799"/>
    <n v="320"/>
    <n v="-479"/>
    <n v="240"/>
    <n v="-239"/>
  </r>
  <r>
    <s v="171-9789125-0258732"/>
    <s v="10/01/2023"/>
    <x v="3"/>
    <x v="75"/>
    <x v="10"/>
    <x v="9"/>
    <x v="1"/>
    <s v="BENGALURU"/>
    <x v="5"/>
    <n v="-799"/>
    <n v="320"/>
    <n v="-479"/>
    <n v="240"/>
    <n v="-239"/>
  </r>
  <r>
    <s v="406-8768064-5741101"/>
    <s v="12/01/2023"/>
    <x v="3"/>
    <x v="86"/>
    <x v="11"/>
    <x v="9"/>
    <x v="1"/>
    <s v="BENGALURU"/>
    <x v="5"/>
    <n v="-899"/>
    <n v="375"/>
    <n v="-524"/>
    <n v="240"/>
    <n v="-284"/>
  </r>
  <r>
    <s v="406-1572289-8931546"/>
    <s v="14/01/2023"/>
    <x v="3"/>
    <x v="261"/>
    <x v="13"/>
    <x v="9"/>
    <x v="1"/>
    <s v="NEW DELHI"/>
    <x v="16"/>
    <n v="-999"/>
    <n v="395"/>
    <n v="-604"/>
    <n v="240"/>
    <n v="-364"/>
  </r>
  <r>
    <s v="404-5274956-2981952"/>
    <s v="13/01/2023"/>
    <x v="3"/>
    <x v="95"/>
    <x v="12"/>
    <x v="9"/>
    <x v="1"/>
    <s v="DEOBAND"/>
    <x v="1"/>
    <n v="-899"/>
    <n v="375"/>
    <n v="-524"/>
    <n v="240"/>
    <n v="-284"/>
  </r>
  <r>
    <s v="403-2629251-5538763"/>
    <s v="19/01/2023"/>
    <x v="0"/>
    <x v="15"/>
    <x v="17"/>
    <x v="9"/>
    <x v="1"/>
    <s v="BELTANGADI"/>
    <x v="5"/>
    <n v="849"/>
    <n v="250"/>
    <n v="599"/>
    <n v="240"/>
    <n v="359"/>
  </r>
  <r>
    <s v="408-5850626-7565909"/>
    <s v="19/01/2023"/>
    <x v="0"/>
    <x v="177"/>
    <x v="17"/>
    <x v="9"/>
    <x v="1"/>
    <s v="PANDHARKAODA"/>
    <x v="6"/>
    <n v="799"/>
    <n v="205"/>
    <n v="594"/>
    <n v="240"/>
    <n v="354"/>
  </r>
  <r>
    <s v="402-1784808-7580358"/>
    <s v="19/01/2023"/>
    <x v="0"/>
    <x v="292"/>
    <x v="17"/>
    <x v="9"/>
    <x v="1"/>
    <s v="AWALPUR"/>
    <x v="6"/>
    <n v="999"/>
    <n v="325"/>
    <n v="674"/>
    <n v="240"/>
    <n v="434"/>
  </r>
  <r>
    <s v="171-4914766-6418769"/>
    <s v="19/01/2023"/>
    <x v="0"/>
    <x v="75"/>
    <x v="17"/>
    <x v="9"/>
    <x v="1"/>
    <s v="BENGALURU"/>
    <x v="5"/>
    <n v="799"/>
    <n v="205"/>
    <n v="594"/>
    <n v="240"/>
    <n v="354"/>
  </r>
  <r>
    <s v="408-6048684-9853123"/>
    <s v="19/01/2023"/>
    <x v="0"/>
    <x v="44"/>
    <x v="17"/>
    <x v="9"/>
    <x v="1"/>
    <s v="chengalpattu"/>
    <x v="7"/>
    <n v="899"/>
    <n v="295"/>
    <n v="604"/>
    <n v="240"/>
    <n v="364"/>
  </r>
  <r>
    <s v="408-1770434-7644334"/>
    <s v="19/01/2023"/>
    <x v="0"/>
    <x v="120"/>
    <x v="17"/>
    <x v="9"/>
    <x v="1"/>
    <s v="NAGPUR"/>
    <x v="6"/>
    <n v="849"/>
    <n v="250"/>
    <n v="599"/>
    <n v="240"/>
    <n v="359"/>
  </r>
  <r>
    <s v="403-9754860-0655565"/>
    <s v="19/01/2023"/>
    <x v="0"/>
    <x v="81"/>
    <x v="17"/>
    <x v="9"/>
    <x v="1"/>
    <s v="Raebareli"/>
    <x v="1"/>
    <n v="799"/>
    <n v="205"/>
    <n v="594"/>
    <n v="240"/>
    <n v="354"/>
  </r>
  <r>
    <s v="402-4271084-3944365"/>
    <s v="19/01/2023"/>
    <x v="0"/>
    <x v="128"/>
    <x v="17"/>
    <x v="9"/>
    <x v="1"/>
    <s v="NAGDA"/>
    <x v="13"/>
    <n v="999"/>
    <n v="325"/>
    <n v="674"/>
    <n v="240"/>
    <n v="434"/>
  </r>
  <r>
    <s v="407-5042410-9782716"/>
    <s v="19/01/2023"/>
    <x v="0"/>
    <x v="86"/>
    <x v="17"/>
    <x v="9"/>
    <x v="1"/>
    <s v="HOSHIARPUR"/>
    <x v="26"/>
    <n v="899"/>
    <n v="295"/>
    <n v="604"/>
    <n v="240"/>
    <n v="364"/>
  </r>
  <r>
    <s v="404-3019751-0149125"/>
    <s v="19/01/2023"/>
    <x v="0"/>
    <x v="136"/>
    <x v="17"/>
    <x v="9"/>
    <x v="1"/>
    <s v="NAVI MUMBAI"/>
    <x v="6"/>
    <n v="849"/>
    <n v="250"/>
    <n v="599"/>
    <n v="240"/>
    <n v="359"/>
  </r>
  <r>
    <s v="404-0726827-6609133"/>
    <s v="19/01/2023"/>
    <x v="0"/>
    <x v="15"/>
    <x v="17"/>
    <x v="9"/>
    <x v="1"/>
    <s v="NUZVID"/>
    <x v="2"/>
    <n v="849"/>
    <n v="250"/>
    <n v="599"/>
    <n v="240"/>
    <n v="359"/>
  </r>
  <r>
    <s v="407-6997766-4671516"/>
    <s v="19/01/2023"/>
    <x v="0"/>
    <x v="165"/>
    <x v="17"/>
    <x v="9"/>
    <x v="1"/>
    <s v="Shimla"/>
    <x v="22"/>
    <n v="799"/>
    <n v="205"/>
    <n v="594"/>
    <n v="240"/>
    <n v="354"/>
  </r>
  <r>
    <s v="408-4845234-7940349"/>
    <s v="19/01/2023"/>
    <x v="1"/>
    <x v="124"/>
    <x v="17"/>
    <x v="9"/>
    <x v="1"/>
    <s v="DIMAPUR"/>
    <x v="17"/>
    <n v="0"/>
    <n v="0"/>
    <n v="0"/>
    <n v="0"/>
    <n v="0"/>
  </r>
  <r>
    <s v="171-8809815-6918754"/>
    <s v="19/01/2023"/>
    <x v="0"/>
    <x v="239"/>
    <x v="17"/>
    <x v="9"/>
    <x v="1"/>
    <s v="AHMEDABAD"/>
    <x v="3"/>
    <n v="799"/>
    <n v="205"/>
    <n v="594"/>
    <n v="240"/>
    <n v="354"/>
  </r>
  <r>
    <s v="404-8568345-3540315"/>
    <s v="19/01/2023"/>
    <x v="0"/>
    <x v="80"/>
    <x v="17"/>
    <x v="9"/>
    <x v="1"/>
    <s v="SHILLONG"/>
    <x v="23"/>
    <n v="899"/>
    <n v="295"/>
    <n v="604"/>
    <n v="240"/>
    <n v="364"/>
  </r>
  <r>
    <s v="408-6729796-1970715"/>
    <s v="19/01/2023"/>
    <x v="0"/>
    <x v="202"/>
    <x v="17"/>
    <x v="9"/>
    <x v="1"/>
    <s v="MUMBAI"/>
    <x v="6"/>
    <n v="999"/>
    <n v="325"/>
    <n v="674"/>
    <n v="240"/>
    <n v="434"/>
  </r>
  <r>
    <s v="403-4462875-1104329"/>
    <s v="06/01/2023"/>
    <x v="3"/>
    <x v="98"/>
    <x v="5"/>
    <x v="9"/>
    <x v="1"/>
    <s v="SEDAM"/>
    <x v="5"/>
    <n v="-899"/>
    <n v="375"/>
    <n v="-524"/>
    <n v="240"/>
    <n v="-284"/>
  </r>
  <r>
    <s v="406-9785633-1348300"/>
    <s v="20/01/2023"/>
    <x v="2"/>
    <x v="193"/>
    <x v="19"/>
    <x v="9"/>
    <x v="1"/>
    <s v="MUMBAI"/>
    <x v="6"/>
    <n v="0"/>
    <n v="0"/>
    <n v="0"/>
    <n v="0"/>
    <n v="0"/>
  </r>
  <r>
    <s v="405-3756082-7220304"/>
    <s v="20/01/2023"/>
    <x v="0"/>
    <x v="80"/>
    <x v="19"/>
    <x v="9"/>
    <x v="1"/>
    <s v="SRIKAKULAM"/>
    <x v="2"/>
    <n v="899"/>
    <n v="295"/>
    <n v="604"/>
    <n v="240"/>
    <n v="364"/>
  </r>
  <r>
    <s v="407-1753508-2795537"/>
    <s v="20/01/2023"/>
    <x v="0"/>
    <x v="80"/>
    <x v="19"/>
    <x v="9"/>
    <x v="1"/>
    <s v="Gorakhpur"/>
    <x v="1"/>
    <n v="899"/>
    <n v="295"/>
    <n v="604"/>
    <n v="240"/>
    <n v="364"/>
  </r>
  <r>
    <s v="403-2259620-7001922"/>
    <s v="20/01/2023"/>
    <x v="0"/>
    <x v="134"/>
    <x v="19"/>
    <x v="9"/>
    <x v="1"/>
    <s v="Yeola"/>
    <x v="6"/>
    <n v="849"/>
    <n v="250"/>
    <n v="599"/>
    <n v="240"/>
    <n v="359"/>
  </r>
  <r>
    <s v="402-2539342-7609935"/>
    <s v="20/01/2023"/>
    <x v="0"/>
    <x v="15"/>
    <x v="19"/>
    <x v="9"/>
    <x v="1"/>
    <s v="MORADABAD"/>
    <x v="1"/>
    <n v="849"/>
    <n v="250"/>
    <n v="599"/>
    <n v="240"/>
    <n v="359"/>
  </r>
  <r>
    <s v="408-8531240-0918700"/>
    <s v="20/01/2023"/>
    <x v="0"/>
    <x v="149"/>
    <x v="19"/>
    <x v="9"/>
    <x v="1"/>
    <s v="GAYA"/>
    <x v="0"/>
    <n v="799"/>
    <n v="205"/>
    <n v="594"/>
    <n v="240"/>
    <n v="354"/>
  </r>
  <r>
    <s v="403-6023666-8498729"/>
    <s v="20/01/2023"/>
    <x v="0"/>
    <x v="81"/>
    <x v="19"/>
    <x v="9"/>
    <x v="1"/>
    <s v="MOHALI"/>
    <x v="26"/>
    <n v="799"/>
    <n v="205"/>
    <n v="594"/>
    <n v="240"/>
    <n v="354"/>
  </r>
  <r>
    <s v="405-4328089-6381101"/>
    <s v="20/01/2023"/>
    <x v="0"/>
    <x v="80"/>
    <x v="19"/>
    <x v="9"/>
    <x v="1"/>
    <s v="JAMNAGAR"/>
    <x v="3"/>
    <n v="899"/>
    <n v="295"/>
    <n v="604"/>
    <n v="240"/>
    <n v="364"/>
  </r>
  <r>
    <s v="402-9162988-2089157"/>
    <s v="20/01/2023"/>
    <x v="0"/>
    <x v="142"/>
    <x v="19"/>
    <x v="9"/>
    <x v="1"/>
    <s v="KURNOOL Nandhikottukuru road"/>
    <x v="2"/>
    <n v="799"/>
    <n v="205"/>
    <n v="594"/>
    <n v="240"/>
    <n v="354"/>
  </r>
  <r>
    <s v="402-2991146-6822721"/>
    <s v="20/01/2023"/>
    <x v="0"/>
    <x v="236"/>
    <x v="19"/>
    <x v="9"/>
    <x v="1"/>
    <s v="BANGALORE"/>
    <x v="5"/>
    <n v="849"/>
    <n v="250"/>
    <n v="599"/>
    <n v="240"/>
    <n v="359"/>
  </r>
  <r>
    <s v="402-2991146-6822721"/>
    <s v="20/01/2023"/>
    <x v="0"/>
    <x v="208"/>
    <x v="19"/>
    <x v="9"/>
    <x v="1"/>
    <s v="BANGALORE"/>
    <x v="5"/>
    <n v="849"/>
    <n v="250"/>
    <n v="599"/>
    <n v="240"/>
    <n v="359"/>
  </r>
  <r>
    <s v="402-2708850-3407564"/>
    <s v="20/01/2023"/>
    <x v="0"/>
    <x v="145"/>
    <x v="19"/>
    <x v="9"/>
    <x v="1"/>
    <s v="AHMEDABAD"/>
    <x v="3"/>
    <n v="799"/>
    <n v="205"/>
    <n v="594"/>
    <n v="240"/>
    <n v="354"/>
  </r>
  <r>
    <s v="404-0718863-3521151"/>
    <s v="20/01/2023"/>
    <x v="0"/>
    <x v="133"/>
    <x v="19"/>
    <x v="9"/>
    <x v="1"/>
    <s v="CHOUTUPPAL"/>
    <x v="8"/>
    <n v="799"/>
    <n v="205"/>
    <n v="594"/>
    <n v="240"/>
    <n v="354"/>
  </r>
  <r>
    <s v="171-7537685-0078757"/>
    <s v="20/01/2023"/>
    <x v="0"/>
    <x v="25"/>
    <x v="19"/>
    <x v="9"/>
    <x v="1"/>
    <s v="MUMBAI"/>
    <x v="6"/>
    <n v="799"/>
    <n v="205"/>
    <n v="594"/>
    <n v="240"/>
    <n v="354"/>
  </r>
  <r>
    <s v="405-9691431-4416337"/>
    <s v="20/01/2023"/>
    <x v="0"/>
    <x v="229"/>
    <x v="19"/>
    <x v="9"/>
    <x v="1"/>
    <s v="Jamshedpur"/>
    <x v="11"/>
    <n v="799"/>
    <n v="205"/>
    <n v="594"/>
    <n v="240"/>
    <n v="354"/>
  </r>
  <r>
    <s v="403-6026153-4768357"/>
    <s v="20/01/2023"/>
    <x v="0"/>
    <x v="207"/>
    <x v="19"/>
    <x v="9"/>
    <x v="1"/>
    <s v="HYDERABAD"/>
    <x v="8"/>
    <n v="799"/>
    <n v="205"/>
    <n v="594"/>
    <n v="240"/>
    <n v="354"/>
  </r>
  <r>
    <s v="407-4291964-0723537"/>
    <s v="20/01/2023"/>
    <x v="0"/>
    <x v="193"/>
    <x v="19"/>
    <x v="9"/>
    <x v="1"/>
    <s v="HYDERABAD"/>
    <x v="8"/>
    <n v="799"/>
    <n v="205"/>
    <n v="594"/>
    <n v="240"/>
    <n v="354"/>
  </r>
  <r>
    <s v="407-2554231-7968335"/>
    <s v="20/01/2023"/>
    <x v="0"/>
    <x v="139"/>
    <x v="19"/>
    <x v="9"/>
    <x v="1"/>
    <s v="Loni"/>
    <x v="1"/>
    <n v="799"/>
    <n v="205"/>
    <n v="594"/>
    <n v="240"/>
    <n v="354"/>
  </r>
  <r>
    <s v="404-2537293-3933100"/>
    <s v="20/01/2023"/>
    <x v="0"/>
    <x v="136"/>
    <x v="19"/>
    <x v="9"/>
    <x v="1"/>
    <s v="HYDERABAD"/>
    <x v="8"/>
    <n v="849"/>
    <n v="250"/>
    <n v="599"/>
    <n v="240"/>
    <n v="359"/>
  </r>
  <r>
    <s v="404-3913481-6889948"/>
    <s v="20/01/2023"/>
    <x v="0"/>
    <x v="80"/>
    <x v="19"/>
    <x v="9"/>
    <x v="1"/>
    <s v="RANCHI"/>
    <x v="11"/>
    <n v="899"/>
    <n v="295"/>
    <n v="604"/>
    <n v="240"/>
    <n v="364"/>
  </r>
  <r>
    <s v="404-1978645-5644344"/>
    <s v="04/01/2023"/>
    <x v="3"/>
    <x v="59"/>
    <x v="3"/>
    <x v="9"/>
    <x v="1"/>
    <s v="AHMEDABAD"/>
    <x v="3"/>
    <n v="-899"/>
    <n v="375"/>
    <n v="-524"/>
    <n v="240"/>
    <n v="-284"/>
  </r>
  <r>
    <s v="408-0347658-3105157"/>
    <s v="21/01/2023"/>
    <x v="2"/>
    <x v="88"/>
    <x v="20"/>
    <x v="9"/>
    <x v="1"/>
    <s v="BENGALURU"/>
    <x v="5"/>
    <n v="0"/>
    <n v="0"/>
    <n v="0"/>
    <n v="0"/>
    <n v="0"/>
  </r>
  <r>
    <s v="407-3825819-9664310"/>
    <s v="14/01/2023"/>
    <x v="3"/>
    <x v="165"/>
    <x v="13"/>
    <x v="9"/>
    <x v="1"/>
    <s v="Shimla"/>
    <x v="22"/>
    <n v="-799"/>
    <n v="320"/>
    <n v="-479"/>
    <n v="240"/>
    <n v="-239"/>
  </r>
  <r>
    <s v="404-9231966-4046713"/>
    <s v="22/01/2023"/>
    <x v="2"/>
    <x v="74"/>
    <x v="21"/>
    <x v="9"/>
    <x v="1"/>
    <s v="GUWAHATI"/>
    <x v="4"/>
    <n v="0"/>
    <n v="0"/>
    <n v="0"/>
    <n v="0"/>
    <n v="0"/>
  </r>
  <r>
    <s v="402-2539342-7609935"/>
    <s v="20/01/2023"/>
    <x v="3"/>
    <x v="15"/>
    <x v="19"/>
    <x v="9"/>
    <x v="1"/>
    <s v="MORADABAD"/>
    <x v="1"/>
    <n v="-849"/>
    <n v="345"/>
    <n v="-504"/>
    <n v="240"/>
    <n v="-264"/>
  </r>
  <r>
    <s v="405-8538965-0230718"/>
    <s v="23/01/2023"/>
    <x v="2"/>
    <x v="52"/>
    <x v="23"/>
    <x v="9"/>
    <x v="1"/>
    <s v="MACHILIPATNAM"/>
    <x v="2"/>
    <n v="0"/>
    <n v="0"/>
    <n v="0"/>
    <n v="0"/>
    <n v="0"/>
  </r>
  <r>
    <s v="407-0106655-3272300"/>
    <s v="21/01/2023"/>
    <x v="0"/>
    <x v="176"/>
    <x v="20"/>
    <x v="9"/>
    <x v="1"/>
    <s v="AMRITSAR"/>
    <x v="26"/>
    <n v="899"/>
    <n v="295"/>
    <n v="604"/>
    <n v="240"/>
    <n v="364"/>
  </r>
  <r>
    <s v="408-1509965-2782756"/>
    <s v="22/01/2023"/>
    <x v="1"/>
    <x v="205"/>
    <x v="21"/>
    <x v="9"/>
    <x v="1"/>
    <s v="Dombivali East"/>
    <x v="6"/>
    <n v="0"/>
    <n v="0"/>
    <n v="0"/>
    <n v="0"/>
    <n v="0"/>
  </r>
  <r>
    <s v="407-5118445-4644312"/>
    <s v="21/01/2023"/>
    <x v="0"/>
    <x v="208"/>
    <x v="20"/>
    <x v="9"/>
    <x v="1"/>
    <s v="SATHYAMANGALAM"/>
    <x v="7"/>
    <n v="849"/>
    <n v="250"/>
    <n v="599"/>
    <n v="240"/>
    <n v="359"/>
  </r>
  <r>
    <s v="404-9198531-0128315"/>
    <s v="21/01/2023"/>
    <x v="0"/>
    <x v="172"/>
    <x v="20"/>
    <x v="9"/>
    <x v="1"/>
    <s v="Thiruvalla"/>
    <x v="9"/>
    <n v="799"/>
    <n v="205"/>
    <n v="594"/>
    <n v="240"/>
    <n v="354"/>
  </r>
  <r>
    <s v="408-1246152-8726755"/>
    <s v="22/01/2023"/>
    <x v="1"/>
    <x v="21"/>
    <x v="21"/>
    <x v="9"/>
    <x v="1"/>
    <s v="BENGALURU"/>
    <x v="5"/>
    <n v="0"/>
    <n v="0"/>
    <n v="0"/>
    <n v="0"/>
    <n v="0"/>
  </r>
  <r>
    <s v="405-4067305-4582716"/>
    <s v="21/01/2023"/>
    <x v="0"/>
    <x v="80"/>
    <x v="20"/>
    <x v="9"/>
    <x v="1"/>
    <s v="KHARDAHA"/>
    <x v="18"/>
    <n v="899"/>
    <n v="295"/>
    <n v="604"/>
    <n v="240"/>
    <n v="364"/>
  </r>
  <r>
    <s v="408-8715176-0154768"/>
    <s v="21/01/2023"/>
    <x v="1"/>
    <x v="98"/>
    <x v="20"/>
    <x v="9"/>
    <x v="1"/>
    <s v="NASHIK"/>
    <x v="6"/>
    <n v="0"/>
    <n v="0"/>
    <n v="0"/>
    <n v="0"/>
    <n v="0"/>
  </r>
  <r>
    <s v="408-8593586-9411517"/>
    <s v="22/01/2023"/>
    <x v="0"/>
    <x v="293"/>
    <x v="21"/>
    <x v="9"/>
    <x v="1"/>
    <s v="GIDDALURU"/>
    <x v="2"/>
    <n v="799"/>
    <n v="205"/>
    <n v="594"/>
    <n v="240"/>
    <n v="354"/>
  </r>
  <r>
    <s v="407-7910379-3461965"/>
    <s v="21/01/2023"/>
    <x v="0"/>
    <x v="151"/>
    <x v="20"/>
    <x v="9"/>
    <x v="1"/>
    <s v="SHAHPUR"/>
    <x v="5"/>
    <n v="799"/>
    <n v="205"/>
    <n v="594"/>
    <n v="240"/>
    <n v="354"/>
  </r>
  <r>
    <s v="405-9019322-1257153"/>
    <s v="22/01/2023"/>
    <x v="0"/>
    <x v="80"/>
    <x v="21"/>
    <x v="9"/>
    <x v="1"/>
    <s v="IMPHAL"/>
    <x v="29"/>
    <n v="899"/>
    <n v="295"/>
    <n v="604"/>
    <n v="240"/>
    <n v="364"/>
  </r>
  <r>
    <s v="407-4773683-6892349"/>
    <s v="22/01/2023"/>
    <x v="0"/>
    <x v="80"/>
    <x v="21"/>
    <x v="9"/>
    <x v="1"/>
    <s v="INDORE"/>
    <x v="13"/>
    <n v="899"/>
    <n v="295"/>
    <n v="604"/>
    <n v="240"/>
    <n v="364"/>
  </r>
  <r>
    <s v="171-7459216-4967521"/>
    <s v="21/01/2023"/>
    <x v="0"/>
    <x v="80"/>
    <x v="20"/>
    <x v="9"/>
    <x v="1"/>
    <s v="BANGALORE"/>
    <x v="5"/>
    <n v="899"/>
    <n v="295"/>
    <n v="604"/>
    <n v="240"/>
    <n v="364"/>
  </r>
  <r>
    <s v="406-9625690-5934717"/>
    <s v="22/01/2023"/>
    <x v="0"/>
    <x v="80"/>
    <x v="21"/>
    <x v="9"/>
    <x v="1"/>
    <s v="Coimbatore"/>
    <x v="7"/>
    <n v="899"/>
    <n v="295"/>
    <n v="604"/>
    <n v="240"/>
    <n v="364"/>
  </r>
  <r>
    <s v="408-5368052-5241115"/>
    <s v="21/01/2023"/>
    <x v="0"/>
    <x v="88"/>
    <x v="20"/>
    <x v="9"/>
    <x v="1"/>
    <s v="JAIPUR"/>
    <x v="10"/>
    <n v="899"/>
    <n v="295"/>
    <n v="604"/>
    <n v="240"/>
    <n v="364"/>
  </r>
  <r>
    <s v="407-9867474-1291512"/>
    <s v="21/01/2023"/>
    <x v="0"/>
    <x v="137"/>
    <x v="20"/>
    <x v="9"/>
    <x v="1"/>
    <s v="SATHYAMANGALAM"/>
    <x v="7"/>
    <n v="849"/>
    <n v="250"/>
    <n v="599"/>
    <n v="240"/>
    <n v="359"/>
  </r>
  <r>
    <s v="171-8929579-0549152"/>
    <s v="22/01/2023"/>
    <x v="0"/>
    <x v="203"/>
    <x v="21"/>
    <x v="9"/>
    <x v="1"/>
    <s v="THIRUVANANTHAPURAM"/>
    <x v="9"/>
    <n v="799"/>
    <n v="205"/>
    <n v="594"/>
    <n v="240"/>
    <n v="354"/>
  </r>
  <r>
    <s v="405-1120875-6959541"/>
    <s v="21/01/2023"/>
    <x v="0"/>
    <x v="59"/>
    <x v="20"/>
    <x v="9"/>
    <x v="1"/>
    <s v="NEW DELHI"/>
    <x v="16"/>
    <n v="899"/>
    <n v="295"/>
    <n v="604"/>
    <n v="240"/>
    <n v="364"/>
  </r>
  <r>
    <s v="408-9991215-2606721"/>
    <s v="21/01/2023"/>
    <x v="0"/>
    <x v="80"/>
    <x v="20"/>
    <x v="9"/>
    <x v="1"/>
    <s v="WARDHA"/>
    <x v="6"/>
    <n v="899"/>
    <n v="295"/>
    <n v="604"/>
    <n v="240"/>
    <n v="364"/>
  </r>
  <r>
    <s v="403-0493535-9784306"/>
    <s v="22/01/2023"/>
    <x v="0"/>
    <x v="80"/>
    <x v="21"/>
    <x v="9"/>
    <x v="1"/>
    <s v="HYDERABAD"/>
    <x v="8"/>
    <n v="899"/>
    <n v="295"/>
    <n v="604"/>
    <n v="240"/>
    <n v="364"/>
  </r>
  <r>
    <s v="407-9834665-5747505"/>
    <s v="21/01/2023"/>
    <x v="0"/>
    <x v="88"/>
    <x v="20"/>
    <x v="9"/>
    <x v="1"/>
    <s v="KALYAN"/>
    <x v="6"/>
    <n v="899"/>
    <n v="295"/>
    <n v="604"/>
    <n v="240"/>
    <n v="364"/>
  </r>
  <r>
    <s v="403-7954022-5813916"/>
    <s v="22/01/2023"/>
    <x v="0"/>
    <x v="15"/>
    <x v="21"/>
    <x v="9"/>
    <x v="1"/>
    <s v="SECUNDERABAD"/>
    <x v="8"/>
    <n v="849"/>
    <n v="250"/>
    <n v="599"/>
    <n v="240"/>
    <n v="359"/>
  </r>
  <r>
    <s v="403-5283704-2789961"/>
    <s v="21/01/2023"/>
    <x v="0"/>
    <x v="79"/>
    <x v="20"/>
    <x v="9"/>
    <x v="1"/>
    <s v="THANE"/>
    <x v="6"/>
    <n v="899"/>
    <n v="295"/>
    <n v="604"/>
    <n v="240"/>
    <n v="364"/>
  </r>
  <r>
    <s v="406-3463679-9268326"/>
    <s v="21/01/2023"/>
    <x v="0"/>
    <x v="44"/>
    <x v="20"/>
    <x v="9"/>
    <x v="1"/>
    <s v="ARRAH"/>
    <x v="0"/>
    <n v="899"/>
    <n v="295"/>
    <n v="604"/>
    <n v="240"/>
    <n v="364"/>
  </r>
  <r>
    <s v="408-1661943-9759560"/>
    <s v="22/01/2023"/>
    <x v="0"/>
    <x v="145"/>
    <x v="21"/>
    <x v="9"/>
    <x v="1"/>
    <s v="SATHYAMANGALAM"/>
    <x v="7"/>
    <n v="799"/>
    <n v="205"/>
    <n v="594"/>
    <n v="240"/>
    <n v="354"/>
  </r>
  <r>
    <s v="406-9562262-9173136"/>
    <s v="21/01/2023"/>
    <x v="0"/>
    <x v="179"/>
    <x v="20"/>
    <x v="9"/>
    <x v="1"/>
    <s v="Budhanpur"/>
    <x v="13"/>
    <n v="799"/>
    <n v="205"/>
    <n v="594"/>
    <n v="240"/>
    <n v="354"/>
  </r>
  <r>
    <s v="405-5146609-3817919"/>
    <s v="22/01/2023"/>
    <x v="0"/>
    <x v="80"/>
    <x v="21"/>
    <x v="9"/>
    <x v="1"/>
    <s v="NOIDA"/>
    <x v="1"/>
    <n v="899"/>
    <n v="295"/>
    <n v="604"/>
    <n v="240"/>
    <n v="364"/>
  </r>
  <r>
    <s v="403-2398714-3997926"/>
    <s v="22/01/2023"/>
    <x v="0"/>
    <x v="88"/>
    <x v="21"/>
    <x v="9"/>
    <x v="1"/>
    <s v="GURGAON"/>
    <x v="15"/>
    <n v="899"/>
    <n v="295"/>
    <n v="604"/>
    <n v="240"/>
    <n v="364"/>
  </r>
  <r>
    <s v="171-3323730-0092353"/>
    <s v="22/01/2023"/>
    <x v="0"/>
    <x v="95"/>
    <x v="21"/>
    <x v="9"/>
    <x v="1"/>
    <s v="LUCKNOW"/>
    <x v="1"/>
    <n v="899"/>
    <n v="295"/>
    <n v="604"/>
    <n v="240"/>
    <n v="364"/>
  </r>
  <r>
    <s v="404-9231966-4046713"/>
    <s v="22/01/2023"/>
    <x v="0"/>
    <x v="74"/>
    <x v="21"/>
    <x v="9"/>
    <x v="1"/>
    <s v="GUWAHATI"/>
    <x v="4"/>
    <n v="899"/>
    <n v="295"/>
    <n v="604"/>
    <n v="240"/>
    <n v="364"/>
  </r>
  <r>
    <s v="405-0556133-6816335"/>
    <s v="21/01/2023"/>
    <x v="0"/>
    <x v="136"/>
    <x v="20"/>
    <x v="9"/>
    <x v="1"/>
    <s v="NOIDA"/>
    <x v="1"/>
    <n v="849"/>
    <n v="250"/>
    <n v="599"/>
    <n v="240"/>
    <n v="359"/>
  </r>
  <r>
    <s v="406-3167960-3773941"/>
    <s v="22/01/2023"/>
    <x v="0"/>
    <x v="141"/>
    <x v="21"/>
    <x v="9"/>
    <x v="1"/>
    <s v="KOLKATA"/>
    <x v="18"/>
    <n v="849"/>
    <n v="250"/>
    <n v="599"/>
    <n v="240"/>
    <n v="359"/>
  </r>
  <r>
    <s v="403-9280290-9901949"/>
    <s v="22/01/2023"/>
    <x v="0"/>
    <x v="155"/>
    <x v="21"/>
    <x v="9"/>
    <x v="1"/>
    <s v="SENDHWA"/>
    <x v="13"/>
    <n v="849"/>
    <n v="250"/>
    <n v="599"/>
    <n v="240"/>
    <n v="359"/>
  </r>
  <r>
    <s v="408-0347658-3105157"/>
    <s v="21/01/2023"/>
    <x v="0"/>
    <x v="88"/>
    <x v="20"/>
    <x v="9"/>
    <x v="1"/>
    <s v="BENGALURU"/>
    <x v="5"/>
    <n v="899"/>
    <n v="295"/>
    <n v="604"/>
    <n v="240"/>
    <n v="364"/>
  </r>
  <r>
    <s v="402-1115007-8962724"/>
    <s v="21/01/2023"/>
    <x v="0"/>
    <x v="134"/>
    <x v="20"/>
    <x v="9"/>
    <x v="1"/>
    <s v="VAISHALI"/>
    <x v="0"/>
    <n v="849"/>
    <n v="250"/>
    <n v="599"/>
    <n v="240"/>
    <n v="359"/>
  </r>
  <r>
    <s v="402-7736589-3513937"/>
    <s v="22/01/2023"/>
    <x v="0"/>
    <x v="107"/>
    <x v="21"/>
    <x v="9"/>
    <x v="1"/>
    <s v="TIRUPPUR"/>
    <x v="7"/>
    <n v="799"/>
    <n v="205"/>
    <n v="594"/>
    <n v="240"/>
    <n v="354"/>
  </r>
  <r>
    <s v="404-4755335-0354727"/>
    <s v="20/01/2023"/>
    <x v="0"/>
    <x v="95"/>
    <x v="19"/>
    <x v="9"/>
    <x v="1"/>
    <s v="delhi"/>
    <x v="16"/>
    <n v="899"/>
    <n v="295"/>
    <n v="604"/>
    <n v="240"/>
    <n v="364"/>
  </r>
  <r>
    <s v="407-7239286-3918764"/>
    <s v="23/01/2023"/>
    <x v="2"/>
    <x v="15"/>
    <x v="23"/>
    <x v="9"/>
    <x v="1"/>
    <s v="VIJAINAGAR AJMER DISTRICT"/>
    <x v="10"/>
    <n v="0"/>
    <n v="0"/>
    <n v="0"/>
    <n v="0"/>
    <n v="0"/>
  </r>
  <r>
    <s v="404-5298457-7847533"/>
    <s v="22/01/2023"/>
    <x v="2"/>
    <x v="155"/>
    <x v="21"/>
    <x v="9"/>
    <x v="1"/>
    <s v="MADURAI"/>
    <x v="7"/>
    <n v="0"/>
    <n v="0"/>
    <n v="0"/>
    <n v="0"/>
    <n v="0"/>
  </r>
  <r>
    <s v="408-2414088-5706739"/>
    <s v="18/01/2023"/>
    <x v="3"/>
    <x v="145"/>
    <x v="18"/>
    <x v="9"/>
    <x v="1"/>
    <s v="HOSHANGABAD"/>
    <x v="13"/>
    <n v="-799"/>
    <n v="320"/>
    <n v="-479"/>
    <n v="240"/>
    <n v="-239"/>
  </r>
  <r>
    <s v="407-5340207-7352341"/>
    <s v="23/01/2023"/>
    <x v="2"/>
    <x v="139"/>
    <x v="23"/>
    <x v="9"/>
    <x v="1"/>
    <s v="BENGALURU"/>
    <x v="5"/>
    <n v="0"/>
    <n v="0"/>
    <n v="0"/>
    <n v="0"/>
    <n v="0"/>
  </r>
  <r>
    <s v="405-2211542-0833127"/>
    <s v="16/01/2023"/>
    <x v="3"/>
    <x v="86"/>
    <x v="15"/>
    <x v="9"/>
    <x v="1"/>
    <s v="MANGALURU"/>
    <x v="5"/>
    <n v="-899"/>
    <n v="375"/>
    <n v="-524"/>
    <n v="240"/>
    <n v="-284"/>
  </r>
  <r>
    <s v="407-1468495-3279551"/>
    <s v="24/01/2023"/>
    <x v="2"/>
    <x v="154"/>
    <x v="22"/>
    <x v="9"/>
    <x v="1"/>
    <s v="PATHANAMTHITTA"/>
    <x v="9"/>
    <n v="0"/>
    <n v="0"/>
    <n v="0"/>
    <n v="0"/>
    <n v="0"/>
  </r>
  <r>
    <s v="171-3558977-6658737"/>
    <s v="15/01/2023"/>
    <x v="3"/>
    <x v="291"/>
    <x v="14"/>
    <x v="9"/>
    <x v="1"/>
    <s v="ANCHARAKANDY"/>
    <x v="9"/>
    <n v="-999"/>
    <n v="395"/>
    <n v="-604"/>
    <n v="240"/>
    <n v="-364"/>
  </r>
  <r>
    <s v="407-8528643-8867505"/>
    <s v="23/01/2023"/>
    <x v="0"/>
    <x v="125"/>
    <x v="23"/>
    <x v="9"/>
    <x v="1"/>
    <s v="THIRUVANANTHAPURAM"/>
    <x v="9"/>
    <n v="999"/>
    <n v="325"/>
    <n v="674"/>
    <n v="240"/>
    <n v="434"/>
  </r>
  <r>
    <s v="403-0201946-5117958"/>
    <s v="23/01/2023"/>
    <x v="0"/>
    <x v="88"/>
    <x v="23"/>
    <x v="9"/>
    <x v="1"/>
    <s v="HALDIA"/>
    <x v="18"/>
    <n v="899"/>
    <n v="295"/>
    <n v="604"/>
    <n v="240"/>
    <n v="364"/>
  </r>
  <r>
    <s v="407-9229807-0497912"/>
    <s v="23/01/2023"/>
    <x v="0"/>
    <x v="15"/>
    <x v="23"/>
    <x v="9"/>
    <x v="1"/>
    <s v="VIJAINAGAR AJMER DISTRICT"/>
    <x v="10"/>
    <n v="849"/>
    <n v="250"/>
    <n v="599"/>
    <n v="240"/>
    <n v="359"/>
  </r>
  <r>
    <s v="406-0462406-7611535"/>
    <s v="23/01/2023"/>
    <x v="0"/>
    <x v="172"/>
    <x v="23"/>
    <x v="9"/>
    <x v="1"/>
    <s v="GURUGRAM"/>
    <x v="15"/>
    <n v="799"/>
    <n v="205"/>
    <n v="594"/>
    <n v="240"/>
    <n v="354"/>
  </r>
  <r>
    <s v="402-6036866-6004305"/>
    <s v="23/01/2023"/>
    <x v="0"/>
    <x v="31"/>
    <x v="23"/>
    <x v="9"/>
    <x v="1"/>
    <s v="POWAYAN"/>
    <x v="1"/>
    <n v="799"/>
    <n v="205"/>
    <n v="594"/>
    <n v="240"/>
    <n v="354"/>
  </r>
  <r>
    <s v="171-2794207-8832363"/>
    <s v="23/01/2023"/>
    <x v="0"/>
    <x v="206"/>
    <x v="23"/>
    <x v="9"/>
    <x v="1"/>
    <s v="KALABURGI"/>
    <x v="5"/>
    <n v="899"/>
    <n v="295"/>
    <n v="604"/>
    <n v="240"/>
    <n v="364"/>
  </r>
  <r>
    <s v="404-1582936-1261130"/>
    <s v="23/01/2023"/>
    <x v="0"/>
    <x v="294"/>
    <x v="23"/>
    <x v="9"/>
    <x v="1"/>
    <s v="SATHUPALLY"/>
    <x v="8"/>
    <n v="999"/>
    <n v="325"/>
    <n v="674"/>
    <n v="240"/>
    <n v="434"/>
  </r>
  <r>
    <s v="404-4429585-9663511"/>
    <s v="23/01/2023"/>
    <x v="0"/>
    <x v="295"/>
    <x v="23"/>
    <x v="9"/>
    <x v="1"/>
    <s v="SATHUPALLY"/>
    <x v="8"/>
    <n v="999"/>
    <n v="325"/>
    <n v="674"/>
    <n v="240"/>
    <n v="434"/>
  </r>
  <r>
    <s v="405-8538965-0230718"/>
    <s v="23/01/2023"/>
    <x v="0"/>
    <x v="52"/>
    <x v="23"/>
    <x v="9"/>
    <x v="1"/>
    <s v="MACHILIPATNAM"/>
    <x v="2"/>
    <n v="899"/>
    <n v="295"/>
    <n v="604"/>
    <n v="240"/>
    <n v="364"/>
  </r>
  <r>
    <s v="402-3086657-2576357"/>
    <s v="22/01/2023"/>
    <x v="0"/>
    <x v="98"/>
    <x v="21"/>
    <x v="9"/>
    <x v="1"/>
    <s v="MUMBAI"/>
    <x v="6"/>
    <n v="899"/>
    <n v="295"/>
    <n v="604"/>
    <n v="240"/>
    <n v="364"/>
  </r>
  <r>
    <s v="404-3552405-9540358"/>
    <s v="23/01/2023"/>
    <x v="0"/>
    <x v="180"/>
    <x v="23"/>
    <x v="9"/>
    <x v="1"/>
    <s v="KAGAZNAGAR"/>
    <x v="8"/>
    <n v="799"/>
    <n v="205"/>
    <n v="594"/>
    <n v="240"/>
    <n v="354"/>
  </r>
  <r>
    <s v="407-5340207-7352341"/>
    <s v="23/01/2023"/>
    <x v="0"/>
    <x v="139"/>
    <x v="23"/>
    <x v="9"/>
    <x v="1"/>
    <s v="BENGALURU"/>
    <x v="5"/>
    <n v="799"/>
    <n v="205"/>
    <n v="594"/>
    <n v="240"/>
    <n v="354"/>
  </r>
  <r>
    <s v="404-0950579-3589935"/>
    <s v="14/01/2023"/>
    <x v="3"/>
    <x v="178"/>
    <x v="13"/>
    <x v="9"/>
    <x v="1"/>
    <s v="BENGALURU"/>
    <x v="5"/>
    <n v="-799"/>
    <n v="320"/>
    <n v="-479"/>
    <n v="240"/>
    <n v="-239"/>
  </r>
  <r>
    <s v="406-0563771-1905105"/>
    <s v="15/01/2023"/>
    <x v="3"/>
    <x v="137"/>
    <x v="14"/>
    <x v="9"/>
    <x v="1"/>
    <s v="Chityala"/>
    <x v="8"/>
    <n v="-849"/>
    <n v="345"/>
    <n v="-504"/>
    <n v="240"/>
    <n v="-264"/>
  </r>
  <r>
    <s v="407-7581565-5607548"/>
    <s v="16/01/2023"/>
    <x v="3"/>
    <x v="6"/>
    <x v="15"/>
    <x v="9"/>
    <x v="1"/>
    <s v="AMRAVATI"/>
    <x v="6"/>
    <n v="-899"/>
    <n v="375"/>
    <n v="-524"/>
    <n v="240"/>
    <n v="-284"/>
  </r>
  <r>
    <s v="404-7321352-4203533"/>
    <s v="18/01/2023"/>
    <x v="3"/>
    <x v="88"/>
    <x v="18"/>
    <x v="9"/>
    <x v="1"/>
    <s v="SHERGHATI"/>
    <x v="0"/>
    <n v="-899"/>
    <n v="375"/>
    <n v="-524"/>
    <n v="240"/>
    <n v="-284"/>
  </r>
  <r>
    <s v="405-3546415-9413922"/>
    <s v="24/01/2023"/>
    <x v="0"/>
    <x v="125"/>
    <x v="22"/>
    <x v="9"/>
    <x v="1"/>
    <s v="THRISSUR"/>
    <x v="9"/>
    <n v="999"/>
    <n v="325"/>
    <n v="674"/>
    <n v="240"/>
    <n v="434"/>
  </r>
  <r>
    <s v="405-2968349-0627544"/>
    <s v="24/01/2023"/>
    <x v="0"/>
    <x v="133"/>
    <x v="22"/>
    <x v="9"/>
    <x v="1"/>
    <s v="AIZAWL"/>
    <x v="28"/>
    <n v="799"/>
    <n v="205"/>
    <n v="594"/>
    <n v="240"/>
    <n v="354"/>
  </r>
  <r>
    <s v="404-8325470-1961100"/>
    <s v="24/01/2023"/>
    <x v="0"/>
    <x v="31"/>
    <x v="22"/>
    <x v="9"/>
    <x v="1"/>
    <s v="NOIDA"/>
    <x v="1"/>
    <n v="799"/>
    <n v="205"/>
    <n v="594"/>
    <n v="240"/>
    <n v="354"/>
  </r>
  <r>
    <s v="407-1468495-3279551"/>
    <s v="24/01/2023"/>
    <x v="0"/>
    <x v="154"/>
    <x v="22"/>
    <x v="9"/>
    <x v="1"/>
    <s v="PATHANAMTHITTA"/>
    <x v="9"/>
    <n v="799"/>
    <n v="205"/>
    <n v="594"/>
    <n v="240"/>
    <n v="354"/>
  </r>
  <r>
    <s v="405-2420216-1096346"/>
    <s v="23/01/2023"/>
    <x v="0"/>
    <x v="68"/>
    <x v="23"/>
    <x v="9"/>
    <x v="1"/>
    <s v="NEW DELHI"/>
    <x v="16"/>
    <n v="799"/>
    <n v="205"/>
    <n v="594"/>
    <n v="240"/>
    <n v="354"/>
  </r>
  <r>
    <s v="171-2910174-0133152"/>
    <s v="24/01/2023"/>
    <x v="0"/>
    <x v="59"/>
    <x v="22"/>
    <x v="9"/>
    <x v="1"/>
    <s v="Sillod"/>
    <x v="6"/>
    <n v="899"/>
    <n v="295"/>
    <n v="604"/>
    <n v="240"/>
    <n v="364"/>
  </r>
  <r>
    <s v="408-6551873-5487517"/>
    <s v="23/01/2023"/>
    <x v="0"/>
    <x v="184"/>
    <x v="23"/>
    <x v="9"/>
    <x v="1"/>
    <s v="NOIDA"/>
    <x v="1"/>
    <n v="849"/>
    <n v="250"/>
    <n v="599"/>
    <n v="240"/>
    <n v="359"/>
  </r>
  <r>
    <s v="406-6660809-5957920"/>
    <s v="24/01/2023"/>
    <x v="0"/>
    <x v="15"/>
    <x v="22"/>
    <x v="9"/>
    <x v="1"/>
    <s v="PATNA"/>
    <x v="0"/>
    <n v="849"/>
    <n v="250"/>
    <n v="599"/>
    <n v="240"/>
    <n v="359"/>
  </r>
  <r>
    <s v="405-0043912-3648312"/>
    <s v="24/01/2023"/>
    <x v="0"/>
    <x v="179"/>
    <x v="22"/>
    <x v="9"/>
    <x v="1"/>
    <s v="GREATER NOIDA"/>
    <x v="1"/>
    <n v="799"/>
    <n v="205"/>
    <n v="594"/>
    <n v="240"/>
    <n v="354"/>
  </r>
  <r>
    <s v="171-2079089-7442717"/>
    <s v="24/01/2023"/>
    <x v="0"/>
    <x v="165"/>
    <x v="22"/>
    <x v="9"/>
    <x v="1"/>
    <s v="NAWALGARH"/>
    <x v="10"/>
    <n v="799"/>
    <n v="205"/>
    <n v="594"/>
    <n v="240"/>
    <n v="354"/>
  </r>
  <r>
    <s v="404-4056964-6149157"/>
    <s v="24/01/2023"/>
    <x v="0"/>
    <x v="154"/>
    <x v="22"/>
    <x v="9"/>
    <x v="1"/>
    <s v="CHIKHAL KASA"/>
    <x v="20"/>
    <n v="799"/>
    <n v="205"/>
    <n v="594"/>
    <n v="240"/>
    <n v="354"/>
  </r>
  <r>
    <s v="406-6366408-1778721"/>
    <s v="17/01/2023"/>
    <x v="3"/>
    <x v="168"/>
    <x v="16"/>
    <x v="9"/>
    <x v="1"/>
    <s v="PATNA"/>
    <x v="0"/>
    <n v="-799"/>
    <n v="320"/>
    <n v="-479"/>
    <n v="240"/>
    <n v="-239"/>
  </r>
  <r>
    <s v="404-0530653-3909941"/>
    <s v="24/01/2023"/>
    <x v="0"/>
    <x v="157"/>
    <x v="22"/>
    <x v="9"/>
    <x v="1"/>
    <s v="MUMBAI"/>
    <x v="6"/>
    <n v="799"/>
    <n v="205"/>
    <n v="594"/>
    <n v="240"/>
    <n v="354"/>
  </r>
  <r>
    <s v="171-9584453-1059566"/>
    <s v="24/01/2023"/>
    <x v="0"/>
    <x v="180"/>
    <x v="22"/>
    <x v="9"/>
    <x v="1"/>
    <s v="FARIDABAD"/>
    <x v="15"/>
    <n v="799"/>
    <n v="205"/>
    <n v="594"/>
    <n v="240"/>
    <n v="354"/>
  </r>
  <r>
    <s v="406-2239737-3197158"/>
    <s v="24/01/2023"/>
    <x v="0"/>
    <x v="86"/>
    <x v="22"/>
    <x v="9"/>
    <x v="1"/>
    <s v="REWA"/>
    <x v="13"/>
    <n v="899"/>
    <n v="295"/>
    <n v="604"/>
    <n v="240"/>
    <n v="364"/>
  </r>
  <r>
    <s v="402-2708850-3407564"/>
    <s v="20/01/2023"/>
    <x v="3"/>
    <x v="145"/>
    <x v="19"/>
    <x v="9"/>
    <x v="1"/>
    <s v="AHMEDABAD"/>
    <x v="3"/>
    <n v="-799"/>
    <n v="320"/>
    <n v="-479"/>
    <n v="240"/>
    <n v="-239"/>
  </r>
  <r>
    <s v="404-2035526-4043568"/>
    <s v="25/01/2023"/>
    <x v="2"/>
    <x v="15"/>
    <x v="24"/>
    <x v="9"/>
    <x v="1"/>
    <s v="GHAZIABAD"/>
    <x v="1"/>
    <n v="0"/>
    <n v="0"/>
    <n v="0"/>
    <n v="0"/>
    <n v="0"/>
  </r>
  <r>
    <s v="404-3913481-6889948"/>
    <s v="20/01/2023"/>
    <x v="3"/>
    <x v="80"/>
    <x v="19"/>
    <x v="9"/>
    <x v="1"/>
    <s v="RANCHI"/>
    <x v="11"/>
    <n v="-899"/>
    <n v="375"/>
    <n v="-524"/>
    <n v="240"/>
    <n v="-284"/>
  </r>
  <r>
    <s v="408-2433751-9984349"/>
    <s v="08/01/2023"/>
    <x v="3"/>
    <x v="289"/>
    <x v="6"/>
    <x v="9"/>
    <x v="1"/>
    <s v="Osmanabad"/>
    <x v="6"/>
    <n v="-799"/>
    <n v="320"/>
    <n v="-479"/>
    <n v="240"/>
    <n v="-239"/>
  </r>
  <r>
    <s v="408-5368052-5241115"/>
    <s v="21/01/2023"/>
    <x v="3"/>
    <x v="88"/>
    <x v="20"/>
    <x v="9"/>
    <x v="1"/>
    <s v="JAIPUR"/>
    <x v="10"/>
    <n v="-899"/>
    <n v="375"/>
    <n v="-524"/>
    <n v="240"/>
    <n v="-284"/>
  </r>
  <r>
    <s v="404-4986996-7799519"/>
    <s v="26/01/2023"/>
    <x v="2"/>
    <x v="80"/>
    <x v="25"/>
    <x v="9"/>
    <x v="1"/>
    <s v="Bengaluru"/>
    <x v="5"/>
    <n v="0"/>
    <n v="0"/>
    <n v="0"/>
    <n v="0"/>
    <n v="0"/>
  </r>
  <r>
    <s v="407-2981059-2724348"/>
    <s v="25/01/2023"/>
    <x v="2"/>
    <x v="125"/>
    <x v="24"/>
    <x v="9"/>
    <x v="1"/>
    <s v="BENGALURU"/>
    <x v="5"/>
    <n v="0"/>
    <n v="0"/>
    <n v="0"/>
    <n v="0"/>
    <n v="0"/>
  </r>
  <r>
    <s v="402-1784808-7580358"/>
    <s v="19/01/2023"/>
    <x v="3"/>
    <x v="292"/>
    <x v="17"/>
    <x v="9"/>
    <x v="1"/>
    <s v="AWALPUR"/>
    <x v="6"/>
    <n v="-999"/>
    <n v="395"/>
    <n v="-604"/>
    <n v="240"/>
    <n v="-364"/>
  </r>
  <r>
    <s v="406-2490458-6075527"/>
    <s v="27/01/2023"/>
    <x v="2"/>
    <x v="149"/>
    <x v="26"/>
    <x v="9"/>
    <x v="1"/>
    <s v="SHILLONG"/>
    <x v="23"/>
    <n v="0"/>
    <n v="0"/>
    <n v="0"/>
    <n v="0"/>
    <n v="0"/>
  </r>
  <r>
    <s v="404-0869094-6468303"/>
    <s v="26/01/2023"/>
    <x v="0"/>
    <x v="202"/>
    <x v="25"/>
    <x v="9"/>
    <x v="1"/>
    <s v="BENGALURU"/>
    <x v="5"/>
    <n v="999"/>
    <n v="325"/>
    <n v="674"/>
    <n v="240"/>
    <n v="434"/>
  </r>
  <r>
    <s v="406-4659376-1157140"/>
    <s v="26/01/2023"/>
    <x v="0"/>
    <x v="15"/>
    <x v="25"/>
    <x v="9"/>
    <x v="1"/>
    <s v="Jaipur"/>
    <x v="10"/>
    <n v="849"/>
    <n v="250"/>
    <n v="599"/>
    <n v="240"/>
    <n v="359"/>
  </r>
  <r>
    <s v="407-9893271-3488362"/>
    <s v="25/01/2023"/>
    <x v="0"/>
    <x v="98"/>
    <x v="24"/>
    <x v="9"/>
    <x v="1"/>
    <s v="HYDERABAD"/>
    <x v="8"/>
    <n v="899"/>
    <n v="295"/>
    <n v="604"/>
    <n v="240"/>
    <n v="364"/>
  </r>
  <r>
    <s v="404-2397293-3748327"/>
    <s v="25/01/2023"/>
    <x v="0"/>
    <x v="81"/>
    <x v="24"/>
    <x v="9"/>
    <x v="1"/>
    <s v="GUWAHATI"/>
    <x v="4"/>
    <n v="799"/>
    <n v="205"/>
    <n v="594"/>
    <n v="240"/>
    <n v="354"/>
  </r>
  <r>
    <s v="171-4573510-1297911"/>
    <s v="25/01/2023"/>
    <x v="0"/>
    <x v="178"/>
    <x v="24"/>
    <x v="9"/>
    <x v="1"/>
    <s v="KURATTISSERY"/>
    <x v="9"/>
    <n v="799"/>
    <n v="205"/>
    <n v="594"/>
    <n v="240"/>
    <n v="354"/>
  </r>
  <r>
    <s v="408-1336012-0885162"/>
    <s v="25/01/2023"/>
    <x v="0"/>
    <x v="81"/>
    <x v="24"/>
    <x v="9"/>
    <x v="1"/>
    <s v="PATNA"/>
    <x v="0"/>
    <n v="1598"/>
    <n v="365"/>
    <n v="1233"/>
    <n v="240"/>
    <n v="993"/>
  </r>
  <r>
    <s v="406-8367860-2900357"/>
    <s v="25/01/2023"/>
    <x v="0"/>
    <x v="129"/>
    <x v="24"/>
    <x v="9"/>
    <x v="1"/>
    <s v="HAMIRPUR"/>
    <x v="1"/>
    <n v="799"/>
    <n v="205"/>
    <n v="594"/>
    <n v="240"/>
    <n v="354"/>
  </r>
  <r>
    <s v="407-1789061-2537121"/>
    <s v="26/01/2023"/>
    <x v="0"/>
    <x v="80"/>
    <x v="25"/>
    <x v="9"/>
    <x v="1"/>
    <s v="INDORE"/>
    <x v="13"/>
    <n v="899"/>
    <n v="295"/>
    <n v="604"/>
    <n v="240"/>
    <n v="364"/>
  </r>
  <r>
    <s v="408-6824960-8437926"/>
    <s v="26/01/2023"/>
    <x v="0"/>
    <x v="88"/>
    <x v="25"/>
    <x v="9"/>
    <x v="1"/>
    <s v="JAIPUR"/>
    <x v="10"/>
    <n v="899"/>
    <n v="295"/>
    <n v="604"/>
    <n v="240"/>
    <n v="364"/>
  </r>
  <r>
    <s v="402-2011457-5101943"/>
    <s v="25/01/2023"/>
    <x v="0"/>
    <x v="15"/>
    <x v="24"/>
    <x v="9"/>
    <x v="1"/>
    <s v="BHOPAL"/>
    <x v="13"/>
    <n v="849"/>
    <n v="250"/>
    <n v="599"/>
    <n v="240"/>
    <n v="359"/>
  </r>
  <r>
    <s v="405-0416057-9019500"/>
    <s v="26/01/2023"/>
    <x v="0"/>
    <x v="119"/>
    <x v="25"/>
    <x v="9"/>
    <x v="1"/>
    <s v="BHILWARA"/>
    <x v="10"/>
    <n v="799"/>
    <n v="205"/>
    <n v="594"/>
    <n v="240"/>
    <n v="354"/>
  </r>
  <r>
    <s v="403-1472018-3682759"/>
    <s v="25/01/2023"/>
    <x v="0"/>
    <x v="15"/>
    <x v="24"/>
    <x v="9"/>
    <x v="1"/>
    <s v="FARIDABAD"/>
    <x v="15"/>
    <n v="849"/>
    <n v="250"/>
    <n v="599"/>
    <n v="240"/>
    <n v="359"/>
  </r>
  <r>
    <s v="407-5769375-4805152"/>
    <s v="26/01/2023"/>
    <x v="0"/>
    <x v="137"/>
    <x v="25"/>
    <x v="9"/>
    <x v="1"/>
    <s v="NAVI MUMBAI"/>
    <x v="6"/>
    <n v="849"/>
    <n v="250"/>
    <n v="599"/>
    <n v="240"/>
    <n v="359"/>
  </r>
  <r>
    <s v="408-1059424-9745123"/>
    <s v="26/01/2023"/>
    <x v="0"/>
    <x v="150"/>
    <x v="25"/>
    <x v="9"/>
    <x v="1"/>
    <s v="CHENNAI"/>
    <x v="7"/>
    <n v="799"/>
    <n v="205"/>
    <n v="594"/>
    <n v="240"/>
    <n v="354"/>
  </r>
  <r>
    <s v="402-0956723-6697165"/>
    <s v="26/01/2023"/>
    <x v="0"/>
    <x v="59"/>
    <x v="25"/>
    <x v="9"/>
    <x v="1"/>
    <s v="JALGAON"/>
    <x v="6"/>
    <n v="899"/>
    <n v="295"/>
    <n v="604"/>
    <n v="240"/>
    <n v="364"/>
  </r>
  <r>
    <s v="407-2639542-6889968"/>
    <s v="26/01/2023"/>
    <x v="0"/>
    <x v="25"/>
    <x v="25"/>
    <x v="9"/>
    <x v="1"/>
    <s v="MUMBAI"/>
    <x v="6"/>
    <n v="799"/>
    <n v="205"/>
    <n v="594"/>
    <n v="240"/>
    <n v="354"/>
  </r>
  <r>
    <s v="402-6131568-3380322"/>
    <s v="26/01/2023"/>
    <x v="0"/>
    <x v="154"/>
    <x v="25"/>
    <x v="9"/>
    <x v="1"/>
    <s v="HYDERABAD"/>
    <x v="8"/>
    <n v="799"/>
    <n v="205"/>
    <n v="594"/>
    <n v="240"/>
    <n v="354"/>
  </r>
  <r>
    <s v="403-9016673-9827555"/>
    <s v="25/01/2023"/>
    <x v="0"/>
    <x v="86"/>
    <x v="24"/>
    <x v="9"/>
    <x v="1"/>
    <s v="FARIDKOT"/>
    <x v="26"/>
    <n v="899"/>
    <n v="295"/>
    <n v="604"/>
    <n v="240"/>
    <n v="364"/>
  </r>
  <r>
    <s v="404-1836798-6185924"/>
    <s v="25/01/2023"/>
    <x v="0"/>
    <x v="142"/>
    <x v="24"/>
    <x v="9"/>
    <x v="1"/>
    <s v="KOLLAM"/>
    <x v="9"/>
    <n v="799"/>
    <n v="205"/>
    <n v="594"/>
    <n v="240"/>
    <n v="354"/>
  </r>
  <r>
    <s v="402-7524905-0542717"/>
    <s v="25/01/2023"/>
    <x v="0"/>
    <x v="136"/>
    <x v="24"/>
    <x v="9"/>
    <x v="1"/>
    <s v="VISAKHAPATNAM"/>
    <x v="2"/>
    <n v="849"/>
    <n v="250"/>
    <n v="599"/>
    <n v="240"/>
    <n v="359"/>
  </r>
  <r>
    <s v="406-9286469-4134723"/>
    <s v="25/01/2023"/>
    <x v="0"/>
    <x v="25"/>
    <x v="24"/>
    <x v="9"/>
    <x v="1"/>
    <s v="AMRAVATI"/>
    <x v="6"/>
    <n v="799"/>
    <n v="205"/>
    <n v="594"/>
    <n v="240"/>
    <n v="354"/>
  </r>
  <r>
    <s v="408-7219926-5273156"/>
    <s v="25/01/2023"/>
    <x v="0"/>
    <x v="25"/>
    <x v="24"/>
    <x v="9"/>
    <x v="1"/>
    <s v="BALOD"/>
    <x v="20"/>
    <n v="799"/>
    <n v="205"/>
    <n v="594"/>
    <n v="240"/>
    <n v="354"/>
  </r>
  <r>
    <s v="403-2238260-9672360"/>
    <s v="26/01/2023"/>
    <x v="0"/>
    <x v="31"/>
    <x v="25"/>
    <x v="9"/>
    <x v="1"/>
    <s v="ROHTAK"/>
    <x v="15"/>
    <n v="799"/>
    <n v="205"/>
    <n v="594"/>
    <n v="240"/>
    <n v="354"/>
  </r>
  <r>
    <s v="405-0556133-6816335"/>
    <s v="21/01/2023"/>
    <x v="3"/>
    <x v="136"/>
    <x v="20"/>
    <x v="9"/>
    <x v="1"/>
    <s v="NOIDA"/>
    <x v="1"/>
    <n v="-849"/>
    <n v="345"/>
    <n v="-504"/>
    <n v="240"/>
    <n v="-264"/>
  </r>
  <r>
    <s v="403-6026153-4768357"/>
    <s v="20/01/2023"/>
    <x v="3"/>
    <x v="207"/>
    <x v="19"/>
    <x v="9"/>
    <x v="1"/>
    <s v="HYDERABAD"/>
    <x v="8"/>
    <n v="-799"/>
    <n v="320"/>
    <n v="-479"/>
    <n v="240"/>
    <n v="-239"/>
  </r>
  <r>
    <s v="406-1911253-4499555"/>
    <s v="27/01/2023"/>
    <x v="2"/>
    <x v="15"/>
    <x v="26"/>
    <x v="9"/>
    <x v="1"/>
    <s v="Prakasam district"/>
    <x v="2"/>
    <n v="0"/>
    <n v="0"/>
    <n v="0"/>
    <n v="0"/>
    <n v="0"/>
  </r>
  <r>
    <s v="407-5118445-4644312"/>
    <s v="21/01/2023"/>
    <x v="3"/>
    <x v="208"/>
    <x v="20"/>
    <x v="9"/>
    <x v="1"/>
    <s v="SATHYAMANGALAM"/>
    <x v="7"/>
    <n v="-849"/>
    <n v="345"/>
    <n v="-504"/>
    <n v="240"/>
    <n v="-264"/>
  </r>
  <r>
    <s v="402-0283731-8418710"/>
    <s v="28/01/2023"/>
    <x v="2"/>
    <x v="44"/>
    <x v="27"/>
    <x v="9"/>
    <x v="1"/>
    <s v="Unnao"/>
    <x v="1"/>
    <n v="0"/>
    <n v="0"/>
    <n v="0"/>
    <n v="0"/>
    <n v="0"/>
  </r>
  <r>
    <s v="402-0283731-8418710"/>
    <s v="28/01/2023"/>
    <x v="2"/>
    <x v="79"/>
    <x v="27"/>
    <x v="9"/>
    <x v="1"/>
    <s v="Unnao"/>
    <x v="1"/>
    <n v="0"/>
    <n v="0"/>
    <n v="0"/>
    <n v="0"/>
    <n v="0"/>
  </r>
  <r>
    <s v="407-3613879-4691516"/>
    <s v="17/01/2023"/>
    <x v="3"/>
    <x v="205"/>
    <x v="16"/>
    <x v="9"/>
    <x v="1"/>
    <s v="Dombivali East"/>
    <x v="6"/>
    <n v="-799"/>
    <n v="320"/>
    <n v="-479"/>
    <n v="240"/>
    <n v="-239"/>
  </r>
  <r>
    <s v="403-1083066-2706706"/>
    <s v="27/01/2023"/>
    <x v="0"/>
    <x v="68"/>
    <x v="26"/>
    <x v="9"/>
    <x v="1"/>
    <s v="JALANDHAR"/>
    <x v="26"/>
    <n v="799"/>
    <n v="205"/>
    <n v="594"/>
    <n v="240"/>
    <n v="354"/>
  </r>
  <r>
    <s v="406-3426223-6633104"/>
    <s v="27/01/2023"/>
    <x v="0"/>
    <x v="123"/>
    <x v="26"/>
    <x v="9"/>
    <x v="1"/>
    <s v="LUCKNOW"/>
    <x v="1"/>
    <n v="999"/>
    <n v="325"/>
    <n v="674"/>
    <n v="240"/>
    <n v="434"/>
  </r>
  <r>
    <s v="402-2681300-4823508"/>
    <s v="26/01/2023"/>
    <x v="0"/>
    <x v="135"/>
    <x v="25"/>
    <x v="9"/>
    <x v="1"/>
    <s v="JAIPUR"/>
    <x v="10"/>
    <n v="849"/>
    <n v="250"/>
    <n v="599"/>
    <n v="240"/>
    <n v="359"/>
  </r>
  <r>
    <s v="171-2512812-1195546"/>
    <s v="27/01/2023"/>
    <x v="0"/>
    <x v="98"/>
    <x v="26"/>
    <x v="9"/>
    <x v="1"/>
    <s v="Salem"/>
    <x v="7"/>
    <n v="899"/>
    <n v="295"/>
    <n v="604"/>
    <n v="240"/>
    <n v="364"/>
  </r>
  <r>
    <s v="405-9963581-0341922"/>
    <s v="27/01/2023"/>
    <x v="0"/>
    <x v="133"/>
    <x v="26"/>
    <x v="9"/>
    <x v="1"/>
    <s v="GREATER NOIDA"/>
    <x v="1"/>
    <n v="799"/>
    <n v="205"/>
    <n v="594"/>
    <n v="240"/>
    <n v="354"/>
  </r>
  <r>
    <s v="408-4451650-2957127"/>
    <s v="27/01/2023"/>
    <x v="0"/>
    <x v="119"/>
    <x v="26"/>
    <x v="9"/>
    <x v="1"/>
    <s v="RATIA"/>
    <x v="15"/>
    <n v="799"/>
    <n v="205"/>
    <n v="594"/>
    <n v="240"/>
    <n v="354"/>
  </r>
  <r>
    <s v="404-0044377-0306770"/>
    <s v="27/01/2023"/>
    <x v="0"/>
    <x v="6"/>
    <x v="26"/>
    <x v="9"/>
    <x v="1"/>
    <s v="MOHALI"/>
    <x v="26"/>
    <n v="899"/>
    <n v="295"/>
    <n v="604"/>
    <n v="240"/>
    <n v="364"/>
  </r>
  <r>
    <s v="407-6971367-4513965"/>
    <s v="27/01/2023"/>
    <x v="0"/>
    <x v="68"/>
    <x v="26"/>
    <x v="9"/>
    <x v="1"/>
    <s v="JALANDHAR"/>
    <x v="26"/>
    <n v="799"/>
    <n v="205"/>
    <n v="594"/>
    <n v="240"/>
    <n v="354"/>
  </r>
  <r>
    <s v="402-1591522-4427565"/>
    <s v="27/01/2023"/>
    <x v="0"/>
    <x v="80"/>
    <x v="26"/>
    <x v="9"/>
    <x v="1"/>
    <s v="Raebareli"/>
    <x v="1"/>
    <n v="899"/>
    <n v="295"/>
    <n v="604"/>
    <n v="240"/>
    <n v="364"/>
  </r>
  <r>
    <s v="403-7830405-1284324"/>
    <s v="26/01/2023"/>
    <x v="0"/>
    <x v="179"/>
    <x v="25"/>
    <x v="9"/>
    <x v="1"/>
    <s v="Dombivli"/>
    <x v="6"/>
    <n v="799"/>
    <n v="205"/>
    <n v="594"/>
    <n v="240"/>
    <n v="354"/>
  </r>
  <r>
    <s v="408-0762892-7647506"/>
    <s v="27/01/2023"/>
    <x v="0"/>
    <x v="95"/>
    <x v="26"/>
    <x v="9"/>
    <x v="1"/>
    <s v="HOSKOTE"/>
    <x v="5"/>
    <n v="899"/>
    <n v="295"/>
    <n v="604"/>
    <n v="240"/>
    <n v="364"/>
  </r>
  <r>
    <s v="407-6165380-2042737"/>
    <s v="26/01/2023"/>
    <x v="0"/>
    <x v="68"/>
    <x v="25"/>
    <x v="9"/>
    <x v="1"/>
    <s v="KALYAN"/>
    <x v="6"/>
    <n v="799"/>
    <n v="205"/>
    <n v="594"/>
    <n v="240"/>
    <n v="354"/>
  </r>
  <r>
    <s v="404-8705842-6441124"/>
    <s v="27/01/2023"/>
    <x v="0"/>
    <x v="6"/>
    <x v="26"/>
    <x v="9"/>
    <x v="1"/>
    <s v="PURNIA"/>
    <x v="0"/>
    <n v="899"/>
    <n v="295"/>
    <n v="604"/>
    <n v="240"/>
    <n v="364"/>
  </r>
  <r>
    <s v="404-4986996-7799519"/>
    <s v="26/01/2023"/>
    <x v="0"/>
    <x v="80"/>
    <x v="25"/>
    <x v="9"/>
    <x v="1"/>
    <s v="Bengaluru"/>
    <x v="5"/>
    <n v="899"/>
    <n v="295"/>
    <n v="604"/>
    <n v="240"/>
    <n v="364"/>
  </r>
  <r>
    <s v="403-8576822-3633951"/>
    <s v="27/01/2023"/>
    <x v="0"/>
    <x v="125"/>
    <x v="26"/>
    <x v="9"/>
    <x v="1"/>
    <s v="Hyderabad"/>
    <x v="8"/>
    <n v="999"/>
    <n v="325"/>
    <n v="674"/>
    <n v="240"/>
    <n v="434"/>
  </r>
  <r>
    <s v="404-0552835-2433932"/>
    <s v="27/01/2023"/>
    <x v="0"/>
    <x v="98"/>
    <x v="26"/>
    <x v="9"/>
    <x v="1"/>
    <s v="PURNIA"/>
    <x v="0"/>
    <n v="899"/>
    <n v="295"/>
    <n v="604"/>
    <n v="240"/>
    <n v="364"/>
  </r>
  <r>
    <s v="408-7748495-9095565"/>
    <s v="02/01/2023"/>
    <x v="3"/>
    <x v="154"/>
    <x v="1"/>
    <x v="9"/>
    <x v="1"/>
    <s v="NEW DELHI"/>
    <x v="16"/>
    <n v="-799"/>
    <n v="320"/>
    <n v="-479"/>
    <n v="240"/>
    <n v="-239"/>
  </r>
  <r>
    <s v="402-3517968-6965164"/>
    <s v="26/01/2023"/>
    <x v="0"/>
    <x v="15"/>
    <x v="25"/>
    <x v="9"/>
    <x v="1"/>
    <s v="MUMBAI"/>
    <x v="6"/>
    <n v="849"/>
    <n v="250"/>
    <n v="599"/>
    <n v="240"/>
    <n v="359"/>
  </r>
  <r>
    <s v="407-5765120-7559506"/>
    <s v="27/01/2023"/>
    <x v="0"/>
    <x v="75"/>
    <x v="26"/>
    <x v="9"/>
    <x v="1"/>
    <s v="Carmona"/>
    <x v="21"/>
    <n v="799"/>
    <n v="205"/>
    <n v="594"/>
    <n v="240"/>
    <n v="354"/>
  </r>
  <r>
    <s v="171-0300749-6750733"/>
    <s v="27/01/2023"/>
    <x v="0"/>
    <x v="15"/>
    <x v="26"/>
    <x v="9"/>
    <x v="1"/>
    <s v="Mumbai"/>
    <x v="6"/>
    <n v="849"/>
    <n v="250"/>
    <n v="599"/>
    <n v="240"/>
    <n v="359"/>
  </r>
  <r>
    <s v="406-4799124-1315545"/>
    <s v="27/01/2023"/>
    <x v="0"/>
    <x v="81"/>
    <x v="26"/>
    <x v="9"/>
    <x v="1"/>
    <s v="Samba"/>
    <x v="31"/>
    <n v="799"/>
    <n v="205"/>
    <n v="594"/>
    <n v="240"/>
    <n v="354"/>
  </r>
  <r>
    <s v="405-9087882-4122746"/>
    <s v="27/01/2023"/>
    <x v="0"/>
    <x v="15"/>
    <x v="26"/>
    <x v="9"/>
    <x v="1"/>
    <s v="SATHYAMANGALAM"/>
    <x v="7"/>
    <n v="849"/>
    <n v="250"/>
    <n v="599"/>
    <n v="240"/>
    <n v="359"/>
  </r>
  <r>
    <s v="406-0576059-6973128"/>
    <s v="26/01/2023"/>
    <x v="0"/>
    <x v="31"/>
    <x v="25"/>
    <x v="9"/>
    <x v="1"/>
    <s v="Akividu"/>
    <x v="2"/>
    <n v="799"/>
    <n v="205"/>
    <n v="594"/>
    <n v="240"/>
    <n v="354"/>
  </r>
  <r>
    <s v="402-6131568-3380322"/>
    <s v="26/01/2023"/>
    <x v="3"/>
    <x v="154"/>
    <x v="25"/>
    <x v="9"/>
    <x v="1"/>
    <s v="HYDERABAD"/>
    <x v="8"/>
    <n v="-799"/>
    <n v="320"/>
    <n v="-479"/>
    <n v="240"/>
    <n v="-239"/>
  </r>
  <r>
    <s v="407-1504910-3303540"/>
    <s v="28/01/2023"/>
    <x v="2"/>
    <x v="25"/>
    <x v="27"/>
    <x v="9"/>
    <x v="1"/>
    <s v="Secunderabd"/>
    <x v="8"/>
    <n v="0"/>
    <n v="0"/>
    <n v="0"/>
    <n v="0"/>
    <n v="0"/>
  </r>
  <r>
    <s v="408-4978758-3594731"/>
    <s v="29/01/2023"/>
    <x v="2"/>
    <x v="121"/>
    <x v="28"/>
    <x v="9"/>
    <x v="1"/>
    <s v="SANCHORE"/>
    <x v="10"/>
    <n v="0"/>
    <n v="0"/>
    <n v="0"/>
    <n v="0"/>
    <n v="0"/>
  </r>
  <r>
    <s v="406-9562262-9173136"/>
    <s v="21/01/2023"/>
    <x v="3"/>
    <x v="179"/>
    <x v="20"/>
    <x v="9"/>
    <x v="1"/>
    <s v="Budhanpur"/>
    <x v="13"/>
    <n v="-799"/>
    <n v="320"/>
    <n v="-479"/>
    <n v="240"/>
    <n v="-239"/>
  </r>
  <r>
    <s v="171-3287820-5677160"/>
    <s v="29/01/2023"/>
    <x v="2"/>
    <x v="178"/>
    <x v="28"/>
    <x v="9"/>
    <x v="1"/>
    <s v="JAGGAMPETA"/>
    <x v="2"/>
    <n v="0"/>
    <n v="0"/>
    <n v="0"/>
    <n v="0"/>
    <n v="0"/>
  </r>
  <r>
    <s v="405-1618719-8423521"/>
    <s v="28/01/2023"/>
    <x v="2"/>
    <x v="202"/>
    <x v="27"/>
    <x v="9"/>
    <x v="1"/>
    <s v="POTHREDDIPALLE"/>
    <x v="8"/>
    <n v="0"/>
    <n v="0"/>
    <n v="0"/>
    <n v="0"/>
    <n v="0"/>
  </r>
  <r>
    <s v="405-1618719-8423521"/>
    <s v="28/01/2023"/>
    <x v="2"/>
    <x v="187"/>
    <x v="27"/>
    <x v="9"/>
    <x v="1"/>
    <s v="POTHREDDIPALLE"/>
    <x v="8"/>
    <n v="0"/>
    <n v="0"/>
    <n v="0"/>
    <n v="0"/>
    <n v="0"/>
  </r>
  <r>
    <s v="408-6551873-5487517"/>
    <s v="23/01/2023"/>
    <x v="3"/>
    <x v="184"/>
    <x v="23"/>
    <x v="9"/>
    <x v="1"/>
    <s v="NOIDA"/>
    <x v="1"/>
    <n v="-849"/>
    <n v="345"/>
    <n v="-504"/>
    <n v="240"/>
    <n v="-264"/>
  </r>
  <r>
    <s v="408-6824960-8437926"/>
    <s v="26/01/2023"/>
    <x v="3"/>
    <x v="88"/>
    <x v="25"/>
    <x v="9"/>
    <x v="1"/>
    <s v="JAIPUR"/>
    <x v="10"/>
    <n v="-899"/>
    <n v="375"/>
    <n v="-524"/>
    <n v="240"/>
    <n v="-284"/>
  </r>
  <r>
    <s v="407-9229807-0497912"/>
    <s v="23/01/2023"/>
    <x v="3"/>
    <x v="15"/>
    <x v="23"/>
    <x v="9"/>
    <x v="1"/>
    <s v="VIJAINAGAR AJMER DISTRICT"/>
    <x v="10"/>
    <n v="-849"/>
    <n v="345"/>
    <n v="-504"/>
    <n v="240"/>
    <n v="-264"/>
  </r>
  <r>
    <s v="406-3188315-0792319"/>
    <s v="29/01/2023"/>
    <x v="0"/>
    <x v="269"/>
    <x v="28"/>
    <x v="9"/>
    <x v="1"/>
    <s v="ONGOLE"/>
    <x v="2"/>
    <n v="849"/>
    <n v="250"/>
    <n v="599"/>
    <n v="240"/>
    <n v="359"/>
  </r>
  <r>
    <s v="402-0995725-9529126"/>
    <s v="28/01/2023"/>
    <x v="0"/>
    <x v="44"/>
    <x v="27"/>
    <x v="9"/>
    <x v="1"/>
    <s v="CHANDIGARH"/>
    <x v="33"/>
    <n v="899"/>
    <n v="295"/>
    <n v="604"/>
    <n v="240"/>
    <n v="364"/>
  </r>
  <r>
    <s v="408-9528799-8296361"/>
    <s v="28/01/2023"/>
    <x v="0"/>
    <x v="44"/>
    <x v="27"/>
    <x v="9"/>
    <x v="1"/>
    <s v="firozpur"/>
    <x v="26"/>
    <n v="899"/>
    <n v="295"/>
    <n v="604"/>
    <n v="240"/>
    <n v="364"/>
  </r>
  <r>
    <s v="406-3231185-3467536"/>
    <s v="27/01/2023"/>
    <x v="0"/>
    <x v="205"/>
    <x v="26"/>
    <x v="9"/>
    <x v="1"/>
    <s v="BISAULI"/>
    <x v="1"/>
    <n v="799"/>
    <n v="205"/>
    <n v="594"/>
    <n v="240"/>
    <n v="354"/>
  </r>
  <r>
    <s v="406-2992593-0138705"/>
    <s v="28/01/2023"/>
    <x v="0"/>
    <x v="15"/>
    <x v="27"/>
    <x v="9"/>
    <x v="1"/>
    <s v="Ongole"/>
    <x v="2"/>
    <n v="849"/>
    <n v="250"/>
    <n v="599"/>
    <n v="240"/>
    <n v="359"/>
  </r>
  <r>
    <s v="171-2043297-8613939"/>
    <s v="28/01/2023"/>
    <x v="0"/>
    <x v="187"/>
    <x v="27"/>
    <x v="9"/>
    <x v="1"/>
    <s v="JAIPUR"/>
    <x v="10"/>
    <n v="799"/>
    <n v="205"/>
    <n v="594"/>
    <n v="240"/>
    <n v="354"/>
  </r>
  <r>
    <s v="402-5071252-2701929"/>
    <s v="28/01/2023"/>
    <x v="0"/>
    <x v="15"/>
    <x v="27"/>
    <x v="9"/>
    <x v="1"/>
    <s v="CHENNAI"/>
    <x v="7"/>
    <n v="849"/>
    <n v="250"/>
    <n v="599"/>
    <n v="240"/>
    <n v="359"/>
  </r>
  <r>
    <s v="402-0283731-8418710"/>
    <s v="28/01/2023"/>
    <x v="0"/>
    <x v="44"/>
    <x v="27"/>
    <x v="9"/>
    <x v="1"/>
    <s v="Unnao"/>
    <x v="1"/>
    <n v="899"/>
    <n v="295"/>
    <n v="604"/>
    <n v="240"/>
    <n v="364"/>
  </r>
  <r>
    <s v="402-0283731-8418710"/>
    <s v="28/01/2023"/>
    <x v="0"/>
    <x v="79"/>
    <x v="27"/>
    <x v="9"/>
    <x v="1"/>
    <s v="Unnao"/>
    <x v="1"/>
    <n v="899"/>
    <n v="295"/>
    <n v="604"/>
    <n v="240"/>
    <n v="364"/>
  </r>
  <r>
    <s v="171-7523724-4843521"/>
    <s v="28/01/2023"/>
    <x v="0"/>
    <x v="44"/>
    <x v="27"/>
    <x v="9"/>
    <x v="1"/>
    <s v="NEW DELHI"/>
    <x v="16"/>
    <n v="899"/>
    <n v="295"/>
    <n v="604"/>
    <n v="240"/>
    <n v="364"/>
  </r>
  <r>
    <s v="408-8662197-1793921"/>
    <s v="28/01/2023"/>
    <x v="1"/>
    <x v="180"/>
    <x v="27"/>
    <x v="9"/>
    <x v="1"/>
    <s v="FARIDABAD"/>
    <x v="15"/>
    <n v="0"/>
    <n v="0"/>
    <n v="0"/>
    <n v="0"/>
    <n v="0"/>
  </r>
  <r>
    <s v="171-4709689-2313907"/>
    <s v="29/01/2023"/>
    <x v="0"/>
    <x v="31"/>
    <x v="28"/>
    <x v="9"/>
    <x v="1"/>
    <s v="SANGLI MIRAJ KUPWAD"/>
    <x v="6"/>
    <n v="799"/>
    <n v="205"/>
    <n v="594"/>
    <n v="240"/>
    <n v="354"/>
  </r>
  <r>
    <s v="407-8292542-9813922"/>
    <s v="28/01/2023"/>
    <x v="0"/>
    <x v="31"/>
    <x v="27"/>
    <x v="9"/>
    <x v="1"/>
    <s v="LUCKNOW"/>
    <x v="1"/>
    <n v="799"/>
    <n v="205"/>
    <n v="594"/>
    <n v="240"/>
    <n v="354"/>
  </r>
  <r>
    <s v="405-1699844-9262759"/>
    <s v="29/01/2023"/>
    <x v="0"/>
    <x v="143"/>
    <x v="28"/>
    <x v="9"/>
    <x v="1"/>
    <s v="HYDERABAD"/>
    <x v="8"/>
    <n v="849"/>
    <n v="250"/>
    <n v="599"/>
    <n v="240"/>
    <n v="359"/>
  </r>
  <r>
    <s v="406-0348119-3917903"/>
    <s v="29/01/2023"/>
    <x v="0"/>
    <x v="161"/>
    <x v="28"/>
    <x v="9"/>
    <x v="1"/>
    <s v="PATIALA"/>
    <x v="26"/>
    <n v="799"/>
    <n v="205"/>
    <n v="594"/>
    <n v="240"/>
    <n v="354"/>
  </r>
  <r>
    <s v="405-1916774-9238753"/>
    <s v="28/01/2023"/>
    <x v="0"/>
    <x v="197"/>
    <x v="27"/>
    <x v="9"/>
    <x v="1"/>
    <s v="GUDALUR THE NILGIRIS DISTRICT"/>
    <x v="7"/>
    <n v="849"/>
    <n v="250"/>
    <n v="599"/>
    <n v="240"/>
    <n v="359"/>
  </r>
  <r>
    <s v="402-4395000-9702729"/>
    <s v="29/01/2023"/>
    <x v="0"/>
    <x v="138"/>
    <x v="28"/>
    <x v="9"/>
    <x v="1"/>
    <s v="ANANTAPUR"/>
    <x v="2"/>
    <n v="799"/>
    <n v="205"/>
    <n v="594"/>
    <n v="240"/>
    <n v="354"/>
  </r>
  <r>
    <s v="403-8236037-4977940"/>
    <s v="29/01/2023"/>
    <x v="0"/>
    <x v="25"/>
    <x v="28"/>
    <x v="9"/>
    <x v="1"/>
    <s v="CHENNAI"/>
    <x v="7"/>
    <n v="799"/>
    <n v="205"/>
    <n v="594"/>
    <n v="240"/>
    <n v="354"/>
  </r>
  <r>
    <s v="407-4448660-1168355"/>
    <s v="29/01/2023"/>
    <x v="0"/>
    <x v="174"/>
    <x v="28"/>
    <x v="9"/>
    <x v="1"/>
    <s v="Dombivali East"/>
    <x v="6"/>
    <n v="799"/>
    <n v="205"/>
    <n v="594"/>
    <n v="240"/>
    <n v="354"/>
  </r>
  <r>
    <s v="171-1715886-0616351"/>
    <s v="29/01/2023"/>
    <x v="0"/>
    <x v="25"/>
    <x v="28"/>
    <x v="9"/>
    <x v="1"/>
    <s v="GWALIOR"/>
    <x v="13"/>
    <n v="799"/>
    <n v="205"/>
    <n v="594"/>
    <n v="240"/>
    <n v="354"/>
  </r>
  <r>
    <s v="406-4583135-0891542"/>
    <s v="29/01/2023"/>
    <x v="0"/>
    <x v="120"/>
    <x v="28"/>
    <x v="9"/>
    <x v="1"/>
    <s v="HYDERABAD"/>
    <x v="8"/>
    <n v="849"/>
    <n v="250"/>
    <n v="599"/>
    <n v="240"/>
    <n v="359"/>
  </r>
  <r>
    <s v="402-8587829-2089928"/>
    <s v="28/01/2023"/>
    <x v="0"/>
    <x v="216"/>
    <x v="27"/>
    <x v="9"/>
    <x v="1"/>
    <s v="Hyderabad"/>
    <x v="8"/>
    <n v="799"/>
    <n v="205"/>
    <n v="594"/>
    <n v="240"/>
    <n v="354"/>
  </r>
  <r>
    <s v="402-7303761-0703539"/>
    <s v="28/01/2023"/>
    <x v="0"/>
    <x v="166"/>
    <x v="27"/>
    <x v="9"/>
    <x v="1"/>
    <s v="BHILAI"/>
    <x v="20"/>
    <n v="849"/>
    <n v="250"/>
    <n v="599"/>
    <n v="240"/>
    <n v="359"/>
  </r>
  <r>
    <s v="405-3919437-4404315"/>
    <s v="28/01/2023"/>
    <x v="0"/>
    <x v="154"/>
    <x v="27"/>
    <x v="9"/>
    <x v="1"/>
    <s v="NALLAMPATTI"/>
    <x v="7"/>
    <n v="799"/>
    <n v="205"/>
    <n v="594"/>
    <n v="240"/>
    <n v="354"/>
  </r>
  <r>
    <s v="404-6116963-9040327"/>
    <s v="29/01/2023"/>
    <x v="0"/>
    <x v="139"/>
    <x v="28"/>
    <x v="9"/>
    <x v="1"/>
    <s v="munnar"/>
    <x v="9"/>
    <n v="799"/>
    <n v="205"/>
    <n v="594"/>
    <n v="240"/>
    <n v="354"/>
  </r>
  <r>
    <s v="405-7334879-3201964"/>
    <s v="29/01/2023"/>
    <x v="0"/>
    <x v="80"/>
    <x v="28"/>
    <x v="9"/>
    <x v="1"/>
    <s v="BAREILLY"/>
    <x v="1"/>
    <n v="899"/>
    <n v="295"/>
    <n v="604"/>
    <n v="240"/>
    <n v="364"/>
  </r>
  <r>
    <s v="407-2121170-1001930"/>
    <s v="29/01/2023"/>
    <x v="0"/>
    <x v="139"/>
    <x v="28"/>
    <x v="9"/>
    <x v="1"/>
    <s v="Amnour"/>
    <x v="0"/>
    <n v="799"/>
    <n v="205"/>
    <n v="594"/>
    <n v="240"/>
    <n v="354"/>
  </r>
  <r>
    <s v="407-3328602-2167569"/>
    <s v="28/01/2023"/>
    <x v="0"/>
    <x v="86"/>
    <x v="27"/>
    <x v="9"/>
    <x v="1"/>
    <s v="NELLORE"/>
    <x v="2"/>
    <n v="899"/>
    <n v="295"/>
    <n v="604"/>
    <n v="240"/>
    <n v="364"/>
  </r>
  <r>
    <s v="407-3645856-7937119"/>
    <s v="29/01/2023"/>
    <x v="0"/>
    <x v="69"/>
    <x v="28"/>
    <x v="9"/>
    <x v="1"/>
    <s v="Noida"/>
    <x v="1"/>
    <n v="849"/>
    <n v="250"/>
    <n v="599"/>
    <n v="240"/>
    <n v="359"/>
  </r>
  <r>
    <s v="406-2656519-5421909"/>
    <s v="28/01/2023"/>
    <x v="0"/>
    <x v="79"/>
    <x v="27"/>
    <x v="9"/>
    <x v="1"/>
    <s v="ARRAH"/>
    <x v="0"/>
    <n v="899"/>
    <n v="295"/>
    <n v="604"/>
    <n v="240"/>
    <n v="364"/>
  </r>
  <r>
    <s v="402-2326889-8603563"/>
    <s v="29/01/2023"/>
    <x v="0"/>
    <x v="179"/>
    <x v="28"/>
    <x v="9"/>
    <x v="1"/>
    <s v="NEW DELHI"/>
    <x v="16"/>
    <n v="799"/>
    <n v="205"/>
    <n v="594"/>
    <n v="240"/>
    <n v="354"/>
  </r>
  <r>
    <s v="407-5340207-7352341"/>
    <s v="23/01/2023"/>
    <x v="3"/>
    <x v="139"/>
    <x v="23"/>
    <x v="9"/>
    <x v="1"/>
    <s v="BENGALURU"/>
    <x v="5"/>
    <n v="-799"/>
    <n v="320"/>
    <n v="-479"/>
    <n v="240"/>
    <n v="-239"/>
  </r>
  <r>
    <s v="408-6048684-9853123"/>
    <s v="19/01/2023"/>
    <x v="3"/>
    <x v="44"/>
    <x v="17"/>
    <x v="9"/>
    <x v="1"/>
    <s v="chengalpattu"/>
    <x v="7"/>
    <n v="-899"/>
    <n v="375"/>
    <n v="-524"/>
    <n v="240"/>
    <n v="-284"/>
  </r>
  <r>
    <s v="406-6660809-5957920"/>
    <s v="24/01/2023"/>
    <x v="3"/>
    <x v="15"/>
    <x v="22"/>
    <x v="9"/>
    <x v="1"/>
    <s v="PATNA"/>
    <x v="0"/>
    <n v="-849"/>
    <n v="345"/>
    <n v="-504"/>
    <n v="240"/>
    <n v="-264"/>
  </r>
  <r>
    <s v="407-9867474-1291512"/>
    <s v="21/01/2023"/>
    <x v="3"/>
    <x v="137"/>
    <x v="20"/>
    <x v="9"/>
    <x v="1"/>
    <s v="SATHYAMANGALAM"/>
    <x v="7"/>
    <n v="-849"/>
    <n v="345"/>
    <n v="-504"/>
    <n v="240"/>
    <n v="-264"/>
  </r>
  <r>
    <s v="408-1661943-9759560"/>
    <s v="22/01/2023"/>
    <x v="3"/>
    <x v="145"/>
    <x v="21"/>
    <x v="9"/>
    <x v="1"/>
    <s v="SATHYAMANGALAM"/>
    <x v="7"/>
    <n v="-799"/>
    <n v="320"/>
    <n v="-479"/>
    <n v="240"/>
    <n v="-239"/>
  </r>
  <r>
    <s v="404-1582936-1261130"/>
    <s v="23/01/2023"/>
    <x v="3"/>
    <x v="294"/>
    <x v="23"/>
    <x v="9"/>
    <x v="1"/>
    <s v="SATHUPALLY"/>
    <x v="8"/>
    <n v="-999"/>
    <n v="395"/>
    <n v="-604"/>
    <n v="240"/>
    <n v="-364"/>
  </r>
  <r>
    <s v="404-4429585-9663511"/>
    <s v="23/01/2023"/>
    <x v="3"/>
    <x v="295"/>
    <x v="23"/>
    <x v="9"/>
    <x v="1"/>
    <s v="SATHUPALLY"/>
    <x v="8"/>
    <n v="-999"/>
    <n v="395"/>
    <n v="-604"/>
    <n v="240"/>
    <n v="-364"/>
  </r>
  <r>
    <s v="408-1921380-6464359"/>
    <s v="30/01/2023"/>
    <x v="1"/>
    <x v="144"/>
    <x v="29"/>
    <x v="9"/>
    <x v="1"/>
    <s v="RATIA"/>
    <x v="15"/>
    <n v="0"/>
    <n v="0"/>
    <n v="0"/>
    <n v="0"/>
    <n v="0"/>
  </r>
  <r>
    <s v="402-4172695-9523507"/>
    <s v="30/01/2023"/>
    <x v="0"/>
    <x v="88"/>
    <x v="29"/>
    <x v="9"/>
    <x v="1"/>
    <s v="TIRTHAHALLI"/>
    <x v="5"/>
    <n v="899"/>
    <n v="295"/>
    <n v="604"/>
    <n v="240"/>
    <n v="364"/>
  </r>
  <r>
    <s v="404-4986597-3121124"/>
    <s v="30/01/2023"/>
    <x v="0"/>
    <x v="206"/>
    <x v="29"/>
    <x v="9"/>
    <x v="1"/>
    <s v="MUMBAI"/>
    <x v="6"/>
    <n v="899"/>
    <n v="295"/>
    <n v="604"/>
    <n v="240"/>
    <n v="364"/>
  </r>
  <r>
    <s v="404-2322695-5675502"/>
    <s v="29/01/2023"/>
    <x v="0"/>
    <x v="166"/>
    <x v="28"/>
    <x v="9"/>
    <x v="1"/>
    <s v="CHENNAI"/>
    <x v="7"/>
    <n v="849"/>
    <n v="250"/>
    <n v="599"/>
    <n v="240"/>
    <n v="359"/>
  </r>
  <r>
    <s v="407-1015320-3205957"/>
    <s v="30/01/2023"/>
    <x v="0"/>
    <x v="296"/>
    <x v="29"/>
    <x v="9"/>
    <x v="1"/>
    <s v="BAGALKOT"/>
    <x v="5"/>
    <n v="799"/>
    <n v="205"/>
    <n v="594"/>
    <n v="240"/>
    <n v="354"/>
  </r>
  <r>
    <s v="404-0398480-7501964"/>
    <s v="30/01/2023"/>
    <x v="0"/>
    <x v="15"/>
    <x v="29"/>
    <x v="9"/>
    <x v="1"/>
    <s v="MUMBAI"/>
    <x v="6"/>
    <n v="849"/>
    <n v="250"/>
    <n v="599"/>
    <n v="240"/>
    <n v="359"/>
  </r>
  <r>
    <s v="402-8849805-8732333"/>
    <s v="30/01/2023"/>
    <x v="0"/>
    <x v="198"/>
    <x v="29"/>
    <x v="9"/>
    <x v="1"/>
    <s v="NEW DELHI"/>
    <x v="16"/>
    <n v="799"/>
    <n v="205"/>
    <n v="594"/>
    <n v="240"/>
    <n v="354"/>
  </r>
  <r>
    <s v="408-3291315-6599527"/>
    <s v="30/01/2023"/>
    <x v="0"/>
    <x v="69"/>
    <x v="29"/>
    <x v="9"/>
    <x v="1"/>
    <s v="VADODARA"/>
    <x v="3"/>
    <n v="849"/>
    <n v="250"/>
    <n v="599"/>
    <n v="240"/>
    <n v="359"/>
  </r>
  <r>
    <s v="171-3776567-0101159"/>
    <s v="30/01/2023"/>
    <x v="0"/>
    <x v="68"/>
    <x v="29"/>
    <x v="9"/>
    <x v="1"/>
    <s v="CHENNAI"/>
    <x v="7"/>
    <n v="799"/>
    <n v="205"/>
    <n v="594"/>
    <n v="240"/>
    <n v="354"/>
  </r>
  <r>
    <s v="403-0026281-4197951"/>
    <s v="30/01/2023"/>
    <x v="0"/>
    <x v="25"/>
    <x v="29"/>
    <x v="9"/>
    <x v="1"/>
    <s v="KANPUR"/>
    <x v="1"/>
    <n v="799"/>
    <n v="205"/>
    <n v="594"/>
    <n v="240"/>
    <n v="354"/>
  </r>
  <r>
    <s v="404-4604404-6729916"/>
    <s v="30/01/2023"/>
    <x v="0"/>
    <x v="15"/>
    <x v="29"/>
    <x v="9"/>
    <x v="1"/>
    <s v="AHMEDABAD"/>
    <x v="3"/>
    <n v="849"/>
    <n v="250"/>
    <n v="599"/>
    <n v="240"/>
    <n v="359"/>
  </r>
  <r>
    <s v="402-5045605-4590717"/>
    <s v="30/01/2023"/>
    <x v="0"/>
    <x v="124"/>
    <x v="29"/>
    <x v="9"/>
    <x v="1"/>
    <s v="MUZAFFARNAGAR"/>
    <x v="1"/>
    <n v="999"/>
    <n v="325"/>
    <n v="674"/>
    <n v="240"/>
    <n v="434"/>
  </r>
  <r>
    <s v="408-7086486-1365960"/>
    <s v="30/01/2023"/>
    <x v="0"/>
    <x v="149"/>
    <x v="29"/>
    <x v="9"/>
    <x v="1"/>
    <s v="CHANGANACHERRY"/>
    <x v="9"/>
    <n v="799"/>
    <n v="205"/>
    <n v="594"/>
    <n v="240"/>
    <n v="354"/>
  </r>
  <r>
    <s v="408-9584888-7635550"/>
    <s v="30/01/2023"/>
    <x v="1"/>
    <x v="123"/>
    <x v="29"/>
    <x v="9"/>
    <x v="1"/>
    <s v="THIRUVANANTHAPURAM"/>
    <x v="9"/>
    <n v="0"/>
    <n v="0"/>
    <n v="0"/>
    <n v="0"/>
    <n v="0"/>
  </r>
  <r>
    <s v="408-2279426-8389110"/>
    <s v="30/01/2023"/>
    <x v="0"/>
    <x v="31"/>
    <x v="29"/>
    <x v="9"/>
    <x v="1"/>
    <s v="POTHREDDIPALLE"/>
    <x v="8"/>
    <n v="799"/>
    <n v="205"/>
    <n v="594"/>
    <n v="240"/>
    <n v="354"/>
  </r>
  <r>
    <s v="171-9567380-6984367"/>
    <s v="30/01/2023"/>
    <x v="0"/>
    <x v="297"/>
    <x v="29"/>
    <x v="9"/>
    <x v="1"/>
    <s v="BHOPAL"/>
    <x v="13"/>
    <n v="799"/>
    <n v="205"/>
    <n v="594"/>
    <n v="240"/>
    <n v="354"/>
  </r>
  <r>
    <s v="406-2365911-7479512"/>
    <s v="30/01/2023"/>
    <x v="0"/>
    <x v="15"/>
    <x v="29"/>
    <x v="9"/>
    <x v="1"/>
    <s v="NAGPUR"/>
    <x v="6"/>
    <n v="849"/>
    <n v="250"/>
    <n v="599"/>
    <n v="240"/>
    <n v="359"/>
  </r>
  <r>
    <s v="171-6800841-9209932"/>
    <s v="29/01/2023"/>
    <x v="0"/>
    <x v="88"/>
    <x v="28"/>
    <x v="9"/>
    <x v="1"/>
    <s v="NAVI MUMBAI"/>
    <x v="6"/>
    <n v="899"/>
    <n v="295"/>
    <n v="604"/>
    <n v="240"/>
    <n v="364"/>
  </r>
  <r>
    <s v="408-7721988-3955551"/>
    <s v="30/01/2023"/>
    <x v="0"/>
    <x v="163"/>
    <x v="29"/>
    <x v="9"/>
    <x v="1"/>
    <s v="RANCHI"/>
    <x v="11"/>
    <n v="799"/>
    <n v="205"/>
    <n v="594"/>
    <n v="240"/>
    <n v="354"/>
  </r>
  <r>
    <s v="408-7494743-2467528"/>
    <s v="30/01/2023"/>
    <x v="0"/>
    <x v="15"/>
    <x v="29"/>
    <x v="9"/>
    <x v="1"/>
    <s v="MOHALI"/>
    <x v="26"/>
    <n v="849"/>
    <n v="250"/>
    <n v="599"/>
    <n v="240"/>
    <n v="359"/>
  </r>
  <r>
    <s v="171-9742517-0925962"/>
    <s v="30/01/2023"/>
    <x v="0"/>
    <x v="189"/>
    <x v="29"/>
    <x v="9"/>
    <x v="1"/>
    <s v="Coimbatore"/>
    <x v="7"/>
    <n v="799"/>
    <n v="205"/>
    <n v="594"/>
    <n v="240"/>
    <n v="354"/>
  </r>
  <r>
    <s v="403-3818436-3764329"/>
    <s v="30/01/2023"/>
    <x v="0"/>
    <x v="80"/>
    <x v="29"/>
    <x v="9"/>
    <x v="1"/>
    <s v="NEW DELHI"/>
    <x v="16"/>
    <n v="899"/>
    <n v="295"/>
    <n v="604"/>
    <n v="240"/>
    <n v="364"/>
  </r>
  <r>
    <s v="406-0514240-2825952"/>
    <s v="30/01/2023"/>
    <x v="0"/>
    <x v="52"/>
    <x v="29"/>
    <x v="9"/>
    <x v="1"/>
    <s v="MARGAO"/>
    <x v="21"/>
    <n v="899"/>
    <n v="295"/>
    <n v="604"/>
    <n v="240"/>
    <n v="364"/>
  </r>
  <r>
    <s v="404-1221461-5433912"/>
    <s v="30/01/2023"/>
    <x v="0"/>
    <x v="68"/>
    <x v="29"/>
    <x v="9"/>
    <x v="1"/>
    <s v="Ghaziabad"/>
    <x v="1"/>
    <n v="799"/>
    <n v="205"/>
    <n v="594"/>
    <n v="240"/>
    <n v="354"/>
  </r>
  <r>
    <s v="405-2579944-7175501"/>
    <s v="30/01/2023"/>
    <x v="0"/>
    <x v="15"/>
    <x v="29"/>
    <x v="9"/>
    <x v="1"/>
    <s v="JAIPUR"/>
    <x v="10"/>
    <n v="849"/>
    <n v="250"/>
    <n v="599"/>
    <n v="240"/>
    <n v="359"/>
  </r>
  <r>
    <s v="403-5127746-6229105"/>
    <s v="30/01/2023"/>
    <x v="0"/>
    <x v="164"/>
    <x v="29"/>
    <x v="9"/>
    <x v="1"/>
    <s v="NEW DELHI"/>
    <x v="16"/>
    <n v="849"/>
    <n v="250"/>
    <n v="599"/>
    <n v="240"/>
    <n v="359"/>
  </r>
  <r>
    <s v="402-3918540-3260359"/>
    <s v="29/01/2023"/>
    <x v="0"/>
    <x v="187"/>
    <x v="28"/>
    <x v="9"/>
    <x v="1"/>
    <s v="ERNAKULAM"/>
    <x v="9"/>
    <n v="799"/>
    <n v="205"/>
    <n v="594"/>
    <n v="240"/>
    <n v="354"/>
  </r>
  <r>
    <s v="404-8515849-0960319"/>
    <s v="30/01/2023"/>
    <x v="0"/>
    <x v="80"/>
    <x v="29"/>
    <x v="9"/>
    <x v="1"/>
    <s v="POLLACHI"/>
    <x v="7"/>
    <n v="899"/>
    <n v="295"/>
    <n v="604"/>
    <n v="240"/>
    <n v="364"/>
  </r>
  <r>
    <s v="408-8190855-3009110"/>
    <s v="29/01/2023"/>
    <x v="0"/>
    <x v="15"/>
    <x v="28"/>
    <x v="9"/>
    <x v="1"/>
    <s v="SOUTH WEST DELHI"/>
    <x v="16"/>
    <n v="849"/>
    <n v="250"/>
    <n v="599"/>
    <n v="240"/>
    <n v="359"/>
  </r>
  <r>
    <s v="171-3985221-9408351"/>
    <s v="30/01/2023"/>
    <x v="0"/>
    <x v="69"/>
    <x v="29"/>
    <x v="9"/>
    <x v="1"/>
    <s v="KOTDWARA"/>
    <x v="24"/>
    <n v="849"/>
    <n v="250"/>
    <n v="599"/>
    <n v="240"/>
    <n v="359"/>
  </r>
  <r>
    <s v="404-0530653-3909941"/>
    <s v="24/01/2023"/>
    <x v="3"/>
    <x v="157"/>
    <x v="22"/>
    <x v="9"/>
    <x v="1"/>
    <s v="MUMBAI"/>
    <x v="6"/>
    <n v="-799"/>
    <n v="320"/>
    <n v="-479"/>
    <n v="240"/>
    <n v="-239"/>
  </r>
  <r>
    <s v="406-8625993-9464350"/>
    <s v="31/01/2023"/>
    <x v="2"/>
    <x v="81"/>
    <x v="30"/>
    <x v="9"/>
    <x v="1"/>
    <s v="KOTA"/>
    <x v="10"/>
    <n v="0"/>
    <n v="0"/>
    <n v="0"/>
    <n v="0"/>
    <n v="0"/>
  </r>
  <r>
    <s v="408-2012200-1909943"/>
    <s v="31/01/2023"/>
    <x v="2"/>
    <x v="15"/>
    <x v="30"/>
    <x v="9"/>
    <x v="1"/>
    <s v="BENGALURU"/>
    <x v="5"/>
    <n v="0"/>
    <n v="0"/>
    <n v="0"/>
    <n v="0"/>
    <n v="0"/>
  </r>
  <r>
    <s v="406-3790726-7642757"/>
    <s v="31/01/2023"/>
    <x v="2"/>
    <x v="171"/>
    <x v="30"/>
    <x v="9"/>
    <x v="1"/>
    <s v="PIMPRI CHINCHWAD"/>
    <x v="6"/>
    <n v="0"/>
    <n v="0"/>
    <n v="0"/>
    <n v="0"/>
    <n v="0"/>
  </r>
  <r>
    <s v="404-6087879-3922701"/>
    <s v="31/01/2023"/>
    <x v="2"/>
    <x v="15"/>
    <x v="30"/>
    <x v="9"/>
    <x v="1"/>
    <s v="ONGOLE"/>
    <x v="2"/>
    <n v="0"/>
    <n v="0"/>
    <n v="0"/>
    <n v="0"/>
    <n v="0"/>
  </r>
  <r>
    <s v="171-6475686-7989157"/>
    <s v="31/01/2023"/>
    <x v="0"/>
    <x v="50"/>
    <x v="30"/>
    <x v="9"/>
    <x v="1"/>
    <s v="CHANDI MANDIR"/>
    <x v="15"/>
    <n v="799"/>
    <n v="205"/>
    <n v="594"/>
    <n v="240"/>
    <n v="354"/>
  </r>
  <r>
    <s v="171-9956253-1346700"/>
    <s v="31/01/2023"/>
    <x v="0"/>
    <x v="50"/>
    <x v="30"/>
    <x v="9"/>
    <x v="1"/>
    <s v="Balangir"/>
    <x v="14"/>
    <n v="799"/>
    <n v="205"/>
    <n v="594"/>
    <n v="240"/>
    <n v="354"/>
  </r>
  <r>
    <s v="406-3790726-7642757"/>
    <s v="31/01/2023"/>
    <x v="0"/>
    <x v="171"/>
    <x v="30"/>
    <x v="9"/>
    <x v="1"/>
    <s v="PIMPRI CHINCHWAD"/>
    <x v="6"/>
    <n v="799"/>
    <n v="205"/>
    <n v="594"/>
    <n v="240"/>
    <n v="354"/>
  </r>
  <r>
    <s v="405-1061984-6335504"/>
    <s v="31/01/2023"/>
    <x v="0"/>
    <x v="81"/>
    <x v="30"/>
    <x v="9"/>
    <x v="1"/>
    <s v="MUMBAI"/>
    <x v="6"/>
    <n v="799"/>
    <n v="205"/>
    <n v="594"/>
    <n v="240"/>
    <n v="354"/>
  </r>
  <r>
    <s v="171-2567303-1069157"/>
    <s v="31/01/2023"/>
    <x v="0"/>
    <x v="131"/>
    <x v="30"/>
    <x v="9"/>
    <x v="1"/>
    <s v="AHMEDABAD"/>
    <x v="3"/>
    <n v="799"/>
    <n v="205"/>
    <n v="594"/>
    <n v="240"/>
    <n v="354"/>
  </r>
  <r>
    <s v="407-0612989-7917941"/>
    <s v="31/01/2023"/>
    <x v="0"/>
    <x v="133"/>
    <x v="30"/>
    <x v="9"/>
    <x v="1"/>
    <s v="LAKHIMPUR"/>
    <x v="1"/>
    <n v="799"/>
    <n v="205"/>
    <n v="594"/>
    <n v="240"/>
    <n v="354"/>
  </r>
  <r>
    <s v="171-2050118-0136300"/>
    <s v="31/01/2023"/>
    <x v="0"/>
    <x v="68"/>
    <x v="30"/>
    <x v="9"/>
    <x v="1"/>
    <s v="PUNE"/>
    <x v="6"/>
    <n v="799"/>
    <n v="205"/>
    <n v="594"/>
    <n v="240"/>
    <n v="354"/>
  </r>
  <r>
    <s v="407-9025054-7568366"/>
    <s v="31/01/2023"/>
    <x v="0"/>
    <x v="25"/>
    <x v="30"/>
    <x v="9"/>
    <x v="1"/>
    <s v="JEYPUR"/>
    <x v="14"/>
    <n v="799"/>
    <n v="205"/>
    <n v="594"/>
    <n v="240"/>
    <n v="354"/>
  </r>
  <r>
    <s v="405-9532711-8359520"/>
    <s v="31/01/2023"/>
    <x v="0"/>
    <x v="177"/>
    <x v="30"/>
    <x v="9"/>
    <x v="1"/>
    <s v="KOTPUTLI"/>
    <x v="10"/>
    <n v="799"/>
    <n v="205"/>
    <n v="594"/>
    <n v="240"/>
    <n v="354"/>
  </r>
  <r>
    <s v="404-0209909-0240376"/>
    <s v="30/01/2023"/>
    <x v="0"/>
    <x v="149"/>
    <x v="29"/>
    <x v="9"/>
    <x v="1"/>
    <s v="SHILLONG"/>
    <x v="23"/>
    <n v="799"/>
    <n v="205"/>
    <n v="594"/>
    <n v="240"/>
    <n v="354"/>
  </r>
  <r>
    <s v="402-3577264-7378722"/>
    <s v="31/01/2023"/>
    <x v="0"/>
    <x v="177"/>
    <x v="30"/>
    <x v="9"/>
    <x v="1"/>
    <s v="GUWAHATI"/>
    <x v="4"/>
    <n v="799"/>
    <n v="205"/>
    <n v="594"/>
    <n v="240"/>
    <n v="354"/>
  </r>
  <r>
    <s v="403-4141792-9877952"/>
    <s v="31/01/2023"/>
    <x v="0"/>
    <x v="80"/>
    <x v="30"/>
    <x v="9"/>
    <x v="1"/>
    <s v="Parasia"/>
    <x v="13"/>
    <n v="899"/>
    <n v="295"/>
    <n v="604"/>
    <n v="240"/>
    <n v="364"/>
  </r>
  <r>
    <s v="403-2839770-7523541"/>
    <s v="31/01/2023"/>
    <x v="0"/>
    <x v="95"/>
    <x v="30"/>
    <x v="9"/>
    <x v="1"/>
    <s v="Jogbani"/>
    <x v="0"/>
    <n v="899"/>
    <n v="295"/>
    <n v="604"/>
    <n v="240"/>
    <n v="364"/>
  </r>
  <r>
    <s v="407-3753710-7470766"/>
    <s v="31/01/2023"/>
    <x v="0"/>
    <x v="68"/>
    <x v="30"/>
    <x v="9"/>
    <x v="1"/>
    <s v="TALEGAON"/>
    <x v="6"/>
    <n v="799"/>
    <n v="205"/>
    <n v="594"/>
    <n v="240"/>
    <n v="354"/>
  </r>
  <r>
    <s v="402-9164369-1011541"/>
    <s v="31/01/2023"/>
    <x v="0"/>
    <x v="68"/>
    <x v="30"/>
    <x v="9"/>
    <x v="1"/>
    <s v="NEW DELHI"/>
    <x v="16"/>
    <n v="799"/>
    <n v="205"/>
    <n v="594"/>
    <n v="240"/>
    <n v="354"/>
  </r>
  <r>
    <s v="407-9497625-8930752"/>
    <s v="31/01/2023"/>
    <x v="0"/>
    <x v="44"/>
    <x v="30"/>
    <x v="9"/>
    <x v="1"/>
    <s v="UMBERGAON"/>
    <x v="3"/>
    <n v="899"/>
    <n v="295"/>
    <n v="604"/>
    <n v="240"/>
    <n v="364"/>
  </r>
  <r>
    <s v="407-3725128-4977951"/>
    <s v="31/01/2023"/>
    <x v="0"/>
    <x v="154"/>
    <x v="30"/>
    <x v="9"/>
    <x v="1"/>
    <s v="ADALAJ   District Gandhinagar"/>
    <x v="3"/>
    <n v="799"/>
    <n v="205"/>
    <n v="594"/>
    <n v="240"/>
    <n v="354"/>
  </r>
  <r>
    <s v="407-1660472-3982726"/>
    <s v="31/01/2023"/>
    <x v="0"/>
    <x v="69"/>
    <x v="30"/>
    <x v="9"/>
    <x v="1"/>
    <s v="Diva"/>
    <x v="6"/>
    <n v="849"/>
    <n v="250"/>
    <n v="599"/>
    <n v="240"/>
    <n v="359"/>
  </r>
  <r>
    <s v="406-8625993-9464350"/>
    <s v="31/01/2023"/>
    <x v="0"/>
    <x v="81"/>
    <x v="30"/>
    <x v="9"/>
    <x v="1"/>
    <s v="KOTA"/>
    <x v="10"/>
    <n v="799"/>
    <n v="205"/>
    <n v="594"/>
    <n v="240"/>
    <n v="354"/>
  </r>
  <r>
    <s v="402-5973479-7392315"/>
    <s v="31/01/2023"/>
    <x v="0"/>
    <x v="239"/>
    <x v="30"/>
    <x v="9"/>
    <x v="1"/>
    <s v="GUDUR"/>
    <x v="2"/>
    <n v="799"/>
    <n v="205"/>
    <n v="594"/>
    <n v="240"/>
    <n v="354"/>
  </r>
  <r>
    <s v="403-0918003-8541160"/>
    <s v="31/01/2023"/>
    <x v="0"/>
    <x v="15"/>
    <x v="30"/>
    <x v="9"/>
    <x v="1"/>
    <s v="Meerut"/>
    <x v="1"/>
    <n v="849"/>
    <n v="250"/>
    <n v="599"/>
    <n v="240"/>
    <n v="359"/>
  </r>
  <r>
    <s v="408-2012200-1909943"/>
    <s v="31/01/2023"/>
    <x v="0"/>
    <x v="15"/>
    <x v="30"/>
    <x v="9"/>
    <x v="1"/>
    <s v="BENGALURU"/>
    <x v="5"/>
    <n v="849"/>
    <n v="250"/>
    <n v="599"/>
    <n v="240"/>
    <n v="359"/>
  </r>
  <r>
    <s v="403-4440650-7113155"/>
    <s v="31/01/2023"/>
    <x v="0"/>
    <x v="31"/>
    <x v="30"/>
    <x v="9"/>
    <x v="1"/>
    <s v="RAYA"/>
    <x v="1"/>
    <n v="799"/>
    <n v="205"/>
    <n v="594"/>
    <n v="240"/>
    <n v="354"/>
  </r>
  <r>
    <s v="407-3955345-7264332"/>
    <s v="31/01/2023"/>
    <x v="0"/>
    <x v="134"/>
    <x v="30"/>
    <x v="9"/>
    <x v="1"/>
    <s v="VASAI"/>
    <x v="6"/>
    <n v="849"/>
    <n v="250"/>
    <n v="599"/>
    <n v="240"/>
    <n v="359"/>
  </r>
  <r>
    <s v="408-3552352-7994764"/>
    <s v="31/01/2023"/>
    <x v="0"/>
    <x v="80"/>
    <x v="30"/>
    <x v="9"/>
    <x v="1"/>
    <s v="VASAI VIRAR"/>
    <x v="6"/>
    <n v="899"/>
    <n v="295"/>
    <n v="604"/>
    <n v="240"/>
    <n v="364"/>
  </r>
  <r>
    <s v="406-4930581-0651527"/>
    <s v="31/01/2023"/>
    <x v="0"/>
    <x v="15"/>
    <x v="30"/>
    <x v="9"/>
    <x v="1"/>
    <s v="CHENNAI"/>
    <x v="7"/>
    <n v="849"/>
    <n v="250"/>
    <n v="599"/>
    <n v="240"/>
    <n v="359"/>
  </r>
  <r>
    <s v="406-5038459-3521967"/>
    <s v="31/01/2023"/>
    <x v="0"/>
    <x v="124"/>
    <x v="30"/>
    <x v="9"/>
    <x v="1"/>
    <s v="AGRA"/>
    <x v="1"/>
    <n v="999"/>
    <n v="325"/>
    <n v="674"/>
    <n v="240"/>
    <n v="434"/>
  </r>
  <r>
    <s v="408-9750371-0878702"/>
    <s v="31/01/2023"/>
    <x v="1"/>
    <x v="31"/>
    <x v="30"/>
    <x v="9"/>
    <x v="1"/>
    <s v="Amravati"/>
    <x v="6"/>
    <n v="0"/>
    <n v="0"/>
    <n v="0"/>
    <n v="0"/>
    <n v="0"/>
  </r>
  <r>
    <s v="171-8809865-0154715"/>
    <s v="01/02/2023"/>
    <x v="2"/>
    <x v="44"/>
    <x v="0"/>
    <x v="10"/>
    <x v="1"/>
    <s v="Meerut"/>
    <x v="1"/>
    <n v="0"/>
    <n v="0"/>
    <n v="0"/>
    <n v="0"/>
    <n v="0"/>
  </r>
  <r>
    <s v="408-9797846-1490751"/>
    <s v="01/02/2023"/>
    <x v="0"/>
    <x v="136"/>
    <x v="0"/>
    <x v="10"/>
    <x v="1"/>
    <s v="JODHPUR"/>
    <x v="10"/>
    <n v="849"/>
    <n v="250"/>
    <n v="599"/>
    <n v="240"/>
    <n v="359"/>
  </r>
  <r>
    <s v="408-2553892-8091551"/>
    <s v="01/02/2023"/>
    <x v="2"/>
    <x v="153"/>
    <x v="0"/>
    <x v="10"/>
    <x v="1"/>
    <s v="JAIPUR"/>
    <x v="10"/>
    <n v="0"/>
    <n v="0"/>
    <n v="0"/>
    <n v="0"/>
    <n v="0"/>
  </r>
  <r>
    <s v="406-1238515-3746746"/>
    <s v="01/02/2023"/>
    <x v="0"/>
    <x v="124"/>
    <x v="0"/>
    <x v="10"/>
    <x v="1"/>
    <s v="NOIDA"/>
    <x v="1"/>
    <n v="999"/>
    <n v="325"/>
    <n v="674"/>
    <n v="240"/>
    <n v="434"/>
  </r>
  <r>
    <s v="408-0085547-1175500"/>
    <s v="01/02/2023"/>
    <x v="1"/>
    <x v="124"/>
    <x v="0"/>
    <x v="10"/>
    <x v="1"/>
    <s v="HYDERABAD"/>
    <x v="8"/>
    <n v="0"/>
    <n v="0"/>
    <n v="0"/>
    <n v="0"/>
    <n v="0"/>
  </r>
  <r>
    <s v="404-7048067-3767513"/>
    <s v="01/02/2023"/>
    <x v="0"/>
    <x v="88"/>
    <x v="0"/>
    <x v="10"/>
    <x v="1"/>
    <s v="KOLKATA"/>
    <x v="18"/>
    <n v="899"/>
    <n v="295"/>
    <n v="604"/>
    <n v="240"/>
    <n v="364"/>
  </r>
  <r>
    <s v="404-6348838-7322769"/>
    <s v="01/02/2023"/>
    <x v="0"/>
    <x v="142"/>
    <x v="0"/>
    <x v="10"/>
    <x v="1"/>
    <s v="NAIHATI"/>
    <x v="18"/>
    <n v="799"/>
    <n v="205"/>
    <n v="594"/>
    <n v="240"/>
    <n v="354"/>
  </r>
  <r>
    <s v="403-5775831-8913116"/>
    <s v="01/02/2023"/>
    <x v="0"/>
    <x v="98"/>
    <x v="0"/>
    <x v="10"/>
    <x v="1"/>
    <s v="Bengaluru"/>
    <x v="5"/>
    <n v="899"/>
    <n v="295"/>
    <n v="604"/>
    <n v="240"/>
    <n v="364"/>
  </r>
  <r>
    <s v="406-9915478-0459557"/>
    <s v="01/02/2023"/>
    <x v="0"/>
    <x v="31"/>
    <x v="0"/>
    <x v="10"/>
    <x v="1"/>
    <s v="GHAZIABAD"/>
    <x v="1"/>
    <n v="799"/>
    <n v="205"/>
    <n v="594"/>
    <n v="240"/>
    <n v="354"/>
  </r>
  <r>
    <s v="404-2171680-8033113"/>
    <s v="01/02/2023"/>
    <x v="0"/>
    <x v="31"/>
    <x v="0"/>
    <x v="10"/>
    <x v="1"/>
    <s v="PUNE"/>
    <x v="6"/>
    <n v="799"/>
    <n v="205"/>
    <n v="594"/>
    <n v="240"/>
    <n v="354"/>
  </r>
  <r>
    <s v="405-2607031-3721124"/>
    <s v="01/02/2023"/>
    <x v="0"/>
    <x v="79"/>
    <x v="0"/>
    <x v="10"/>
    <x v="1"/>
    <s v="Trivandrum"/>
    <x v="9"/>
    <n v="899"/>
    <n v="295"/>
    <n v="604"/>
    <n v="240"/>
    <n v="364"/>
  </r>
  <r>
    <s v="406-1246605-2497102"/>
    <s v="01/02/2023"/>
    <x v="0"/>
    <x v="86"/>
    <x v="0"/>
    <x v="10"/>
    <x v="1"/>
    <s v="RAE BARELI"/>
    <x v="1"/>
    <n v="899"/>
    <n v="295"/>
    <n v="604"/>
    <n v="240"/>
    <n v="364"/>
  </r>
  <r>
    <s v="407-0032047-5547522"/>
    <s v="01/02/2023"/>
    <x v="0"/>
    <x v="129"/>
    <x v="0"/>
    <x v="10"/>
    <x v="1"/>
    <s v="MUMBAI"/>
    <x v="6"/>
    <n v="799"/>
    <n v="205"/>
    <n v="594"/>
    <n v="240"/>
    <n v="354"/>
  </r>
  <r>
    <s v="402-6764741-3575509"/>
    <s v="01/02/2023"/>
    <x v="0"/>
    <x v="237"/>
    <x v="0"/>
    <x v="10"/>
    <x v="1"/>
    <s v="GUWAHATI"/>
    <x v="4"/>
    <n v="799"/>
    <n v="205"/>
    <n v="594"/>
    <n v="240"/>
    <n v="354"/>
  </r>
  <r>
    <s v="402-8904735-8441962"/>
    <s v="01/02/2023"/>
    <x v="0"/>
    <x v="44"/>
    <x v="0"/>
    <x v="10"/>
    <x v="1"/>
    <s v="VERNA"/>
    <x v="21"/>
    <n v="899"/>
    <n v="295"/>
    <n v="604"/>
    <n v="240"/>
    <n v="364"/>
  </r>
  <r>
    <s v="404-9338647-7578767"/>
    <s v="01/02/2023"/>
    <x v="0"/>
    <x v="129"/>
    <x v="0"/>
    <x v="10"/>
    <x v="1"/>
    <s v="Bhatbhera"/>
    <x v="20"/>
    <n v="799"/>
    <n v="205"/>
    <n v="594"/>
    <n v="240"/>
    <n v="354"/>
  </r>
  <r>
    <s v="171-7129377-6457936"/>
    <s v="01/02/2023"/>
    <x v="0"/>
    <x v="233"/>
    <x v="0"/>
    <x v="10"/>
    <x v="1"/>
    <s v="KOTHAGUDEM"/>
    <x v="8"/>
    <n v="849"/>
    <n v="250"/>
    <n v="599"/>
    <n v="240"/>
    <n v="359"/>
  </r>
  <r>
    <s v="404-2946042-2340351"/>
    <s v="01/02/2023"/>
    <x v="0"/>
    <x v="83"/>
    <x v="0"/>
    <x v="10"/>
    <x v="1"/>
    <s v="NOIDA"/>
    <x v="1"/>
    <n v="899"/>
    <n v="295"/>
    <n v="604"/>
    <n v="240"/>
    <n v="364"/>
  </r>
  <r>
    <s v="404-4582478-7338757"/>
    <s v="01/02/2023"/>
    <x v="0"/>
    <x v="15"/>
    <x v="0"/>
    <x v="10"/>
    <x v="1"/>
    <s v="RAJKOT"/>
    <x v="3"/>
    <n v="849"/>
    <n v="250"/>
    <n v="599"/>
    <n v="240"/>
    <n v="359"/>
  </r>
  <r>
    <s v="402-9877490-2601166"/>
    <s v="01/02/2023"/>
    <x v="0"/>
    <x v="25"/>
    <x v="0"/>
    <x v="10"/>
    <x v="1"/>
    <s v="SOHNA"/>
    <x v="15"/>
    <n v="799"/>
    <n v="205"/>
    <n v="594"/>
    <n v="240"/>
    <n v="354"/>
  </r>
  <r>
    <s v="408-1503334-4038701"/>
    <s v="01/02/2023"/>
    <x v="0"/>
    <x v="44"/>
    <x v="0"/>
    <x v="10"/>
    <x v="1"/>
    <s v="VARANASI"/>
    <x v="1"/>
    <n v="899"/>
    <n v="295"/>
    <n v="604"/>
    <n v="240"/>
    <n v="364"/>
  </r>
  <r>
    <s v="171-2626366-5661127"/>
    <s v="01/02/2023"/>
    <x v="0"/>
    <x v="257"/>
    <x v="0"/>
    <x v="10"/>
    <x v="1"/>
    <s v="PAITHAN"/>
    <x v="6"/>
    <n v="799"/>
    <n v="205"/>
    <n v="594"/>
    <n v="240"/>
    <n v="354"/>
  </r>
  <r>
    <s v="407-8765769-3959504"/>
    <s v="01/02/2023"/>
    <x v="0"/>
    <x v="88"/>
    <x v="0"/>
    <x v="10"/>
    <x v="1"/>
    <s v="MADUKKUR"/>
    <x v="7"/>
    <n v="899"/>
    <n v="295"/>
    <n v="604"/>
    <n v="240"/>
    <n v="364"/>
  </r>
  <r>
    <s v="402-9880436-5330701"/>
    <s v="01/02/2023"/>
    <x v="0"/>
    <x v="137"/>
    <x v="0"/>
    <x v="10"/>
    <x v="1"/>
    <s v="Mumbai"/>
    <x v="6"/>
    <n v="849"/>
    <n v="250"/>
    <n v="599"/>
    <n v="240"/>
    <n v="359"/>
  </r>
  <r>
    <s v="403-7338472-5416365"/>
    <s v="02/02/2023"/>
    <x v="0"/>
    <x v="197"/>
    <x v="1"/>
    <x v="10"/>
    <x v="1"/>
    <s v="Cuttack"/>
    <x v="14"/>
    <n v="849"/>
    <n v="250"/>
    <n v="599"/>
    <n v="240"/>
    <n v="359"/>
  </r>
  <r>
    <s v="171-1285463-4843549"/>
    <s v="01/02/2023"/>
    <x v="0"/>
    <x v="12"/>
    <x v="0"/>
    <x v="10"/>
    <x v="1"/>
    <s v="JODHPUR"/>
    <x v="10"/>
    <n v="849"/>
    <n v="250"/>
    <n v="599"/>
    <n v="240"/>
    <n v="359"/>
  </r>
  <r>
    <s v="171-2803096-3088312"/>
    <s v="01/02/2023"/>
    <x v="0"/>
    <x v="80"/>
    <x v="0"/>
    <x v="10"/>
    <x v="1"/>
    <s v="HYDERABAD"/>
    <x v="8"/>
    <n v="899"/>
    <n v="295"/>
    <n v="604"/>
    <n v="240"/>
    <n v="364"/>
  </r>
  <r>
    <s v="406-8514495-5569111"/>
    <s v="01/02/2023"/>
    <x v="0"/>
    <x v="88"/>
    <x v="0"/>
    <x v="10"/>
    <x v="1"/>
    <s v="BIKANER"/>
    <x v="10"/>
    <n v="899"/>
    <n v="295"/>
    <n v="604"/>
    <n v="240"/>
    <n v="364"/>
  </r>
  <r>
    <s v="407-2720137-1329109"/>
    <s v="01/02/2023"/>
    <x v="0"/>
    <x v="15"/>
    <x v="0"/>
    <x v="10"/>
    <x v="1"/>
    <s v="Mumbai"/>
    <x v="6"/>
    <n v="849"/>
    <n v="250"/>
    <n v="599"/>
    <n v="240"/>
    <n v="359"/>
  </r>
  <r>
    <s v="407-8625146-2109166"/>
    <s v="01/02/2023"/>
    <x v="0"/>
    <x v="15"/>
    <x v="0"/>
    <x v="10"/>
    <x v="1"/>
    <s v="DIMAPUR"/>
    <x v="17"/>
    <n v="849"/>
    <n v="250"/>
    <n v="599"/>
    <n v="240"/>
    <n v="359"/>
  </r>
  <r>
    <s v="404-9877614-1576316"/>
    <s v="02/02/2023"/>
    <x v="2"/>
    <x v="25"/>
    <x v="1"/>
    <x v="10"/>
    <x v="1"/>
    <s v="BENGALURU"/>
    <x v="5"/>
    <n v="0"/>
    <n v="0"/>
    <n v="0"/>
    <n v="0"/>
    <n v="0"/>
  </r>
  <r>
    <s v="404-4723671-4325125"/>
    <s v="02/02/2023"/>
    <x v="2"/>
    <x v="69"/>
    <x v="1"/>
    <x v="10"/>
    <x v="1"/>
    <s v="Allagadda"/>
    <x v="2"/>
    <n v="0"/>
    <n v="0"/>
    <n v="0"/>
    <n v="0"/>
    <n v="0"/>
  </r>
  <r>
    <s v="406-9410152-6045136"/>
    <s v="02/02/2023"/>
    <x v="2"/>
    <x v="15"/>
    <x v="1"/>
    <x v="10"/>
    <x v="1"/>
    <s v="MUMBAI"/>
    <x v="6"/>
    <n v="0"/>
    <n v="0"/>
    <n v="0"/>
    <n v="0"/>
    <n v="0"/>
  </r>
  <r>
    <s v="405-6854383-7949942"/>
    <s v="03/02/2023"/>
    <x v="2"/>
    <x v="15"/>
    <x v="2"/>
    <x v="10"/>
    <x v="1"/>
    <s v="MUMBAI"/>
    <x v="6"/>
    <n v="0"/>
    <n v="0"/>
    <n v="0"/>
    <n v="0"/>
    <n v="0"/>
  </r>
  <r>
    <s v="171-5650823-7457158"/>
    <s v="03/02/2023"/>
    <x v="2"/>
    <x v="15"/>
    <x v="2"/>
    <x v="10"/>
    <x v="1"/>
    <s v="NEW DELHI"/>
    <x v="16"/>
    <n v="0"/>
    <n v="0"/>
    <n v="0"/>
    <n v="0"/>
    <n v="0"/>
  </r>
  <r>
    <s v="403-0971858-8149123"/>
    <s v="02/02/2023"/>
    <x v="0"/>
    <x v="59"/>
    <x v="1"/>
    <x v="10"/>
    <x v="1"/>
    <s v="AHMEDABAD"/>
    <x v="3"/>
    <n v="899"/>
    <n v="295"/>
    <n v="604"/>
    <n v="240"/>
    <n v="364"/>
  </r>
  <r>
    <s v="408-0333948-1425919"/>
    <s v="02/02/2023"/>
    <x v="1"/>
    <x v="210"/>
    <x v="1"/>
    <x v="10"/>
    <x v="1"/>
    <s v="NEW DELHI"/>
    <x v="16"/>
    <n v="0"/>
    <n v="0"/>
    <n v="0"/>
    <n v="0"/>
    <n v="0"/>
  </r>
  <r>
    <s v="404-9465660-4522722"/>
    <s v="02/02/2023"/>
    <x v="0"/>
    <x v="81"/>
    <x v="1"/>
    <x v="10"/>
    <x v="1"/>
    <s v="Kota"/>
    <x v="10"/>
    <n v="799"/>
    <n v="205"/>
    <n v="594"/>
    <n v="240"/>
    <n v="354"/>
  </r>
  <r>
    <s v="406-2220273-5277161"/>
    <s v="02/02/2023"/>
    <x v="0"/>
    <x v="25"/>
    <x v="1"/>
    <x v="10"/>
    <x v="1"/>
    <s v="FARIDABAD"/>
    <x v="15"/>
    <n v="799"/>
    <n v="205"/>
    <n v="594"/>
    <n v="240"/>
    <n v="354"/>
  </r>
  <r>
    <s v="404-7421096-5976348"/>
    <s v="02/02/2023"/>
    <x v="0"/>
    <x v="133"/>
    <x v="1"/>
    <x v="10"/>
    <x v="1"/>
    <s v="OEL DHAKWA"/>
    <x v="1"/>
    <n v="799"/>
    <n v="205"/>
    <n v="594"/>
    <n v="240"/>
    <n v="354"/>
  </r>
  <r>
    <s v="404-1736712-1511503"/>
    <s v="02/02/2023"/>
    <x v="0"/>
    <x v="121"/>
    <x v="1"/>
    <x v="10"/>
    <x v="1"/>
    <s v="AIZAWL"/>
    <x v="28"/>
    <n v="799"/>
    <n v="205"/>
    <n v="594"/>
    <n v="240"/>
    <n v="354"/>
  </r>
  <r>
    <s v="408-0430218-2920352"/>
    <s v="02/02/2023"/>
    <x v="0"/>
    <x v="241"/>
    <x v="1"/>
    <x v="10"/>
    <x v="1"/>
    <s v="MUMBAI"/>
    <x v="6"/>
    <n v="799"/>
    <n v="205"/>
    <n v="594"/>
    <n v="240"/>
    <n v="354"/>
  </r>
  <r>
    <s v="405-9533188-0871551"/>
    <s v="03/02/2023"/>
    <x v="0"/>
    <x v="206"/>
    <x v="2"/>
    <x v="10"/>
    <x v="1"/>
    <s v="NEW DELHI"/>
    <x v="16"/>
    <n v="899"/>
    <n v="295"/>
    <n v="604"/>
    <n v="240"/>
    <n v="364"/>
  </r>
  <r>
    <s v="171-5473023-5971538"/>
    <s v="02/02/2023"/>
    <x v="0"/>
    <x v="234"/>
    <x v="1"/>
    <x v="10"/>
    <x v="1"/>
    <s v="LUDHIANA"/>
    <x v="26"/>
    <n v="799"/>
    <n v="205"/>
    <n v="594"/>
    <n v="240"/>
    <n v="354"/>
  </r>
  <r>
    <s v="405-1379786-4354766"/>
    <s v="02/02/2023"/>
    <x v="0"/>
    <x v="15"/>
    <x v="1"/>
    <x v="10"/>
    <x v="1"/>
    <s v="AIZAWL"/>
    <x v="28"/>
    <n v="849"/>
    <n v="250"/>
    <n v="599"/>
    <n v="240"/>
    <n v="359"/>
  </r>
  <r>
    <s v="407-1477512-3907554"/>
    <s v="02/02/2023"/>
    <x v="0"/>
    <x v="123"/>
    <x v="1"/>
    <x v="10"/>
    <x v="1"/>
    <s v="KIRUMAMPAKKAM"/>
    <x v="27"/>
    <n v="999"/>
    <n v="325"/>
    <n v="674"/>
    <n v="240"/>
    <n v="434"/>
  </r>
  <r>
    <s v="402-3170234-1213902"/>
    <s v="02/02/2023"/>
    <x v="0"/>
    <x v="298"/>
    <x v="1"/>
    <x v="10"/>
    <x v="1"/>
    <s v="SATHYAMANGALAM"/>
    <x v="7"/>
    <n v="849"/>
    <n v="250"/>
    <n v="599"/>
    <n v="240"/>
    <n v="359"/>
  </r>
  <r>
    <s v="405-3546012-9368305"/>
    <s v="02/02/2023"/>
    <x v="0"/>
    <x v="68"/>
    <x v="1"/>
    <x v="10"/>
    <x v="1"/>
    <s v="KORBA"/>
    <x v="20"/>
    <n v="799"/>
    <n v="205"/>
    <n v="594"/>
    <n v="240"/>
    <n v="354"/>
  </r>
  <r>
    <s v="407-2273551-5158709"/>
    <s v="02/02/2023"/>
    <x v="0"/>
    <x v="64"/>
    <x v="1"/>
    <x v="10"/>
    <x v="1"/>
    <s v="JAIPUR"/>
    <x v="10"/>
    <n v="799"/>
    <n v="205"/>
    <n v="594"/>
    <n v="240"/>
    <n v="354"/>
  </r>
  <r>
    <s v="404-5071815-0216328"/>
    <s v="02/02/2023"/>
    <x v="0"/>
    <x v="177"/>
    <x v="1"/>
    <x v="10"/>
    <x v="1"/>
    <s v="BAREILLY"/>
    <x v="1"/>
    <n v="799"/>
    <n v="205"/>
    <n v="594"/>
    <n v="240"/>
    <n v="354"/>
  </r>
  <r>
    <s v="402-1027097-4945137"/>
    <s v="02/02/2023"/>
    <x v="0"/>
    <x v="133"/>
    <x v="1"/>
    <x v="10"/>
    <x v="1"/>
    <s v="HYDERABAD"/>
    <x v="8"/>
    <n v="799"/>
    <n v="205"/>
    <n v="594"/>
    <n v="240"/>
    <n v="354"/>
  </r>
  <r>
    <s v="404-9877614-1576316"/>
    <s v="02/02/2023"/>
    <x v="0"/>
    <x v="25"/>
    <x v="1"/>
    <x v="10"/>
    <x v="1"/>
    <s v="BENGALURU"/>
    <x v="5"/>
    <n v="799"/>
    <n v="205"/>
    <n v="594"/>
    <n v="240"/>
    <n v="354"/>
  </r>
  <r>
    <s v="407-9138013-4069969"/>
    <s v="02/02/2023"/>
    <x v="0"/>
    <x v="15"/>
    <x v="1"/>
    <x v="10"/>
    <x v="1"/>
    <s v="Vadodara"/>
    <x v="3"/>
    <n v="849"/>
    <n v="250"/>
    <n v="599"/>
    <n v="240"/>
    <n v="359"/>
  </r>
  <r>
    <s v="171-5576024-6037110"/>
    <s v="02/02/2023"/>
    <x v="0"/>
    <x v="15"/>
    <x v="1"/>
    <x v="10"/>
    <x v="1"/>
    <s v="BENGALURU"/>
    <x v="5"/>
    <n v="849"/>
    <n v="250"/>
    <n v="599"/>
    <n v="240"/>
    <n v="359"/>
  </r>
  <r>
    <s v="404-1891824-6533915"/>
    <s v="02/02/2023"/>
    <x v="0"/>
    <x v="187"/>
    <x v="1"/>
    <x v="10"/>
    <x v="1"/>
    <s v="MOTIHARI"/>
    <x v="0"/>
    <n v="799"/>
    <n v="205"/>
    <n v="594"/>
    <n v="240"/>
    <n v="354"/>
  </r>
  <r>
    <s v="404-4168978-0842749"/>
    <s v="02/02/2023"/>
    <x v="0"/>
    <x v="80"/>
    <x v="1"/>
    <x v="10"/>
    <x v="1"/>
    <s v="REASI"/>
    <x v="31"/>
    <n v="899"/>
    <n v="295"/>
    <n v="604"/>
    <n v="240"/>
    <n v="364"/>
  </r>
  <r>
    <s v="403-2540108-9268366"/>
    <s v="02/02/2023"/>
    <x v="0"/>
    <x v="25"/>
    <x v="1"/>
    <x v="10"/>
    <x v="1"/>
    <s v="PATNA"/>
    <x v="0"/>
    <n v="799"/>
    <n v="205"/>
    <n v="594"/>
    <n v="240"/>
    <n v="354"/>
  </r>
  <r>
    <s v="402-5916182-4633128"/>
    <s v="02/02/2023"/>
    <x v="0"/>
    <x v="177"/>
    <x v="1"/>
    <x v="10"/>
    <x v="1"/>
    <s v="HYDERABAD"/>
    <x v="8"/>
    <n v="799"/>
    <n v="205"/>
    <n v="594"/>
    <n v="240"/>
    <n v="354"/>
  </r>
  <r>
    <s v="402-1163525-0670731"/>
    <s v="03/02/2023"/>
    <x v="2"/>
    <x v="133"/>
    <x v="2"/>
    <x v="10"/>
    <x v="1"/>
    <s v="Anand"/>
    <x v="3"/>
    <n v="0"/>
    <n v="0"/>
    <n v="0"/>
    <n v="0"/>
    <n v="0"/>
  </r>
  <r>
    <s v="407-6894076-0655504"/>
    <s v="03/02/2023"/>
    <x v="2"/>
    <x v="178"/>
    <x v="2"/>
    <x v="10"/>
    <x v="1"/>
    <s v="karumathampatty"/>
    <x v="7"/>
    <n v="0"/>
    <n v="0"/>
    <n v="0"/>
    <n v="0"/>
    <n v="0"/>
  </r>
  <r>
    <s v="171-9471110-1565920"/>
    <s v="01/02/2023"/>
    <x v="0"/>
    <x v="205"/>
    <x v="0"/>
    <x v="10"/>
    <x v="1"/>
    <s v="BHALWAL"/>
    <x v="31"/>
    <n v="799"/>
    <n v="205"/>
    <n v="594"/>
    <n v="240"/>
    <n v="354"/>
  </r>
  <r>
    <s v="408-7323729-9901942"/>
    <s v="03/02/2023"/>
    <x v="0"/>
    <x v="121"/>
    <x v="2"/>
    <x v="10"/>
    <x v="1"/>
    <s v="GORAKHPUR"/>
    <x v="1"/>
    <n v="799"/>
    <n v="205"/>
    <n v="594"/>
    <n v="240"/>
    <n v="354"/>
  </r>
  <r>
    <s v="405-6882771-9853150"/>
    <s v="03/02/2023"/>
    <x v="0"/>
    <x v="136"/>
    <x v="2"/>
    <x v="10"/>
    <x v="1"/>
    <s v="SANAND"/>
    <x v="3"/>
    <n v="849"/>
    <n v="250"/>
    <n v="599"/>
    <n v="240"/>
    <n v="359"/>
  </r>
  <r>
    <s v="402-1163525-0670731"/>
    <s v="03/02/2023"/>
    <x v="0"/>
    <x v="133"/>
    <x v="2"/>
    <x v="10"/>
    <x v="1"/>
    <s v="Anand"/>
    <x v="3"/>
    <n v="799"/>
    <n v="205"/>
    <n v="594"/>
    <n v="240"/>
    <n v="354"/>
  </r>
  <r>
    <s v="408-5558099-9471527"/>
    <s v="03/02/2023"/>
    <x v="0"/>
    <x v="88"/>
    <x v="2"/>
    <x v="10"/>
    <x v="1"/>
    <s v="NEW DELHI"/>
    <x v="16"/>
    <n v="899"/>
    <n v="295"/>
    <n v="604"/>
    <n v="240"/>
    <n v="364"/>
  </r>
  <r>
    <s v="405-5581627-8384335"/>
    <s v="03/02/2023"/>
    <x v="0"/>
    <x v="15"/>
    <x v="2"/>
    <x v="10"/>
    <x v="1"/>
    <s v="JAIPUR"/>
    <x v="10"/>
    <n v="849"/>
    <n v="250"/>
    <n v="599"/>
    <n v="240"/>
    <n v="359"/>
  </r>
  <r>
    <s v="403-4333416-2434738"/>
    <s v="04/02/2023"/>
    <x v="0"/>
    <x v="98"/>
    <x v="3"/>
    <x v="10"/>
    <x v="1"/>
    <s v="NEW DELHI"/>
    <x v="16"/>
    <n v="899"/>
    <n v="295"/>
    <n v="604"/>
    <n v="240"/>
    <n v="364"/>
  </r>
  <r>
    <s v="402-3885625-6175502"/>
    <s v="03/02/2023"/>
    <x v="0"/>
    <x v="229"/>
    <x v="2"/>
    <x v="10"/>
    <x v="1"/>
    <s v="Doomdooma TINSUKIA DISTRICT"/>
    <x v="4"/>
    <n v="799"/>
    <n v="205"/>
    <n v="594"/>
    <n v="240"/>
    <n v="354"/>
  </r>
  <r>
    <s v="403-5848610-8901112"/>
    <s v="03/02/2023"/>
    <x v="0"/>
    <x v="98"/>
    <x v="2"/>
    <x v="10"/>
    <x v="1"/>
    <s v="GANGAIKONDAN TIRUNELVELI DISTRICT"/>
    <x v="7"/>
    <n v="899"/>
    <n v="295"/>
    <n v="604"/>
    <n v="240"/>
    <n v="364"/>
  </r>
  <r>
    <s v="402-2330392-1784306"/>
    <s v="03/02/2023"/>
    <x v="0"/>
    <x v="86"/>
    <x v="2"/>
    <x v="10"/>
    <x v="1"/>
    <s v="CHENNAI"/>
    <x v="7"/>
    <n v="899"/>
    <n v="295"/>
    <n v="604"/>
    <n v="240"/>
    <n v="364"/>
  </r>
  <r>
    <s v="408-1527338-1886763"/>
    <s v="03/02/2023"/>
    <x v="0"/>
    <x v="25"/>
    <x v="2"/>
    <x v="10"/>
    <x v="1"/>
    <s v="VADODARA"/>
    <x v="3"/>
    <n v="799"/>
    <n v="205"/>
    <n v="594"/>
    <n v="240"/>
    <n v="354"/>
  </r>
  <r>
    <s v="408-2574398-0153143"/>
    <s v="03/02/2023"/>
    <x v="0"/>
    <x v="6"/>
    <x v="2"/>
    <x v="10"/>
    <x v="1"/>
    <s v="MANGALURU"/>
    <x v="5"/>
    <n v="899"/>
    <n v="295"/>
    <n v="604"/>
    <n v="240"/>
    <n v="364"/>
  </r>
  <r>
    <s v="171-2659718-7578743"/>
    <s v="03/02/2023"/>
    <x v="0"/>
    <x v="189"/>
    <x v="2"/>
    <x v="10"/>
    <x v="1"/>
    <s v="NEW DELHI"/>
    <x v="16"/>
    <n v="799"/>
    <n v="205"/>
    <n v="594"/>
    <n v="240"/>
    <n v="354"/>
  </r>
  <r>
    <s v="406-0203327-1679553"/>
    <s v="03/02/2023"/>
    <x v="0"/>
    <x v="121"/>
    <x v="2"/>
    <x v="10"/>
    <x v="1"/>
    <s v="JAGTIAL"/>
    <x v="8"/>
    <n v="799"/>
    <n v="205"/>
    <n v="594"/>
    <n v="240"/>
    <n v="354"/>
  </r>
  <r>
    <s v="406-7186877-6118700"/>
    <s v="03/02/2023"/>
    <x v="0"/>
    <x v="176"/>
    <x v="2"/>
    <x v="10"/>
    <x v="1"/>
    <s v="ARRAH"/>
    <x v="0"/>
    <n v="899"/>
    <n v="295"/>
    <n v="604"/>
    <n v="240"/>
    <n v="364"/>
  </r>
  <r>
    <s v="408-6750902-1570756"/>
    <s v="03/02/2023"/>
    <x v="0"/>
    <x v="15"/>
    <x v="2"/>
    <x v="10"/>
    <x v="1"/>
    <s v="CHAKAN"/>
    <x v="6"/>
    <n v="849"/>
    <n v="250"/>
    <n v="599"/>
    <n v="240"/>
    <n v="359"/>
  </r>
  <r>
    <s v="405-3651471-0388346"/>
    <s v="03/02/2023"/>
    <x v="0"/>
    <x v="15"/>
    <x v="2"/>
    <x v="10"/>
    <x v="1"/>
    <s v="MUMBAI"/>
    <x v="6"/>
    <n v="849"/>
    <n v="250"/>
    <n v="599"/>
    <n v="240"/>
    <n v="359"/>
  </r>
  <r>
    <s v="404-2899301-0201168"/>
    <s v="03/02/2023"/>
    <x v="0"/>
    <x v="299"/>
    <x v="2"/>
    <x v="10"/>
    <x v="1"/>
    <s v="BENGALURU"/>
    <x v="5"/>
    <n v="799"/>
    <n v="205"/>
    <n v="594"/>
    <n v="240"/>
    <n v="354"/>
  </r>
  <r>
    <s v="402-3747087-0465903"/>
    <s v="03/02/2023"/>
    <x v="0"/>
    <x v="95"/>
    <x v="2"/>
    <x v="10"/>
    <x v="1"/>
    <s v="KANPUR"/>
    <x v="1"/>
    <n v="899"/>
    <n v="295"/>
    <n v="604"/>
    <n v="240"/>
    <n v="364"/>
  </r>
  <r>
    <s v="405-2937125-8103538"/>
    <s v="03/02/2023"/>
    <x v="0"/>
    <x v="241"/>
    <x v="2"/>
    <x v="10"/>
    <x v="1"/>
    <s v="CHENNAI"/>
    <x v="7"/>
    <n v="799"/>
    <n v="205"/>
    <n v="594"/>
    <n v="240"/>
    <n v="354"/>
  </r>
  <r>
    <s v="405-2937125-8103538"/>
    <s v="03/02/2023"/>
    <x v="0"/>
    <x v="31"/>
    <x v="2"/>
    <x v="10"/>
    <x v="1"/>
    <s v="CHENNAI"/>
    <x v="7"/>
    <n v="799"/>
    <n v="205"/>
    <n v="594"/>
    <n v="240"/>
    <n v="354"/>
  </r>
  <r>
    <s v="404-0291692-1208322"/>
    <s v="03/02/2023"/>
    <x v="0"/>
    <x v="6"/>
    <x v="2"/>
    <x v="10"/>
    <x v="1"/>
    <s v="BIKRAMGANJ"/>
    <x v="0"/>
    <n v="899"/>
    <n v="295"/>
    <n v="604"/>
    <n v="240"/>
    <n v="364"/>
  </r>
  <r>
    <s v="408-6027370-9533960"/>
    <s v="03/02/2023"/>
    <x v="0"/>
    <x v="133"/>
    <x v="2"/>
    <x v="10"/>
    <x v="1"/>
    <s v="RANCHI"/>
    <x v="11"/>
    <n v="799"/>
    <n v="205"/>
    <n v="594"/>
    <n v="240"/>
    <n v="354"/>
  </r>
  <r>
    <s v="403-3789766-0743523"/>
    <s v="03/02/2023"/>
    <x v="0"/>
    <x v="95"/>
    <x v="2"/>
    <x v="10"/>
    <x v="1"/>
    <s v="Edappaly  kochi"/>
    <x v="9"/>
    <n v="899"/>
    <n v="295"/>
    <n v="604"/>
    <n v="240"/>
    <n v="364"/>
  </r>
  <r>
    <s v="405-6262449-0665929"/>
    <s v="03/02/2023"/>
    <x v="0"/>
    <x v="31"/>
    <x v="2"/>
    <x v="10"/>
    <x v="1"/>
    <s v="CHENNAI"/>
    <x v="7"/>
    <n v="799"/>
    <n v="205"/>
    <n v="594"/>
    <n v="240"/>
    <n v="354"/>
  </r>
  <r>
    <s v="406-2274030-9973107"/>
    <s v="03/02/2023"/>
    <x v="0"/>
    <x v="44"/>
    <x v="2"/>
    <x v="10"/>
    <x v="1"/>
    <s v="KOTA"/>
    <x v="10"/>
    <n v="899"/>
    <n v="295"/>
    <n v="604"/>
    <n v="240"/>
    <n v="364"/>
  </r>
  <r>
    <s v="403-4409211-2811521"/>
    <s v="03/02/2023"/>
    <x v="0"/>
    <x v="88"/>
    <x v="2"/>
    <x v="10"/>
    <x v="1"/>
    <s v="Dombivali East"/>
    <x v="6"/>
    <n v="899"/>
    <n v="295"/>
    <n v="604"/>
    <n v="240"/>
    <n v="364"/>
  </r>
  <r>
    <s v="407-8464838-1839519"/>
    <s v="03/02/2023"/>
    <x v="0"/>
    <x v="80"/>
    <x v="2"/>
    <x v="10"/>
    <x v="1"/>
    <s v="PALIA KALAN"/>
    <x v="1"/>
    <n v="899"/>
    <n v="295"/>
    <n v="604"/>
    <n v="240"/>
    <n v="364"/>
  </r>
  <r>
    <s v="408-0574618-8188334"/>
    <s v="04/02/2023"/>
    <x v="2"/>
    <x v="18"/>
    <x v="3"/>
    <x v="10"/>
    <x v="1"/>
    <s v="ADILABAD"/>
    <x v="8"/>
    <n v="0"/>
    <n v="0"/>
    <n v="0"/>
    <n v="0"/>
    <n v="0"/>
  </r>
  <r>
    <s v="408-0430218-2920352"/>
    <s v="02/02/2023"/>
    <x v="3"/>
    <x v="241"/>
    <x v="1"/>
    <x v="10"/>
    <x v="1"/>
    <s v="MUMBAI"/>
    <x v="6"/>
    <n v="-799"/>
    <n v="320"/>
    <n v="-479"/>
    <n v="240"/>
    <n v="-239"/>
  </r>
  <r>
    <s v="407-2273551-5158709"/>
    <s v="02/02/2023"/>
    <x v="3"/>
    <x v="64"/>
    <x v="1"/>
    <x v="10"/>
    <x v="1"/>
    <s v="JAIPUR"/>
    <x v="10"/>
    <n v="-799"/>
    <n v="320"/>
    <n v="-479"/>
    <n v="240"/>
    <n v="-239"/>
  </r>
  <r>
    <s v="402-6764741-3575509"/>
    <s v="01/02/2023"/>
    <x v="3"/>
    <x v="237"/>
    <x v="0"/>
    <x v="10"/>
    <x v="1"/>
    <s v="GUWAHATI"/>
    <x v="4"/>
    <n v="-799"/>
    <n v="320"/>
    <n v="-479"/>
    <n v="240"/>
    <n v="-239"/>
  </r>
  <r>
    <s v="407-7344193-8085165"/>
    <s v="06/02/2023"/>
    <x v="2"/>
    <x v="136"/>
    <x v="5"/>
    <x v="10"/>
    <x v="1"/>
    <s v="MUMBAI"/>
    <x v="6"/>
    <n v="0"/>
    <n v="0"/>
    <n v="0"/>
    <n v="0"/>
    <n v="0"/>
  </r>
  <r>
    <s v="406-1790722-7027534"/>
    <s v="05/02/2023"/>
    <x v="0"/>
    <x v="68"/>
    <x v="4"/>
    <x v="10"/>
    <x v="1"/>
    <s v="GURUGRAM"/>
    <x v="15"/>
    <n v="799"/>
    <n v="205"/>
    <n v="594"/>
    <n v="240"/>
    <n v="354"/>
  </r>
  <r>
    <s v="406-6717569-1690706"/>
    <s v="05/02/2023"/>
    <x v="0"/>
    <x v="237"/>
    <x v="4"/>
    <x v="10"/>
    <x v="1"/>
    <s v="RUDRAPUR"/>
    <x v="24"/>
    <n v="799"/>
    <n v="205"/>
    <n v="594"/>
    <n v="240"/>
    <n v="354"/>
  </r>
  <r>
    <s v="408-6468232-2112321"/>
    <s v="04/02/2023"/>
    <x v="0"/>
    <x v="15"/>
    <x v="3"/>
    <x v="10"/>
    <x v="1"/>
    <s v="Ballia"/>
    <x v="1"/>
    <n v="849"/>
    <n v="250"/>
    <n v="599"/>
    <n v="240"/>
    <n v="359"/>
  </r>
  <r>
    <s v="403-9860611-9190765"/>
    <s v="05/02/2023"/>
    <x v="0"/>
    <x v="239"/>
    <x v="4"/>
    <x v="10"/>
    <x v="1"/>
    <s v="Chas"/>
    <x v="11"/>
    <n v="799"/>
    <n v="205"/>
    <n v="594"/>
    <n v="240"/>
    <n v="354"/>
  </r>
  <r>
    <s v="408-9631111-7997169"/>
    <s v="05/02/2023"/>
    <x v="0"/>
    <x v="200"/>
    <x v="4"/>
    <x v="10"/>
    <x v="1"/>
    <s v="KANCHEEPURAM"/>
    <x v="7"/>
    <n v="999"/>
    <n v="325"/>
    <n v="674"/>
    <n v="240"/>
    <n v="434"/>
  </r>
  <r>
    <s v="405-0909651-1757960"/>
    <s v="04/02/2023"/>
    <x v="0"/>
    <x v="80"/>
    <x v="3"/>
    <x v="10"/>
    <x v="1"/>
    <s v="CHENNAI"/>
    <x v="7"/>
    <n v="899"/>
    <n v="295"/>
    <n v="604"/>
    <n v="240"/>
    <n v="364"/>
  </r>
  <r>
    <s v="406-8718925-3085139"/>
    <s v="05/02/2023"/>
    <x v="0"/>
    <x v="76"/>
    <x v="4"/>
    <x v="10"/>
    <x v="1"/>
    <s v="AMBUR"/>
    <x v="7"/>
    <n v="799"/>
    <n v="205"/>
    <n v="594"/>
    <n v="240"/>
    <n v="354"/>
  </r>
  <r>
    <s v="404-7049006-2631564"/>
    <s v="05/02/2023"/>
    <x v="0"/>
    <x v="31"/>
    <x v="4"/>
    <x v="10"/>
    <x v="1"/>
    <s v="HYDERABAD"/>
    <x v="8"/>
    <n v="799"/>
    <n v="205"/>
    <n v="594"/>
    <n v="240"/>
    <n v="354"/>
  </r>
  <r>
    <s v="406-6118156-3093913"/>
    <s v="05/02/2023"/>
    <x v="0"/>
    <x v="68"/>
    <x v="4"/>
    <x v="10"/>
    <x v="1"/>
    <s v="SANCHORE"/>
    <x v="10"/>
    <n v="799"/>
    <n v="205"/>
    <n v="594"/>
    <n v="240"/>
    <n v="354"/>
  </r>
  <r>
    <s v="403-4550252-8533129"/>
    <s v="05/02/2023"/>
    <x v="0"/>
    <x v="139"/>
    <x v="4"/>
    <x v="10"/>
    <x v="1"/>
    <s v="GHAZIABAD"/>
    <x v="1"/>
    <n v="799"/>
    <n v="205"/>
    <n v="594"/>
    <n v="240"/>
    <n v="354"/>
  </r>
  <r>
    <s v="407-7405896-9039526"/>
    <s v="05/02/2023"/>
    <x v="0"/>
    <x v="25"/>
    <x v="4"/>
    <x v="10"/>
    <x v="1"/>
    <s v="DELLHI"/>
    <x v="16"/>
    <n v="799"/>
    <n v="205"/>
    <n v="594"/>
    <n v="240"/>
    <n v="354"/>
  </r>
  <r>
    <s v="408-1228858-6253933"/>
    <s v="05/02/2023"/>
    <x v="0"/>
    <x v="200"/>
    <x v="4"/>
    <x v="10"/>
    <x v="1"/>
    <s v="SHIVAMOGGA"/>
    <x v="5"/>
    <n v="999"/>
    <n v="325"/>
    <n v="674"/>
    <n v="240"/>
    <n v="434"/>
  </r>
  <r>
    <s v="403-9332839-6513968"/>
    <s v="05/02/2023"/>
    <x v="0"/>
    <x v="166"/>
    <x v="4"/>
    <x v="10"/>
    <x v="1"/>
    <s v="Chas"/>
    <x v="11"/>
    <n v="849"/>
    <n v="250"/>
    <n v="599"/>
    <n v="240"/>
    <n v="359"/>
  </r>
  <r>
    <s v="403-2257184-9317907"/>
    <s v="04/02/2023"/>
    <x v="0"/>
    <x v="85"/>
    <x v="3"/>
    <x v="10"/>
    <x v="1"/>
    <s v="KOTPUTLI"/>
    <x v="10"/>
    <n v="799"/>
    <n v="205"/>
    <n v="594"/>
    <n v="240"/>
    <n v="354"/>
  </r>
  <r>
    <s v="402-1237737-7259507"/>
    <s v="05/02/2023"/>
    <x v="0"/>
    <x v="88"/>
    <x v="4"/>
    <x v="10"/>
    <x v="1"/>
    <s v="RAIPUR"/>
    <x v="20"/>
    <n v="899"/>
    <n v="295"/>
    <n v="604"/>
    <n v="240"/>
    <n v="364"/>
  </r>
  <r>
    <s v="403-9274569-3183526"/>
    <s v="05/02/2023"/>
    <x v="0"/>
    <x v="88"/>
    <x v="4"/>
    <x v="10"/>
    <x v="1"/>
    <s v="VARANASI"/>
    <x v="1"/>
    <n v="899"/>
    <n v="295"/>
    <n v="604"/>
    <n v="240"/>
    <n v="364"/>
  </r>
  <r>
    <s v="405-1729719-7841100"/>
    <s v="05/02/2023"/>
    <x v="0"/>
    <x v="25"/>
    <x v="4"/>
    <x v="10"/>
    <x v="1"/>
    <s v="CHANDIGARH"/>
    <x v="33"/>
    <n v="799"/>
    <n v="205"/>
    <n v="594"/>
    <n v="240"/>
    <n v="354"/>
  </r>
  <r>
    <s v="405-6360462-1121929"/>
    <s v="04/02/2023"/>
    <x v="0"/>
    <x v="180"/>
    <x v="3"/>
    <x v="10"/>
    <x v="1"/>
    <s v="ALWAR"/>
    <x v="10"/>
    <n v="799"/>
    <n v="205"/>
    <n v="594"/>
    <n v="240"/>
    <n v="354"/>
  </r>
  <r>
    <s v="404-6393455-0858731"/>
    <s v="05/02/2023"/>
    <x v="0"/>
    <x v="88"/>
    <x v="4"/>
    <x v="10"/>
    <x v="1"/>
    <s v="GURUGRAM"/>
    <x v="15"/>
    <n v="899"/>
    <n v="295"/>
    <n v="604"/>
    <n v="240"/>
    <n v="364"/>
  </r>
  <r>
    <s v="405-9194692-2542739"/>
    <s v="05/02/2023"/>
    <x v="0"/>
    <x v="95"/>
    <x v="4"/>
    <x v="10"/>
    <x v="1"/>
    <s v="Medinipur"/>
    <x v="18"/>
    <n v="899"/>
    <n v="295"/>
    <n v="604"/>
    <n v="240"/>
    <n v="364"/>
  </r>
  <r>
    <s v="402-6323233-8148326"/>
    <s v="04/02/2023"/>
    <x v="0"/>
    <x v="81"/>
    <x v="3"/>
    <x v="10"/>
    <x v="1"/>
    <s v="KHERI"/>
    <x v="1"/>
    <n v="799"/>
    <n v="205"/>
    <n v="594"/>
    <n v="240"/>
    <n v="354"/>
  </r>
  <r>
    <s v="402-6508959-9827529"/>
    <s v="04/02/2023"/>
    <x v="0"/>
    <x v="81"/>
    <x v="3"/>
    <x v="10"/>
    <x v="1"/>
    <s v="SHORANUR"/>
    <x v="9"/>
    <n v="799"/>
    <n v="205"/>
    <n v="594"/>
    <n v="240"/>
    <n v="354"/>
  </r>
  <r>
    <s v="171-6875566-1243514"/>
    <s v="04/02/2023"/>
    <x v="0"/>
    <x v="164"/>
    <x v="3"/>
    <x v="10"/>
    <x v="1"/>
    <s v="JAIPUR"/>
    <x v="10"/>
    <n v="849"/>
    <n v="250"/>
    <n v="599"/>
    <n v="240"/>
    <n v="359"/>
  </r>
  <r>
    <s v="404-9143520-3048318"/>
    <s v="04/02/2023"/>
    <x v="0"/>
    <x v="133"/>
    <x v="3"/>
    <x v="10"/>
    <x v="1"/>
    <s v="DIMAPUR"/>
    <x v="17"/>
    <n v="799"/>
    <n v="205"/>
    <n v="594"/>
    <n v="240"/>
    <n v="354"/>
  </r>
  <r>
    <s v="403-0519961-4483538"/>
    <s v="04/02/2023"/>
    <x v="0"/>
    <x v="206"/>
    <x v="3"/>
    <x v="10"/>
    <x v="1"/>
    <s v="KALAVAI"/>
    <x v="7"/>
    <n v="899"/>
    <n v="295"/>
    <n v="604"/>
    <n v="240"/>
    <n v="364"/>
  </r>
  <r>
    <s v="402-5335893-8437117"/>
    <s v="04/02/2023"/>
    <x v="0"/>
    <x v="68"/>
    <x v="3"/>
    <x v="10"/>
    <x v="1"/>
    <s v="JAIPUR"/>
    <x v="10"/>
    <n v="799"/>
    <n v="205"/>
    <n v="594"/>
    <n v="240"/>
    <n v="354"/>
  </r>
  <r>
    <s v="171-0071621-1212318"/>
    <s v="04/02/2023"/>
    <x v="0"/>
    <x v="81"/>
    <x v="3"/>
    <x v="10"/>
    <x v="1"/>
    <s v="DEHRADUN"/>
    <x v="24"/>
    <n v="799"/>
    <n v="205"/>
    <n v="594"/>
    <n v="240"/>
    <n v="354"/>
  </r>
  <r>
    <s v="171-8619159-9923534"/>
    <s v="04/02/2023"/>
    <x v="0"/>
    <x v="193"/>
    <x v="3"/>
    <x v="10"/>
    <x v="1"/>
    <s v="HYDERABAD"/>
    <x v="8"/>
    <n v="799"/>
    <n v="205"/>
    <n v="594"/>
    <n v="240"/>
    <n v="354"/>
  </r>
  <r>
    <s v="402-9298652-7789129"/>
    <s v="04/02/2023"/>
    <x v="0"/>
    <x v="88"/>
    <x v="3"/>
    <x v="10"/>
    <x v="1"/>
    <s v="MUMBAI"/>
    <x v="6"/>
    <n v="899"/>
    <n v="295"/>
    <n v="604"/>
    <n v="240"/>
    <n v="364"/>
  </r>
  <r>
    <s v="404-0536591-4825905"/>
    <s v="04/02/2023"/>
    <x v="0"/>
    <x v="206"/>
    <x v="3"/>
    <x v="10"/>
    <x v="1"/>
    <s v="PHAGWARA"/>
    <x v="26"/>
    <n v="899"/>
    <n v="295"/>
    <n v="604"/>
    <n v="240"/>
    <n v="364"/>
  </r>
  <r>
    <s v="406-1238515-3746746"/>
    <s v="01/02/2023"/>
    <x v="3"/>
    <x v="124"/>
    <x v="0"/>
    <x v="10"/>
    <x v="1"/>
    <s v="NOIDA"/>
    <x v="1"/>
    <n v="-999"/>
    <n v="395"/>
    <n v="-604"/>
    <n v="240"/>
    <n v="-364"/>
  </r>
  <r>
    <s v="403-1348411-6817157"/>
    <s v="06/02/2023"/>
    <x v="2"/>
    <x v="52"/>
    <x v="5"/>
    <x v="10"/>
    <x v="1"/>
    <s v="SRIVILLIPUTHUR"/>
    <x v="7"/>
    <n v="0"/>
    <n v="0"/>
    <n v="0"/>
    <n v="0"/>
    <n v="0"/>
  </r>
  <r>
    <s v="403-9407135-6365126"/>
    <s v="07/02/2023"/>
    <x v="2"/>
    <x v="184"/>
    <x v="7"/>
    <x v="10"/>
    <x v="1"/>
    <s v="SIPCOT INDUSTRIAL PARK SRIPRUMBUDUR"/>
    <x v="7"/>
    <n v="0"/>
    <n v="0"/>
    <n v="0"/>
    <n v="0"/>
    <n v="0"/>
  </r>
  <r>
    <s v="402-4360266-8841104"/>
    <s v="06/02/2023"/>
    <x v="2"/>
    <x v="15"/>
    <x v="5"/>
    <x v="10"/>
    <x v="1"/>
    <s v="TARAKESWAR"/>
    <x v="18"/>
    <n v="0"/>
    <n v="0"/>
    <n v="0"/>
    <n v="0"/>
    <n v="0"/>
  </r>
  <r>
    <s v="402-9880436-5330701"/>
    <s v="01/02/2023"/>
    <x v="3"/>
    <x v="137"/>
    <x v="0"/>
    <x v="10"/>
    <x v="1"/>
    <s v="Mumbai"/>
    <x v="6"/>
    <n v="-849"/>
    <n v="345"/>
    <n v="-504"/>
    <n v="240"/>
    <n v="-264"/>
  </r>
  <r>
    <s v="408-4129622-1285164"/>
    <s v="06/02/2023"/>
    <x v="1"/>
    <x v="164"/>
    <x v="5"/>
    <x v="10"/>
    <x v="1"/>
    <s v="Cuttack"/>
    <x v="14"/>
    <n v="0"/>
    <n v="0"/>
    <n v="0"/>
    <n v="0"/>
    <n v="0"/>
  </r>
  <r>
    <s v="407-2931854-5557117"/>
    <s v="06/02/2023"/>
    <x v="0"/>
    <x v="297"/>
    <x v="5"/>
    <x v="10"/>
    <x v="1"/>
    <s v="HYDERABAD"/>
    <x v="8"/>
    <n v="799"/>
    <n v="205"/>
    <n v="594"/>
    <n v="240"/>
    <n v="354"/>
  </r>
  <r>
    <s v="403-1348411-6817157"/>
    <s v="06/02/2023"/>
    <x v="0"/>
    <x v="52"/>
    <x v="5"/>
    <x v="10"/>
    <x v="1"/>
    <s v="SRIVILLIPUTHUR"/>
    <x v="7"/>
    <n v="899"/>
    <n v="295"/>
    <n v="604"/>
    <n v="240"/>
    <n v="364"/>
  </r>
  <r>
    <s v="406-3092750-9453908"/>
    <s v="06/02/2023"/>
    <x v="0"/>
    <x v="81"/>
    <x v="5"/>
    <x v="10"/>
    <x v="1"/>
    <s v="MOHALI"/>
    <x v="26"/>
    <n v="799"/>
    <n v="205"/>
    <n v="594"/>
    <n v="240"/>
    <n v="354"/>
  </r>
  <r>
    <s v="402-3582184-6166711"/>
    <s v="06/02/2023"/>
    <x v="0"/>
    <x v="164"/>
    <x v="5"/>
    <x v="10"/>
    <x v="1"/>
    <s v="MUMBAI"/>
    <x v="6"/>
    <n v="849"/>
    <n v="250"/>
    <n v="599"/>
    <n v="240"/>
    <n v="359"/>
  </r>
  <r>
    <s v="405-0683255-4627502"/>
    <s v="06/02/2023"/>
    <x v="0"/>
    <x v="254"/>
    <x v="5"/>
    <x v="10"/>
    <x v="1"/>
    <s v="HYDERABAD"/>
    <x v="8"/>
    <n v="799"/>
    <n v="205"/>
    <n v="594"/>
    <n v="240"/>
    <n v="354"/>
  </r>
  <r>
    <s v="402-1849519-1238720"/>
    <s v="06/02/2023"/>
    <x v="0"/>
    <x v="195"/>
    <x v="5"/>
    <x v="10"/>
    <x v="1"/>
    <s v="AHMEDABAD"/>
    <x v="3"/>
    <n v="799"/>
    <n v="205"/>
    <n v="594"/>
    <n v="240"/>
    <n v="354"/>
  </r>
  <r>
    <s v="403-9533999-8375550"/>
    <s v="06/02/2023"/>
    <x v="0"/>
    <x v="229"/>
    <x v="5"/>
    <x v="10"/>
    <x v="1"/>
    <s v="CHENNAI"/>
    <x v="7"/>
    <n v="799"/>
    <n v="205"/>
    <n v="594"/>
    <n v="240"/>
    <n v="354"/>
  </r>
  <r>
    <s v="402-2048689-5313937"/>
    <s v="06/02/2023"/>
    <x v="0"/>
    <x v="166"/>
    <x v="5"/>
    <x v="10"/>
    <x v="1"/>
    <s v="BENGALURU"/>
    <x v="5"/>
    <n v="849"/>
    <n v="250"/>
    <n v="599"/>
    <n v="240"/>
    <n v="359"/>
  </r>
  <r>
    <s v="402-1493536-0950759"/>
    <s v="06/02/2023"/>
    <x v="0"/>
    <x v="133"/>
    <x v="5"/>
    <x v="10"/>
    <x v="1"/>
    <s v="MUMBAI"/>
    <x v="6"/>
    <n v="799"/>
    <n v="205"/>
    <n v="594"/>
    <n v="240"/>
    <n v="354"/>
  </r>
  <r>
    <s v="404-7761380-4040329"/>
    <s v="06/02/2023"/>
    <x v="0"/>
    <x v="189"/>
    <x v="5"/>
    <x v="10"/>
    <x v="1"/>
    <s v="Amravati"/>
    <x v="6"/>
    <n v="799"/>
    <n v="205"/>
    <n v="594"/>
    <n v="240"/>
    <n v="354"/>
  </r>
  <r>
    <s v="408-6611999-9529904"/>
    <s v="06/02/2023"/>
    <x v="1"/>
    <x v="164"/>
    <x v="5"/>
    <x v="10"/>
    <x v="1"/>
    <s v="GUDALUR THE NILGIRIS DISTRICT"/>
    <x v="7"/>
    <n v="0"/>
    <n v="0"/>
    <n v="0"/>
    <n v="0"/>
    <n v="0"/>
  </r>
  <r>
    <s v="403-8220269-8842717"/>
    <s v="06/02/2023"/>
    <x v="0"/>
    <x v="143"/>
    <x v="5"/>
    <x v="10"/>
    <x v="1"/>
    <s v="BENGALURU"/>
    <x v="5"/>
    <n v="849"/>
    <n v="250"/>
    <n v="599"/>
    <n v="240"/>
    <n v="359"/>
  </r>
  <r>
    <s v="406-3147437-5524366"/>
    <s v="06/02/2023"/>
    <x v="0"/>
    <x v="88"/>
    <x v="5"/>
    <x v="10"/>
    <x v="1"/>
    <s v="RAMAN MANDI"/>
    <x v="26"/>
    <n v="899"/>
    <n v="295"/>
    <n v="604"/>
    <n v="240"/>
    <n v="364"/>
  </r>
  <r>
    <s v="407-1219055-6944321"/>
    <s v="05/02/2023"/>
    <x v="0"/>
    <x v="25"/>
    <x v="4"/>
    <x v="10"/>
    <x v="1"/>
    <s v="NJARACKAL"/>
    <x v="9"/>
    <n v="799"/>
    <n v="205"/>
    <n v="594"/>
    <n v="240"/>
    <n v="354"/>
  </r>
  <r>
    <s v="407-0626016-7164313"/>
    <s v="06/02/2023"/>
    <x v="0"/>
    <x v="44"/>
    <x v="5"/>
    <x v="10"/>
    <x v="1"/>
    <s v="NEW DELHI"/>
    <x v="16"/>
    <n v="899"/>
    <n v="295"/>
    <n v="604"/>
    <n v="240"/>
    <n v="364"/>
  </r>
  <r>
    <s v="403-3060147-6977144"/>
    <s v="06/02/2023"/>
    <x v="0"/>
    <x v="88"/>
    <x v="5"/>
    <x v="10"/>
    <x v="1"/>
    <s v="Ahmedabad"/>
    <x v="3"/>
    <n v="899"/>
    <n v="295"/>
    <n v="604"/>
    <n v="240"/>
    <n v="364"/>
  </r>
  <r>
    <s v="405-4192772-1280326"/>
    <s v="06/02/2023"/>
    <x v="0"/>
    <x v="269"/>
    <x v="5"/>
    <x v="10"/>
    <x v="1"/>
    <s v="KOTHAMANGALAM"/>
    <x v="9"/>
    <n v="849"/>
    <n v="250"/>
    <n v="599"/>
    <n v="240"/>
    <n v="359"/>
  </r>
  <r>
    <s v="408-5956772-1983569"/>
    <s v="06/02/2023"/>
    <x v="1"/>
    <x v="207"/>
    <x v="5"/>
    <x v="10"/>
    <x v="1"/>
    <s v="NEW DELHI"/>
    <x v="16"/>
    <n v="0"/>
    <n v="0"/>
    <n v="0"/>
    <n v="0"/>
    <n v="0"/>
  </r>
  <r>
    <s v="171-5501159-0594764"/>
    <s v="06/02/2023"/>
    <x v="0"/>
    <x v="98"/>
    <x v="5"/>
    <x v="10"/>
    <x v="1"/>
    <s v="BENGALURU"/>
    <x v="5"/>
    <n v="899"/>
    <n v="295"/>
    <n v="604"/>
    <n v="240"/>
    <n v="364"/>
  </r>
  <r>
    <s v="405-3749624-9057933"/>
    <s v="06/02/2023"/>
    <x v="0"/>
    <x v="252"/>
    <x v="5"/>
    <x v="10"/>
    <x v="1"/>
    <s v="LUCKNOW"/>
    <x v="1"/>
    <n v="799"/>
    <n v="205"/>
    <n v="594"/>
    <n v="240"/>
    <n v="354"/>
  </r>
  <r>
    <s v="405-7311390-3146748"/>
    <s v="06/02/2023"/>
    <x v="0"/>
    <x v="150"/>
    <x v="5"/>
    <x v="10"/>
    <x v="1"/>
    <s v="KATTAPPANA"/>
    <x v="9"/>
    <n v="799"/>
    <n v="205"/>
    <n v="594"/>
    <n v="240"/>
    <n v="354"/>
  </r>
  <r>
    <s v="405-6597070-2448327"/>
    <s v="06/02/2023"/>
    <x v="0"/>
    <x v="68"/>
    <x v="5"/>
    <x v="10"/>
    <x v="1"/>
    <s v="JALANDHAR"/>
    <x v="26"/>
    <n v="799"/>
    <n v="205"/>
    <n v="594"/>
    <n v="240"/>
    <n v="354"/>
  </r>
  <r>
    <s v="404-5489969-6517116"/>
    <s v="06/02/2023"/>
    <x v="0"/>
    <x v="52"/>
    <x v="5"/>
    <x v="10"/>
    <x v="1"/>
    <s v="NEW DELHI"/>
    <x v="16"/>
    <n v="899"/>
    <n v="295"/>
    <n v="604"/>
    <n v="240"/>
    <n v="364"/>
  </r>
  <r>
    <s v="405-8956116-2860300"/>
    <s v="05/02/2023"/>
    <x v="0"/>
    <x v="25"/>
    <x v="4"/>
    <x v="10"/>
    <x v="1"/>
    <s v="VADA"/>
    <x v="6"/>
    <n v="799"/>
    <n v="205"/>
    <n v="594"/>
    <n v="240"/>
    <n v="354"/>
  </r>
  <r>
    <s v="403-4523983-7992356"/>
    <s v="06/02/2023"/>
    <x v="0"/>
    <x v="44"/>
    <x v="5"/>
    <x v="10"/>
    <x v="1"/>
    <s v="MOHALI"/>
    <x v="26"/>
    <n v="899"/>
    <n v="295"/>
    <n v="604"/>
    <n v="240"/>
    <n v="364"/>
  </r>
  <r>
    <s v="408-0938310-9213911"/>
    <s v="06/02/2023"/>
    <x v="0"/>
    <x v="59"/>
    <x v="5"/>
    <x v="10"/>
    <x v="1"/>
    <s v="GANDHINAGAR"/>
    <x v="3"/>
    <n v="899"/>
    <n v="295"/>
    <n v="604"/>
    <n v="240"/>
    <n v="364"/>
  </r>
  <r>
    <s v="406-3433412-6040338"/>
    <s v="06/02/2023"/>
    <x v="0"/>
    <x v="164"/>
    <x v="5"/>
    <x v="10"/>
    <x v="1"/>
    <s v="BENGALURU"/>
    <x v="5"/>
    <n v="849"/>
    <n v="250"/>
    <n v="599"/>
    <n v="240"/>
    <n v="359"/>
  </r>
  <r>
    <s v="403-6295867-4994750"/>
    <s v="06/02/2023"/>
    <x v="0"/>
    <x v="80"/>
    <x v="5"/>
    <x v="10"/>
    <x v="1"/>
    <s v="Jogbani"/>
    <x v="0"/>
    <n v="899"/>
    <n v="295"/>
    <n v="604"/>
    <n v="240"/>
    <n v="364"/>
  </r>
  <r>
    <s v="171-7250390-5832342"/>
    <s v="06/02/2023"/>
    <x v="0"/>
    <x v="107"/>
    <x v="5"/>
    <x v="10"/>
    <x v="1"/>
    <s v="Adilabad"/>
    <x v="8"/>
    <n v="799"/>
    <n v="205"/>
    <n v="594"/>
    <n v="240"/>
    <n v="354"/>
  </r>
  <r>
    <s v="405-9540499-9179519"/>
    <s v="06/02/2023"/>
    <x v="0"/>
    <x v="136"/>
    <x v="5"/>
    <x v="10"/>
    <x v="1"/>
    <s v="VEPPATHUR"/>
    <x v="7"/>
    <n v="849"/>
    <n v="250"/>
    <n v="599"/>
    <n v="240"/>
    <n v="359"/>
  </r>
  <r>
    <s v="403-8372710-0300359"/>
    <s v="06/02/2023"/>
    <x v="0"/>
    <x v="187"/>
    <x v="5"/>
    <x v="10"/>
    <x v="1"/>
    <s v="KHANDAPADA"/>
    <x v="14"/>
    <n v="799"/>
    <n v="205"/>
    <n v="594"/>
    <n v="240"/>
    <n v="354"/>
  </r>
  <r>
    <s v="407-7344193-8085165"/>
    <s v="06/02/2023"/>
    <x v="0"/>
    <x v="136"/>
    <x v="5"/>
    <x v="10"/>
    <x v="1"/>
    <s v="MUMBAI"/>
    <x v="6"/>
    <n v="849"/>
    <n v="250"/>
    <n v="599"/>
    <n v="240"/>
    <n v="359"/>
  </r>
  <r>
    <s v="171-7238670-2974725"/>
    <s v="07/02/2023"/>
    <x v="2"/>
    <x v="300"/>
    <x v="7"/>
    <x v="10"/>
    <x v="1"/>
    <s v="BADAMI"/>
    <x v="5"/>
    <n v="0"/>
    <n v="0"/>
    <n v="0"/>
    <n v="0"/>
    <n v="0"/>
  </r>
  <r>
    <s v="408-4591842-7125164"/>
    <s v="08/02/2023"/>
    <x v="2"/>
    <x v="21"/>
    <x v="6"/>
    <x v="10"/>
    <x v="1"/>
    <s v="AHMEDABAD"/>
    <x v="3"/>
    <n v="0"/>
    <n v="0"/>
    <n v="0"/>
    <n v="0"/>
    <n v="0"/>
  </r>
  <r>
    <s v="406-6619715-4937909"/>
    <s v="07/02/2023"/>
    <x v="0"/>
    <x v="151"/>
    <x v="7"/>
    <x v="10"/>
    <x v="1"/>
    <s v="CHENNAI"/>
    <x v="7"/>
    <n v="799"/>
    <n v="205"/>
    <n v="594"/>
    <n v="240"/>
    <n v="354"/>
  </r>
  <r>
    <s v="402-8793650-4615515"/>
    <s v="07/02/2023"/>
    <x v="0"/>
    <x v="68"/>
    <x v="7"/>
    <x v="10"/>
    <x v="1"/>
    <s v="NOIDA"/>
    <x v="1"/>
    <n v="799"/>
    <n v="205"/>
    <n v="594"/>
    <n v="240"/>
    <n v="354"/>
  </r>
  <r>
    <s v="408-0977613-3884355"/>
    <s v="07/02/2023"/>
    <x v="0"/>
    <x v="44"/>
    <x v="7"/>
    <x v="10"/>
    <x v="1"/>
    <s v="GREATER NOIDA"/>
    <x v="1"/>
    <n v="899"/>
    <n v="295"/>
    <n v="604"/>
    <n v="240"/>
    <n v="364"/>
  </r>
  <r>
    <s v="403-6822509-0641901"/>
    <s v="07/02/2023"/>
    <x v="0"/>
    <x v="177"/>
    <x v="7"/>
    <x v="10"/>
    <x v="1"/>
    <s v="JSW STEEL PLANT TOWNSHIP"/>
    <x v="5"/>
    <n v="799"/>
    <n v="205"/>
    <n v="594"/>
    <n v="240"/>
    <n v="354"/>
  </r>
  <r>
    <s v="406-2464598-4033945"/>
    <s v="07/02/2023"/>
    <x v="0"/>
    <x v="269"/>
    <x v="7"/>
    <x v="10"/>
    <x v="1"/>
    <s v="ONGOLE"/>
    <x v="2"/>
    <n v="849"/>
    <n v="250"/>
    <n v="599"/>
    <n v="240"/>
    <n v="359"/>
  </r>
  <r>
    <s v="403-9597255-0841114"/>
    <s v="07/02/2023"/>
    <x v="0"/>
    <x v="224"/>
    <x v="7"/>
    <x v="10"/>
    <x v="1"/>
    <s v="TIRUCHIRAPPALLI"/>
    <x v="7"/>
    <n v="849"/>
    <n v="250"/>
    <n v="599"/>
    <n v="240"/>
    <n v="359"/>
  </r>
  <r>
    <s v="407-5384667-4896304"/>
    <s v="08/02/2023"/>
    <x v="0"/>
    <x v="129"/>
    <x v="6"/>
    <x v="10"/>
    <x v="1"/>
    <s v="Jattari"/>
    <x v="1"/>
    <n v="799"/>
    <n v="205"/>
    <n v="594"/>
    <n v="240"/>
    <n v="354"/>
  </r>
  <r>
    <s v="403-5340899-1919537"/>
    <s v="07/02/2023"/>
    <x v="0"/>
    <x v="197"/>
    <x v="7"/>
    <x v="10"/>
    <x v="1"/>
    <s v="MUMBAI"/>
    <x v="6"/>
    <n v="849"/>
    <n v="250"/>
    <n v="599"/>
    <n v="240"/>
    <n v="359"/>
  </r>
  <r>
    <s v="402-2682592-6513153"/>
    <s v="07/02/2023"/>
    <x v="0"/>
    <x v="68"/>
    <x v="7"/>
    <x v="10"/>
    <x v="1"/>
    <s v="BAGH"/>
    <x v="13"/>
    <n v="799"/>
    <n v="205"/>
    <n v="594"/>
    <n v="240"/>
    <n v="354"/>
  </r>
  <r>
    <s v="403-9757464-9542750"/>
    <s v="07/02/2023"/>
    <x v="0"/>
    <x v="88"/>
    <x v="7"/>
    <x v="10"/>
    <x v="1"/>
    <s v="SHRIVARDHAN"/>
    <x v="6"/>
    <n v="899"/>
    <n v="295"/>
    <n v="604"/>
    <n v="240"/>
    <n v="364"/>
  </r>
  <r>
    <s v="403-9757464-9542750"/>
    <s v="07/02/2023"/>
    <x v="0"/>
    <x v="98"/>
    <x v="7"/>
    <x v="10"/>
    <x v="1"/>
    <s v="SHRIVARDHAN"/>
    <x v="6"/>
    <n v="899"/>
    <n v="295"/>
    <n v="604"/>
    <n v="240"/>
    <n v="364"/>
  </r>
  <r>
    <s v="406-8233198-7345115"/>
    <s v="08/02/2023"/>
    <x v="0"/>
    <x v="59"/>
    <x v="6"/>
    <x v="10"/>
    <x v="1"/>
    <s v="CHENNAI"/>
    <x v="7"/>
    <n v="899"/>
    <n v="295"/>
    <n v="604"/>
    <n v="240"/>
    <n v="364"/>
  </r>
  <r>
    <s v="407-0585045-3373948"/>
    <s v="07/02/2023"/>
    <x v="0"/>
    <x v="136"/>
    <x v="7"/>
    <x v="10"/>
    <x v="1"/>
    <s v="TIRUCHIRAPPALLI"/>
    <x v="7"/>
    <n v="849"/>
    <n v="250"/>
    <n v="599"/>
    <n v="240"/>
    <n v="359"/>
  </r>
  <r>
    <s v="403-9607181-8084302"/>
    <s v="07/02/2023"/>
    <x v="0"/>
    <x v="31"/>
    <x v="7"/>
    <x v="10"/>
    <x v="1"/>
    <s v="CHANGANACHERRY"/>
    <x v="9"/>
    <n v="799"/>
    <n v="205"/>
    <n v="594"/>
    <n v="240"/>
    <n v="354"/>
  </r>
  <r>
    <s v="403-9407135-6365126"/>
    <s v="07/02/2023"/>
    <x v="0"/>
    <x v="184"/>
    <x v="7"/>
    <x v="10"/>
    <x v="1"/>
    <s v="SIPCOT INDUSTRIAL PARK SRIPRUMBUDUR"/>
    <x v="7"/>
    <n v="849"/>
    <n v="250"/>
    <n v="599"/>
    <n v="240"/>
    <n v="359"/>
  </r>
  <r>
    <s v="408-0182461-0020333"/>
    <s v="07/02/2023"/>
    <x v="0"/>
    <x v="86"/>
    <x v="7"/>
    <x v="10"/>
    <x v="1"/>
    <s v="RAIGARH"/>
    <x v="6"/>
    <n v="899"/>
    <n v="295"/>
    <n v="604"/>
    <n v="240"/>
    <n v="364"/>
  </r>
  <r>
    <s v="407-2410431-9413955"/>
    <s v="07/02/2023"/>
    <x v="0"/>
    <x v="129"/>
    <x v="7"/>
    <x v="10"/>
    <x v="1"/>
    <s v="RAIPUR"/>
    <x v="20"/>
    <n v="799"/>
    <n v="205"/>
    <n v="594"/>
    <n v="240"/>
    <n v="354"/>
  </r>
  <r>
    <s v="404-4384375-4759522"/>
    <s v="07/02/2023"/>
    <x v="0"/>
    <x v="31"/>
    <x v="7"/>
    <x v="10"/>
    <x v="1"/>
    <s v="BHOPAL"/>
    <x v="13"/>
    <n v="799"/>
    <n v="205"/>
    <n v="594"/>
    <n v="240"/>
    <n v="354"/>
  </r>
  <r>
    <s v="407-5604312-5254715"/>
    <s v="07/02/2023"/>
    <x v="0"/>
    <x v="69"/>
    <x v="7"/>
    <x v="10"/>
    <x v="1"/>
    <s v="PATNA"/>
    <x v="0"/>
    <n v="849"/>
    <n v="250"/>
    <n v="599"/>
    <n v="240"/>
    <n v="359"/>
  </r>
  <r>
    <s v="408-2619179-5192310"/>
    <s v="07/02/2023"/>
    <x v="1"/>
    <x v="95"/>
    <x v="7"/>
    <x v="10"/>
    <x v="1"/>
    <s v="PALIA KALAN"/>
    <x v="1"/>
    <n v="0"/>
    <n v="0"/>
    <n v="0"/>
    <n v="0"/>
    <n v="0"/>
  </r>
  <r>
    <s v="402-1757698-5757923"/>
    <s v="07/02/2023"/>
    <x v="0"/>
    <x v="81"/>
    <x v="7"/>
    <x v="10"/>
    <x v="1"/>
    <s v="FARIDKOT"/>
    <x v="26"/>
    <n v="799"/>
    <n v="205"/>
    <n v="594"/>
    <n v="240"/>
    <n v="354"/>
  </r>
  <r>
    <s v="402-7690433-8697955"/>
    <s v="07/02/2023"/>
    <x v="0"/>
    <x v="121"/>
    <x v="7"/>
    <x v="10"/>
    <x v="1"/>
    <s v="AHMEDABAD"/>
    <x v="3"/>
    <n v="799"/>
    <n v="205"/>
    <n v="594"/>
    <n v="240"/>
    <n v="354"/>
  </r>
  <r>
    <s v="405-5783619-8893147"/>
    <s v="07/02/2023"/>
    <x v="0"/>
    <x v="239"/>
    <x v="7"/>
    <x v="10"/>
    <x v="1"/>
    <s v="Mohali"/>
    <x v="26"/>
    <n v="799"/>
    <n v="205"/>
    <n v="594"/>
    <n v="240"/>
    <n v="354"/>
  </r>
  <r>
    <s v="403-0109773-9355508"/>
    <s v="07/02/2023"/>
    <x v="0"/>
    <x v="142"/>
    <x v="7"/>
    <x v="10"/>
    <x v="1"/>
    <s v="NAGPUR"/>
    <x v="6"/>
    <n v="799"/>
    <n v="205"/>
    <n v="594"/>
    <n v="240"/>
    <n v="354"/>
  </r>
  <r>
    <s v="171-7129377-6457936"/>
    <s v="01/02/2023"/>
    <x v="3"/>
    <x v="233"/>
    <x v="0"/>
    <x v="10"/>
    <x v="1"/>
    <s v="KOTHAGUDEM"/>
    <x v="8"/>
    <n v="-849"/>
    <n v="345"/>
    <n v="-504"/>
    <n v="240"/>
    <n v="-264"/>
  </r>
  <r>
    <s v="171-1285463-4843549"/>
    <s v="01/02/2023"/>
    <x v="3"/>
    <x v="12"/>
    <x v="0"/>
    <x v="10"/>
    <x v="1"/>
    <s v="JODHPUR"/>
    <x v="10"/>
    <n v="-849"/>
    <n v="345"/>
    <n v="-504"/>
    <n v="240"/>
    <n v="-264"/>
  </r>
  <r>
    <s v="405-4826163-6113154"/>
    <s v="07/02/2023"/>
    <x v="0"/>
    <x v="68"/>
    <x v="7"/>
    <x v="10"/>
    <x v="1"/>
    <s v="GOLA GOKARANNATH"/>
    <x v="1"/>
    <n v="799"/>
    <n v="205"/>
    <n v="594"/>
    <n v="240"/>
    <n v="354"/>
  </r>
  <r>
    <s v="407-4972176-6446732"/>
    <s v="07/02/2023"/>
    <x v="0"/>
    <x v="80"/>
    <x v="7"/>
    <x v="10"/>
    <x v="1"/>
    <s v="BENGALURU"/>
    <x v="5"/>
    <n v="899"/>
    <n v="295"/>
    <n v="604"/>
    <n v="240"/>
    <n v="364"/>
  </r>
  <r>
    <s v="405-0823533-1370754"/>
    <s v="08/02/2023"/>
    <x v="2"/>
    <x v="158"/>
    <x v="6"/>
    <x v="10"/>
    <x v="1"/>
    <s v="Haroa"/>
    <x v="18"/>
    <n v="0"/>
    <n v="0"/>
    <n v="0"/>
    <n v="0"/>
    <n v="0"/>
  </r>
  <r>
    <s v="171-5473023-5971538"/>
    <s v="02/02/2023"/>
    <x v="3"/>
    <x v="234"/>
    <x v="1"/>
    <x v="10"/>
    <x v="1"/>
    <s v="LUDHIANA"/>
    <x v="26"/>
    <n v="-799"/>
    <n v="320"/>
    <n v="-479"/>
    <n v="240"/>
    <n v="-239"/>
  </r>
  <r>
    <s v="403-4523983-7992356"/>
    <s v="06/02/2023"/>
    <x v="3"/>
    <x v="44"/>
    <x v="5"/>
    <x v="10"/>
    <x v="1"/>
    <s v="MOHALI"/>
    <x v="26"/>
    <n v="-899"/>
    <n v="375"/>
    <n v="-524"/>
    <n v="240"/>
    <n v="-284"/>
  </r>
  <r>
    <s v="403-0078345-2337119"/>
    <s v="08/02/2023"/>
    <x v="2"/>
    <x v="88"/>
    <x v="6"/>
    <x v="10"/>
    <x v="1"/>
    <s v="KODAIKANAL"/>
    <x v="7"/>
    <n v="0"/>
    <n v="0"/>
    <n v="0"/>
    <n v="0"/>
    <n v="0"/>
  </r>
  <r>
    <s v="403-4550252-8533129"/>
    <s v="05/02/2023"/>
    <x v="3"/>
    <x v="139"/>
    <x v="4"/>
    <x v="10"/>
    <x v="1"/>
    <s v="GHAZIABAD"/>
    <x v="1"/>
    <n v="-799"/>
    <n v="320"/>
    <n v="-479"/>
    <n v="240"/>
    <n v="-239"/>
  </r>
  <r>
    <s v="405-2881671-9635518"/>
    <s v="08/02/2023"/>
    <x v="0"/>
    <x v="248"/>
    <x v="6"/>
    <x v="10"/>
    <x v="1"/>
    <s v="BIKAPUR"/>
    <x v="1"/>
    <n v="799"/>
    <n v="205"/>
    <n v="594"/>
    <n v="240"/>
    <n v="354"/>
  </r>
  <r>
    <s v="408-5307692-9665141"/>
    <s v="08/02/2023"/>
    <x v="0"/>
    <x v="207"/>
    <x v="6"/>
    <x v="10"/>
    <x v="1"/>
    <s v="ETTAYAPURAM"/>
    <x v="7"/>
    <n v="799"/>
    <n v="205"/>
    <n v="594"/>
    <n v="240"/>
    <n v="354"/>
  </r>
  <r>
    <s v="405-9928926-8992369"/>
    <s v="08/02/2023"/>
    <x v="0"/>
    <x v="153"/>
    <x v="6"/>
    <x v="10"/>
    <x v="1"/>
    <s v="RANCHI"/>
    <x v="11"/>
    <n v="799"/>
    <n v="205"/>
    <n v="594"/>
    <n v="240"/>
    <n v="354"/>
  </r>
  <r>
    <s v="408-9768204-0945131"/>
    <s v="08/02/2023"/>
    <x v="1"/>
    <x v="299"/>
    <x v="6"/>
    <x v="10"/>
    <x v="1"/>
    <s v="BENGALURU"/>
    <x v="5"/>
    <n v="0"/>
    <n v="0"/>
    <n v="0"/>
    <n v="0"/>
    <n v="0"/>
  </r>
  <r>
    <s v="405-5449661-5474722"/>
    <s v="08/02/2023"/>
    <x v="0"/>
    <x v="246"/>
    <x v="6"/>
    <x v="10"/>
    <x v="1"/>
    <s v="VADODARA"/>
    <x v="3"/>
    <n v="799"/>
    <n v="205"/>
    <n v="594"/>
    <n v="240"/>
    <n v="354"/>
  </r>
  <r>
    <s v="403-3084747-7129144"/>
    <s v="08/02/2023"/>
    <x v="0"/>
    <x v="68"/>
    <x v="6"/>
    <x v="10"/>
    <x v="1"/>
    <s v="CHENNAI"/>
    <x v="7"/>
    <n v="799"/>
    <n v="205"/>
    <n v="594"/>
    <n v="240"/>
    <n v="354"/>
  </r>
  <r>
    <s v="406-9714365-2639511"/>
    <s v="08/02/2023"/>
    <x v="0"/>
    <x v="301"/>
    <x v="6"/>
    <x v="10"/>
    <x v="1"/>
    <s v="MUMBAI"/>
    <x v="6"/>
    <n v="849"/>
    <n v="250"/>
    <n v="599"/>
    <n v="240"/>
    <n v="359"/>
  </r>
  <r>
    <s v="403-4955277-0886757"/>
    <s v="08/02/2023"/>
    <x v="0"/>
    <x v="150"/>
    <x v="6"/>
    <x v="10"/>
    <x v="1"/>
    <s v="Pollachi"/>
    <x v="7"/>
    <n v="799"/>
    <n v="205"/>
    <n v="594"/>
    <n v="240"/>
    <n v="354"/>
  </r>
  <r>
    <s v="406-3484152-0899560"/>
    <s v="08/02/2023"/>
    <x v="0"/>
    <x v="177"/>
    <x v="6"/>
    <x v="10"/>
    <x v="1"/>
    <s v="NOIDA"/>
    <x v="1"/>
    <n v="799"/>
    <n v="205"/>
    <n v="594"/>
    <n v="240"/>
    <n v="354"/>
  </r>
  <r>
    <s v="408-3149486-6386705"/>
    <s v="08/02/2023"/>
    <x v="1"/>
    <x v="69"/>
    <x v="6"/>
    <x v="10"/>
    <x v="1"/>
    <s v="GHAZIABAD"/>
    <x v="1"/>
    <n v="0"/>
    <n v="0"/>
    <n v="0"/>
    <n v="0"/>
    <n v="0"/>
  </r>
  <r>
    <s v="407-0801621-9543566"/>
    <s v="08/02/2023"/>
    <x v="0"/>
    <x v="21"/>
    <x v="6"/>
    <x v="10"/>
    <x v="1"/>
    <s v="BIKANER"/>
    <x v="10"/>
    <n v="899"/>
    <n v="295"/>
    <n v="604"/>
    <n v="240"/>
    <n v="364"/>
  </r>
  <r>
    <s v="408-5448906-0865930"/>
    <s v="08/02/2023"/>
    <x v="0"/>
    <x v="293"/>
    <x v="6"/>
    <x v="10"/>
    <x v="1"/>
    <s v="MAGAM"/>
    <x v="31"/>
    <n v="799"/>
    <n v="205"/>
    <n v="594"/>
    <n v="240"/>
    <n v="354"/>
  </r>
  <r>
    <s v="406-7728015-8691548"/>
    <s v="08/02/2023"/>
    <x v="0"/>
    <x v="115"/>
    <x v="6"/>
    <x v="10"/>
    <x v="1"/>
    <s v="BANDA"/>
    <x v="1"/>
    <n v="799"/>
    <n v="205"/>
    <n v="594"/>
    <n v="240"/>
    <n v="354"/>
  </r>
  <r>
    <s v="407-9584482-9222704"/>
    <s v="08/02/2023"/>
    <x v="0"/>
    <x v="15"/>
    <x v="6"/>
    <x v="10"/>
    <x v="1"/>
    <s v="SURAT"/>
    <x v="3"/>
    <n v="849"/>
    <n v="250"/>
    <n v="599"/>
    <n v="240"/>
    <n v="359"/>
  </r>
  <r>
    <s v="405-0823533-1370754"/>
    <s v="08/02/2023"/>
    <x v="0"/>
    <x v="158"/>
    <x v="6"/>
    <x v="10"/>
    <x v="1"/>
    <s v="Haroa"/>
    <x v="18"/>
    <n v="849"/>
    <n v="250"/>
    <n v="599"/>
    <n v="240"/>
    <n v="359"/>
  </r>
  <r>
    <s v="171-2855715-0277136"/>
    <s v="08/02/2023"/>
    <x v="0"/>
    <x v="31"/>
    <x v="6"/>
    <x v="10"/>
    <x v="1"/>
    <s v="MUMBAI"/>
    <x v="6"/>
    <n v="799"/>
    <n v="205"/>
    <n v="594"/>
    <n v="240"/>
    <n v="354"/>
  </r>
  <r>
    <s v="406-3630924-3380337"/>
    <s v="08/02/2023"/>
    <x v="0"/>
    <x v="31"/>
    <x v="6"/>
    <x v="10"/>
    <x v="1"/>
    <s v="JALANDHAR"/>
    <x v="26"/>
    <n v="799"/>
    <n v="205"/>
    <n v="594"/>
    <n v="240"/>
    <n v="354"/>
  </r>
  <r>
    <s v="403-4091022-8768336"/>
    <s v="08/02/2023"/>
    <x v="0"/>
    <x v="128"/>
    <x v="6"/>
    <x v="10"/>
    <x v="1"/>
    <s v="TUMAKURU"/>
    <x v="5"/>
    <n v="999"/>
    <n v="325"/>
    <n v="674"/>
    <n v="240"/>
    <n v="434"/>
  </r>
  <r>
    <s v="408-9855849-5706755"/>
    <s v="08/02/2023"/>
    <x v="0"/>
    <x v="80"/>
    <x v="6"/>
    <x v="10"/>
    <x v="1"/>
    <s v="NEW DELHI"/>
    <x v="16"/>
    <n v="899"/>
    <n v="295"/>
    <n v="604"/>
    <n v="240"/>
    <n v="364"/>
  </r>
  <r>
    <s v="402-4811416-2240314"/>
    <s v="08/02/2023"/>
    <x v="0"/>
    <x v="79"/>
    <x v="6"/>
    <x v="10"/>
    <x v="1"/>
    <s v="MOHALI"/>
    <x v="26"/>
    <n v="899"/>
    <n v="295"/>
    <n v="604"/>
    <n v="240"/>
    <n v="364"/>
  </r>
  <r>
    <s v="402-4811416-2240314"/>
    <s v="08/02/2023"/>
    <x v="0"/>
    <x v="44"/>
    <x v="6"/>
    <x v="10"/>
    <x v="1"/>
    <s v="MOHALI"/>
    <x v="26"/>
    <n v="899"/>
    <n v="295"/>
    <n v="604"/>
    <n v="240"/>
    <n v="364"/>
  </r>
  <r>
    <s v="404-2129138-4420304"/>
    <s v="09/02/2023"/>
    <x v="2"/>
    <x v="44"/>
    <x v="8"/>
    <x v="10"/>
    <x v="1"/>
    <s v="ASIKA"/>
    <x v="14"/>
    <n v="0"/>
    <n v="0"/>
    <n v="0"/>
    <n v="0"/>
    <n v="0"/>
  </r>
  <r>
    <s v="402-8980119-1566759"/>
    <s v="09/02/2023"/>
    <x v="2"/>
    <x v="202"/>
    <x v="8"/>
    <x v="10"/>
    <x v="1"/>
    <s v="NEW DELHI"/>
    <x v="16"/>
    <n v="0"/>
    <n v="0"/>
    <n v="0"/>
    <n v="0"/>
    <n v="0"/>
  </r>
  <r>
    <s v="402-5335893-8437117"/>
    <s v="04/02/2023"/>
    <x v="3"/>
    <x v="68"/>
    <x v="3"/>
    <x v="10"/>
    <x v="1"/>
    <s v="JAIPUR"/>
    <x v="10"/>
    <n v="-799"/>
    <n v="320"/>
    <n v="-479"/>
    <n v="240"/>
    <n v="-239"/>
  </r>
  <r>
    <s v="404-9465660-4522722"/>
    <s v="02/02/2023"/>
    <x v="3"/>
    <x v="81"/>
    <x v="1"/>
    <x v="10"/>
    <x v="1"/>
    <s v="Kota"/>
    <x v="10"/>
    <n v="-799"/>
    <n v="320"/>
    <n v="-479"/>
    <n v="240"/>
    <n v="-239"/>
  </r>
  <r>
    <s v="405-1398556-4632329"/>
    <s v="09/02/2023"/>
    <x v="2"/>
    <x v="98"/>
    <x v="8"/>
    <x v="10"/>
    <x v="1"/>
    <s v="PUNE"/>
    <x v="6"/>
    <n v="0"/>
    <n v="0"/>
    <n v="0"/>
    <n v="0"/>
    <n v="0"/>
  </r>
  <r>
    <s v="406-8301289-3333949"/>
    <s v="09/02/2023"/>
    <x v="0"/>
    <x v="25"/>
    <x v="8"/>
    <x v="10"/>
    <x v="1"/>
    <s v="RANCHI"/>
    <x v="11"/>
    <n v="799"/>
    <n v="205"/>
    <n v="594"/>
    <n v="240"/>
    <n v="354"/>
  </r>
  <r>
    <s v="404-2129138-4420304"/>
    <s v="09/02/2023"/>
    <x v="0"/>
    <x v="44"/>
    <x v="8"/>
    <x v="10"/>
    <x v="1"/>
    <s v="ASIKA"/>
    <x v="14"/>
    <n v="899"/>
    <n v="295"/>
    <n v="604"/>
    <n v="240"/>
    <n v="364"/>
  </r>
  <r>
    <s v="404-8703892-6642764"/>
    <s v="09/02/2023"/>
    <x v="0"/>
    <x v="302"/>
    <x v="8"/>
    <x v="10"/>
    <x v="1"/>
    <s v="Chengannur"/>
    <x v="9"/>
    <n v="799"/>
    <n v="205"/>
    <n v="594"/>
    <n v="240"/>
    <n v="354"/>
  </r>
  <r>
    <s v="402-7042973-3264305"/>
    <s v="09/02/2023"/>
    <x v="0"/>
    <x v="128"/>
    <x v="8"/>
    <x v="10"/>
    <x v="1"/>
    <s v="NEW DELHI"/>
    <x v="16"/>
    <n v="999"/>
    <n v="325"/>
    <n v="674"/>
    <n v="240"/>
    <n v="434"/>
  </r>
  <r>
    <s v="408-3959131-8877100"/>
    <s v="09/02/2023"/>
    <x v="0"/>
    <x v="88"/>
    <x v="8"/>
    <x v="10"/>
    <x v="1"/>
    <s v="SUPAUL"/>
    <x v="0"/>
    <n v="899"/>
    <n v="295"/>
    <n v="604"/>
    <n v="240"/>
    <n v="364"/>
  </r>
  <r>
    <s v="405-7032435-0513157"/>
    <s v="09/02/2023"/>
    <x v="0"/>
    <x v="120"/>
    <x v="8"/>
    <x v="10"/>
    <x v="1"/>
    <s v="Namakkal"/>
    <x v="7"/>
    <n v="849"/>
    <n v="250"/>
    <n v="599"/>
    <n v="240"/>
    <n v="359"/>
  </r>
  <r>
    <s v="408-3042886-5196364"/>
    <s v="09/02/2023"/>
    <x v="0"/>
    <x v="15"/>
    <x v="8"/>
    <x v="10"/>
    <x v="1"/>
    <s v="MANGAN"/>
    <x v="36"/>
    <n v="849"/>
    <n v="250"/>
    <n v="599"/>
    <n v="240"/>
    <n v="359"/>
  </r>
  <r>
    <s v="171-2659718-7578743"/>
    <s v="03/02/2023"/>
    <x v="3"/>
    <x v="189"/>
    <x v="2"/>
    <x v="10"/>
    <x v="1"/>
    <s v="NEW DELHI"/>
    <x v="16"/>
    <n v="-799"/>
    <n v="320"/>
    <n v="-479"/>
    <n v="240"/>
    <n v="-239"/>
  </r>
  <r>
    <s v="404-7838361-1693965"/>
    <s v="09/02/2023"/>
    <x v="0"/>
    <x v="124"/>
    <x v="8"/>
    <x v="10"/>
    <x v="1"/>
    <s v="SIHOR"/>
    <x v="3"/>
    <n v="999"/>
    <n v="325"/>
    <n v="674"/>
    <n v="240"/>
    <n v="434"/>
  </r>
  <r>
    <s v="405-5692795-7621930"/>
    <s v="09/02/2023"/>
    <x v="0"/>
    <x v="136"/>
    <x v="8"/>
    <x v="10"/>
    <x v="1"/>
    <s v="LUCKNOW"/>
    <x v="1"/>
    <n v="849"/>
    <n v="250"/>
    <n v="599"/>
    <n v="240"/>
    <n v="359"/>
  </r>
  <r>
    <s v="403-1662593-6628364"/>
    <s v="09/02/2023"/>
    <x v="0"/>
    <x v="143"/>
    <x v="8"/>
    <x v="10"/>
    <x v="1"/>
    <s v="Pune"/>
    <x v="6"/>
    <n v="849"/>
    <n v="250"/>
    <n v="599"/>
    <n v="240"/>
    <n v="359"/>
  </r>
  <r>
    <s v="406-0786961-4515548"/>
    <s v="09/02/2023"/>
    <x v="0"/>
    <x v="139"/>
    <x v="8"/>
    <x v="10"/>
    <x v="1"/>
    <s v="KUMILY"/>
    <x v="9"/>
    <n v="799"/>
    <n v="205"/>
    <n v="594"/>
    <n v="240"/>
    <n v="354"/>
  </r>
  <r>
    <s v="402-1903663-5188311"/>
    <s v="09/02/2023"/>
    <x v="0"/>
    <x v="15"/>
    <x v="8"/>
    <x v="10"/>
    <x v="1"/>
    <s v="HYDERABAD"/>
    <x v="8"/>
    <n v="849"/>
    <n v="250"/>
    <n v="599"/>
    <n v="240"/>
    <n v="359"/>
  </r>
  <r>
    <s v="404-0214966-6768344"/>
    <s v="09/02/2023"/>
    <x v="0"/>
    <x v="166"/>
    <x v="8"/>
    <x v="10"/>
    <x v="1"/>
    <s v="VEERULLAPADU"/>
    <x v="2"/>
    <n v="849"/>
    <n v="250"/>
    <n v="599"/>
    <n v="240"/>
    <n v="359"/>
  </r>
  <r>
    <s v="403-1369180-8284300"/>
    <s v="09/02/2023"/>
    <x v="0"/>
    <x v="88"/>
    <x v="8"/>
    <x v="10"/>
    <x v="1"/>
    <s v="KODAIKANAL"/>
    <x v="7"/>
    <n v="899"/>
    <n v="295"/>
    <n v="604"/>
    <n v="240"/>
    <n v="364"/>
  </r>
  <r>
    <s v="404-5788454-1565924"/>
    <s v="09/02/2023"/>
    <x v="0"/>
    <x v="98"/>
    <x v="8"/>
    <x v="10"/>
    <x v="1"/>
    <s v="SIHOR"/>
    <x v="3"/>
    <n v="899"/>
    <n v="295"/>
    <n v="604"/>
    <n v="240"/>
    <n v="364"/>
  </r>
  <r>
    <s v="404-5489969-6517116"/>
    <s v="06/02/2023"/>
    <x v="3"/>
    <x v="52"/>
    <x v="5"/>
    <x v="10"/>
    <x v="1"/>
    <s v="NEW DELHI"/>
    <x v="16"/>
    <n v="-899"/>
    <n v="375"/>
    <n v="-524"/>
    <n v="240"/>
    <n v="-284"/>
  </r>
  <r>
    <s v="171-5106065-8069125"/>
    <s v="10/02/2023"/>
    <x v="2"/>
    <x v="139"/>
    <x v="10"/>
    <x v="10"/>
    <x v="1"/>
    <s v="MYSORE"/>
    <x v="5"/>
    <n v="0"/>
    <n v="0"/>
    <n v="0"/>
    <n v="0"/>
    <n v="0"/>
  </r>
  <r>
    <s v="404-2119346-8034755"/>
    <s v="10/02/2023"/>
    <x v="2"/>
    <x v="190"/>
    <x v="10"/>
    <x v="10"/>
    <x v="1"/>
    <s v="NEW DELHI"/>
    <x v="16"/>
    <n v="0"/>
    <n v="0"/>
    <n v="0"/>
    <n v="0"/>
    <n v="0"/>
  </r>
  <r>
    <s v="408-2574398-0153143"/>
    <s v="03/02/2023"/>
    <x v="3"/>
    <x v="6"/>
    <x v="2"/>
    <x v="10"/>
    <x v="1"/>
    <s v="MANGALURU"/>
    <x v="5"/>
    <n v="-899"/>
    <n v="375"/>
    <n v="-524"/>
    <n v="240"/>
    <n v="-284"/>
  </r>
  <r>
    <s v="408-1089974-5785962"/>
    <s v="10/02/2023"/>
    <x v="1"/>
    <x v="98"/>
    <x v="10"/>
    <x v="10"/>
    <x v="1"/>
    <s v="RAIPUR"/>
    <x v="20"/>
    <n v="0"/>
    <n v="0"/>
    <n v="0"/>
    <n v="0"/>
    <n v="0"/>
  </r>
  <r>
    <s v="171-5106065-8069125"/>
    <s v="10/02/2023"/>
    <x v="0"/>
    <x v="139"/>
    <x v="10"/>
    <x v="10"/>
    <x v="1"/>
    <s v="MYSORE"/>
    <x v="5"/>
    <n v="799"/>
    <n v="205"/>
    <n v="594"/>
    <n v="240"/>
    <n v="354"/>
  </r>
  <r>
    <s v="408-4897906-3222745"/>
    <s v="10/02/2023"/>
    <x v="1"/>
    <x v="220"/>
    <x v="10"/>
    <x v="10"/>
    <x v="1"/>
    <s v="LUCKNOW"/>
    <x v="1"/>
    <n v="0"/>
    <n v="0"/>
    <n v="0"/>
    <n v="0"/>
    <n v="0"/>
  </r>
  <r>
    <s v="407-7630148-8950716"/>
    <s v="10/02/2023"/>
    <x v="0"/>
    <x v="158"/>
    <x v="10"/>
    <x v="10"/>
    <x v="1"/>
    <s v="RATNAGIRI"/>
    <x v="6"/>
    <n v="849"/>
    <n v="250"/>
    <n v="599"/>
    <n v="240"/>
    <n v="359"/>
  </r>
  <r>
    <s v="408-1649640-7713925"/>
    <s v="10/02/2023"/>
    <x v="0"/>
    <x v="303"/>
    <x v="10"/>
    <x v="10"/>
    <x v="1"/>
    <s v="DEORIA"/>
    <x v="1"/>
    <n v="799"/>
    <n v="205"/>
    <n v="594"/>
    <n v="240"/>
    <n v="354"/>
  </r>
  <r>
    <s v="171-3207201-9477954"/>
    <s v="10/02/2023"/>
    <x v="0"/>
    <x v="147"/>
    <x v="10"/>
    <x v="10"/>
    <x v="1"/>
    <s v="MOLAKALMURU"/>
    <x v="5"/>
    <n v="799"/>
    <n v="205"/>
    <n v="594"/>
    <n v="240"/>
    <n v="354"/>
  </r>
  <r>
    <s v="405-6848194-6625152"/>
    <s v="10/02/2023"/>
    <x v="0"/>
    <x v="31"/>
    <x v="10"/>
    <x v="10"/>
    <x v="1"/>
    <s v="LONAVALA"/>
    <x v="6"/>
    <n v="799"/>
    <n v="205"/>
    <n v="594"/>
    <n v="240"/>
    <n v="354"/>
  </r>
  <r>
    <s v="406-1689082-7489945"/>
    <s v="10/02/2023"/>
    <x v="0"/>
    <x v="147"/>
    <x v="10"/>
    <x v="10"/>
    <x v="1"/>
    <s v="KOLKATA"/>
    <x v="18"/>
    <n v="799"/>
    <n v="205"/>
    <n v="594"/>
    <n v="240"/>
    <n v="354"/>
  </r>
  <r>
    <s v="406-5272383-8833120"/>
    <s v="10/02/2023"/>
    <x v="0"/>
    <x v="44"/>
    <x v="10"/>
    <x v="10"/>
    <x v="1"/>
    <s v="NEW DELHI"/>
    <x v="16"/>
    <n v="899"/>
    <n v="295"/>
    <n v="604"/>
    <n v="240"/>
    <n v="364"/>
  </r>
  <r>
    <s v="171-6498849-2511530"/>
    <s v="10/02/2023"/>
    <x v="0"/>
    <x v="202"/>
    <x v="10"/>
    <x v="10"/>
    <x v="1"/>
    <s v="TIRUPPUR"/>
    <x v="7"/>
    <n v="999"/>
    <n v="325"/>
    <n v="674"/>
    <n v="240"/>
    <n v="434"/>
  </r>
  <r>
    <s v="404-4181946-1608321"/>
    <s v="10/02/2023"/>
    <x v="0"/>
    <x v="169"/>
    <x v="10"/>
    <x v="10"/>
    <x v="1"/>
    <s v="MORJIM"/>
    <x v="21"/>
    <n v="799"/>
    <n v="205"/>
    <n v="594"/>
    <n v="240"/>
    <n v="354"/>
  </r>
  <r>
    <s v="404-4001380-7297113"/>
    <s v="10/02/2023"/>
    <x v="0"/>
    <x v="21"/>
    <x v="10"/>
    <x v="10"/>
    <x v="1"/>
    <s v="CHEKKIAD"/>
    <x v="9"/>
    <n v="899"/>
    <n v="295"/>
    <n v="604"/>
    <n v="240"/>
    <n v="364"/>
  </r>
  <r>
    <s v="404-4001380-7297113"/>
    <s v="10/02/2023"/>
    <x v="0"/>
    <x v="83"/>
    <x v="10"/>
    <x v="10"/>
    <x v="1"/>
    <s v="CHEKKIAD"/>
    <x v="9"/>
    <n v="899"/>
    <n v="295"/>
    <n v="604"/>
    <n v="240"/>
    <n v="364"/>
  </r>
  <r>
    <s v="171-8316284-6627525"/>
    <s v="10/02/2023"/>
    <x v="0"/>
    <x v="25"/>
    <x v="10"/>
    <x v="10"/>
    <x v="1"/>
    <s v="BASTI"/>
    <x v="1"/>
    <n v="799"/>
    <n v="205"/>
    <n v="594"/>
    <n v="240"/>
    <n v="354"/>
  </r>
  <r>
    <s v="408-4503120-1521950"/>
    <s v="10/02/2023"/>
    <x v="0"/>
    <x v="25"/>
    <x v="10"/>
    <x v="10"/>
    <x v="1"/>
    <s v="KATIHAR"/>
    <x v="0"/>
    <n v="799"/>
    <n v="205"/>
    <n v="594"/>
    <n v="240"/>
    <n v="354"/>
  </r>
  <r>
    <s v="408-7128925-2069908"/>
    <s v="10/02/2023"/>
    <x v="0"/>
    <x v="202"/>
    <x v="10"/>
    <x v="10"/>
    <x v="1"/>
    <s v="ANKLESHWAR"/>
    <x v="3"/>
    <n v="999"/>
    <n v="325"/>
    <n v="674"/>
    <n v="240"/>
    <n v="434"/>
  </r>
  <r>
    <s v="171-0409853-6918753"/>
    <s v="10/02/2023"/>
    <x v="0"/>
    <x v="80"/>
    <x v="10"/>
    <x v="10"/>
    <x v="1"/>
    <s v="NASHIK"/>
    <x v="6"/>
    <n v="899"/>
    <n v="295"/>
    <n v="604"/>
    <n v="240"/>
    <n v="364"/>
  </r>
  <r>
    <s v="404-9462377-3573943"/>
    <s v="10/02/2023"/>
    <x v="0"/>
    <x v="136"/>
    <x v="10"/>
    <x v="10"/>
    <x v="1"/>
    <s v="NOIDA"/>
    <x v="1"/>
    <n v="849"/>
    <n v="250"/>
    <n v="599"/>
    <n v="240"/>
    <n v="359"/>
  </r>
  <r>
    <s v="404-2119346-8034755"/>
    <s v="10/02/2023"/>
    <x v="0"/>
    <x v="190"/>
    <x v="10"/>
    <x v="10"/>
    <x v="1"/>
    <s v="NEW DELHI"/>
    <x v="16"/>
    <n v="799"/>
    <n v="205"/>
    <n v="594"/>
    <n v="240"/>
    <n v="354"/>
  </r>
  <r>
    <s v="403-6904214-0643533"/>
    <s v="10/02/2023"/>
    <x v="0"/>
    <x v="95"/>
    <x v="10"/>
    <x v="10"/>
    <x v="1"/>
    <s v="NOIDA"/>
    <x v="1"/>
    <n v="899"/>
    <n v="295"/>
    <n v="604"/>
    <n v="240"/>
    <n v="364"/>
  </r>
  <r>
    <s v="403-0206910-5229977"/>
    <s v="10/02/2023"/>
    <x v="0"/>
    <x v="95"/>
    <x v="10"/>
    <x v="10"/>
    <x v="1"/>
    <s v="Chengalpattu"/>
    <x v="7"/>
    <n v="899"/>
    <n v="295"/>
    <n v="604"/>
    <n v="240"/>
    <n v="364"/>
  </r>
  <r>
    <s v="405-8803228-8550747"/>
    <s v="10/02/2023"/>
    <x v="0"/>
    <x v="153"/>
    <x v="10"/>
    <x v="10"/>
    <x v="1"/>
    <s v="HYDERABAD"/>
    <x v="8"/>
    <n v="799"/>
    <n v="205"/>
    <n v="594"/>
    <n v="240"/>
    <n v="354"/>
  </r>
  <r>
    <s v="407-5232864-6078733"/>
    <s v="10/02/2023"/>
    <x v="0"/>
    <x v="98"/>
    <x v="10"/>
    <x v="10"/>
    <x v="1"/>
    <s v="BHILAI"/>
    <x v="20"/>
    <n v="899"/>
    <n v="295"/>
    <n v="604"/>
    <n v="240"/>
    <n v="364"/>
  </r>
  <r>
    <s v="403-9332839-6513968"/>
    <s v="05/02/2023"/>
    <x v="3"/>
    <x v="166"/>
    <x v="4"/>
    <x v="10"/>
    <x v="1"/>
    <s v="Chas"/>
    <x v="11"/>
    <n v="-849"/>
    <n v="345"/>
    <n v="-504"/>
    <n v="240"/>
    <n v="-264"/>
  </r>
  <r>
    <s v="402-3170234-1213902"/>
    <s v="02/02/2023"/>
    <x v="3"/>
    <x v="298"/>
    <x v="1"/>
    <x v="10"/>
    <x v="1"/>
    <s v="SATHYAMANGALAM"/>
    <x v="7"/>
    <n v="-849"/>
    <n v="345"/>
    <n v="-504"/>
    <n v="240"/>
    <n v="-264"/>
  </r>
  <r>
    <s v="403-8058699-8050719"/>
    <s v="11/02/2023"/>
    <x v="2"/>
    <x v="177"/>
    <x v="9"/>
    <x v="10"/>
    <x v="1"/>
    <s v="HYDERABAD"/>
    <x v="8"/>
    <n v="0"/>
    <n v="0"/>
    <n v="0"/>
    <n v="0"/>
    <n v="0"/>
  </r>
  <r>
    <s v="402-6297223-3627546"/>
    <s v="11/02/2023"/>
    <x v="2"/>
    <x v="15"/>
    <x v="9"/>
    <x v="10"/>
    <x v="1"/>
    <s v="BENGALURU"/>
    <x v="5"/>
    <n v="0"/>
    <n v="0"/>
    <n v="0"/>
    <n v="0"/>
    <n v="0"/>
  </r>
  <r>
    <s v="402-1493536-0950759"/>
    <s v="06/02/2023"/>
    <x v="3"/>
    <x v="133"/>
    <x v="5"/>
    <x v="10"/>
    <x v="1"/>
    <s v="MUMBAI"/>
    <x v="6"/>
    <n v="-799"/>
    <n v="320"/>
    <n v="-479"/>
    <n v="240"/>
    <n v="-239"/>
  </r>
  <r>
    <s v="171-1459446-2440309"/>
    <s v="11/02/2023"/>
    <x v="2"/>
    <x v="68"/>
    <x v="9"/>
    <x v="10"/>
    <x v="1"/>
    <s v="GREATER NOIDA"/>
    <x v="1"/>
    <n v="0"/>
    <n v="0"/>
    <n v="0"/>
    <n v="0"/>
    <n v="0"/>
  </r>
  <r>
    <s v="171-4032999-0489941"/>
    <s v="11/02/2023"/>
    <x v="2"/>
    <x v="25"/>
    <x v="9"/>
    <x v="10"/>
    <x v="1"/>
    <s v="HYDERABAD"/>
    <x v="8"/>
    <n v="0"/>
    <n v="0"/>
    <n v="0"/>
    <n v="0"/>
    <n v="0"/>
  </r>
  <r>
    <s v="406-1545934-1215543"/>
    <s v="12/02/2023"/>
    <x v="2"/>
    <x v="15"/>
    <x v="11"/>
    <x v="10"/>
    <x v="1"/>
    <s v="BOKARO STEEL CITY"/>
    <x v="11"/>
    <n v="0"/>
    <n v="0"/>
    <n v="0"/>
    <n v="0"/>
    <n v="0"/>
  </r>
  <r>
    <s v="407-0063930-2985148"/>
    <s v="12/02/2023"/>
    <x v="2"/>
    <x v="139"/>
    <x v="11"/>
    <x v="10"/>
    <x v="1"/>
    <s v="GHAZIABAD"/>
    <x v="1"/>
    <n v="0"/>
    <n v="0"/>
    <n v="0"/>
    <n v="0"/>
    <n v="0"/>
  </r>
  <r>
    <s v="407-5626018-1385119"/>
    <s v="12/02/2023"/>
    <x v="2"/>
    <x v="25"/>
    <x v="11"/>
    <x v="10"/>
    <x v="1"/>
    <s v="KATRA"/>
    <x v="31"/>
    <n v="0"/>
    <n v="0"/>
    <n v="0"/>
    <n v="0"/>
    <n v="0"/>
  </r>
  <r>
    <s v="402-7690433-8697955"/>
    <s v="07/02/2023"/>
    <x v="3"/>
    <x v="121"/>
    <x v="7"/>
    <x v="10"/>
    <x v="1"/>
    <s v="AHMEDABAD"/>
    <x v="3"/>
    <n v="-799"/>
    <n v="320"/>
    <n v="-479"/>
    <n v="240"/>
    <n v="-239"/>
  </r>
  <r>
    <s v="407-5609922-1005155"/>
    <s v="12/02/2023"/>
    <x v="2"/>
    <x v="145"/>
    <x v="11"/>
    <x v="10"/>
    <x v="1"/>
    <s v="PIMPRI CHINCHWAD"/>
    <x v="6"/>
    <n v="0"/>
    <n v="0"/>
    <n v="0"/>
    <n v="0"/>
    <n v="0"/>
  </r>
  <r>
    <s v="407-5609922-1005155"/>
    <s v="12/02/2023"/>
    <x v="2"/>
    <x v="229"/>
    <x v="11"/>
    <x v="10"/>
    <x v="1"/>
    <s v="PIMPRI CHINCHWAD"/>
    <x v="6"/>
    <n v="0"/>
    <n v="0"/>
    <n v="0"/>
    <n v="0"/>
    <n v="0"/>
  </r>
  <r>
    <s v="407-5609922-1005155"/>
    <s v="12/02/2023"/>
    <x v="2"/>
    <x v="187"/>
    <x v="11"/>
    <x v="10"/>
    <x v="1"/>
    <s v="PIMPRI CHINCHWAD"/>
    <x v="6"/>
    <n v="0"/>
    <n v="0"/>
    <n v="0"/>
    <n v="0"/>
    <n v="0"/>
  </r>
  <r>
    <s v="407-0626016-7164313"/>
    <s v="06/02/2023"/>
    <x v="3"/>
    <x v="44"/>
    <x v="5"/>
    <x v="10"/>
    <x v="1"/>
    <s v="NEW DELHI"/>
    <x v="16"/>
    <n v="-899"/>
    <n v="375"/>
    <n v="-524"/>
    <n v="240"/>
    <n v="-284"/>
  </r>
  <r>
    <s v="402-4811416-2240314"/>
    <s v="08/02/2023"/>
    <x v="3"/>
    <x v="44"/>
    <x v="6"/>
    <x v="10"/>
    <x v="1"/>
    <s v="MOHALI"/>
    <x v="26"/>
    <n v="-899"/>
    <n v="375"/>
    <n v="-524"/>
    <n v="240"/>
    <n v="-284"/>
  </r>
  <r>
    <s v="403-5235254-4165964"/>
    <s v="12/02/2023"/>
    <x v="2"/>
    <x v="68"/>
    <x v="11"/>
    <x v="10"/>
    <x v="1"/>
    <s v="Nagpur"/>
    <x v="6"/>
    <n v="0"/>
    <n v="0"/>
    <n v="0"/>
    <n v="0"/>
    <n v="0"/>
  </r>
  <r>
    <s v="403-8372710-0300359"/>
    <s v="06/02/2023"/>
    <x v="3"/>
    <x v="187"/>
    <x v="5"/>
    <x v="10"/>
    <x v="1"/>
    <s v="KHANDAPADA"/>
    <x v="14"/>
    <n v="-799"/>
    <n v="320"/>
    <n v="-479"/>
    <n v="240"/>
    <n v="-239"/>
  </r>
  <r>
    <s v="406-8718925-3085139"/>
    <s v="05/02/2023"/>
    <x v="3"/>
    <x v="76"/>
    <x v="4"/>
    <x v="10"/>
    <x v="1"/>
    <s v="AMBUR"/>
    <x v="7"/>
    <n v="-799"/>
    <n v="320"/>
    <n v="-479"/>
    <n v="240"/>
    <n v="-239"/>
  </r>
  <r>
    <s v="402-8551329-1604313"/>
    <s v="13/02/2023"/>
    <x v="2"/>
    <x v="98"/>
    <x v="12"/>
    <x v="10"/>
    <x v="1"/>
    <s v="BORSAD"/>
    <x v="3"/>
    <n v="0"/>
    <n v="0"/>
    <n v="0"/>
    <n v="0"/>
    <n v="0"/>
  </r>
  <r>
    <s v="403-9757464-9542750"/>
    <s v="07/02/2023"/>
    <x v="3"/>
    <x v="98"/>
    <x v="7"/>
    <x v="10"/>
    <x v="1"/>
    <s v="SHRIVARDHAN"/>
    <x v="6"/>
    <n v="-899"/>
    <n v="375"/>
    <n v="-524"/>
    <n v="240"/>
    <n v="-284"/>
  </r>
  <r>
    <s v="407-1955090-8365156"/>
    <s v="12/02/2023"/>
    <x v="0"/>
    <x v="126"/>
    <x v="11"/>
    <x v="10"/>
    <x v="1"/>
    <s v="GHAZIABAD"/>
    <x v="1"/>
    <n v="849"/>
    <n v="250"/>
    <n v="599"/>
    <n v="240"/>
    <n v="359"/>
  </r>
  <r>
    <s v="171-1605323-8361168"/>
    <s v="11/02/2023"/>
    <x v="0"/>
    <x v="253"/>
    <x v="9"/>
    <x v="10"/>
    <x v="1"/>
    <s v="BADLAPUR"/>
    <x v="6"/>
    <n v="799"/>
    <n v="205"/>
    <n v="594"/>
    <n v="240"/>
    <n v="354"/>
  </r>
  <r>
    <s v="402-1887878-8724336"/>
    <s v="12/02/2023"/>
    <x v="0"/>
    <x v="183"/>
    <x v="11"/>
    <x v="10"/>
    <x v="1"/>
    <s v="SATHYAMANGALAM"/>
    <x v="7"/>
    <n v="849"/>
    <n v="250"/>
    <n v="599"/>
    <n v="240"/>
    <n v="359"/>
  </r>
  <r>
    <s v="402-2692038-2145117"/>
    <s v="11/02/2023"/>
    <x v="0"/>
    <x v="148"/>
    <x v="9"/>
    <x v="10"/>
    <x v="1"/>
    <s v="LAKHIMPUR"/>
    <x v="1"/>
    <n v="799"/>
    <n v="205"/>
    <n v="594"/>
    <n v="240"/>
    <n v="354"/>
  </r>
  <r>
    <s v="407-1871026-7476327"/>
    <s v="11/02/2023"/>
    <x v="0"/>
    <x v="220"/>
    <x v="9"/>
    <x v="10"/>
    <x v="1"/>
    <s v="NEW DELHI"/>
    <x v="16"/>
    <n v="799"/>
    <n v="205"/>
    <n v="594"/>
    <n v="240"/>
    <n v="354"/>
  </r>
  <r>
    <s v="403-4578385-1300356"/>
    <s v="11/02/2023"/>
    <x v="0"/>
    <x v="88"/>
    <x v="9"/>
    <x v="10"/>
    <x v="1"/>
    <s v="ALUVA"/>
    <x v="9"/>
    <n v="899"/>
    <n v="295"/>
    <n v="604"/>
    <n v="240"/>
    <n v="364"/>
  </r>
  <r>
    <s v="402-6297223-3627546"/>
    <s v="11/02/2023"/>
    <x v="0"/>
    <x v="15"/>
    <x v="9"/>
    <x v="10"/>
    <x v="1"/>
    <s v="BENGALURU"/>
    <x v="5"/>
    <n v="849"/>
    <n v="250"/>
    <n v="599"/>
    <n v="240"/>
    <n v="359"/>
  </r>
  <r>
    <s v="405-8577002-1841130"/>
    <s v="12/02/2023"/>
    <x v="0"/>
    <x v="200"/>
    <x v="11"/>
    <x v="10"/>
    <x v="1"/>
    <s v="JANGAREDDIGUDEM"/>
    <x v="2"/>
    <n v="999"/>
    <n v="325"/>
    <n v="674"/>
    <n v="240"/>
    <n v="434"/>
  </r>
  <r>
    <s v="408-5516326-9386734"/>
    <s v="12/02/2023"/>
    <x v="1"/>
    <x v="68"/>
    <x v="11"/>
    <x v="10"/>
    <x v="1"/>
    <s v="JALANDHAR"/>
    <x v="26"/>
    <n v="0"/>
    <n v="0"/>
    <n v="0"/>
    <n v="0"/>
    <n v="0"/>
  </r>
  <r>
    <s v="171-5454482-0914702"/>
    <s v="12/02/2023"/>
    <x v="0"/>
    <x v="69"/>
    <x v="11"/>
    <x v="10"/>
    <x v="1"/>
    <s v="NAGPUR"/>
    <x v="6"/>
    <n v="849"/>
    <n v="250"/>
    <n v="599"/>
    <n v="240"/>
    <n v="359"/>
  </r>
  <r>
    <s v="406-0059325-4781973"/>
    <s v="12/02/2023"/>
    <x v="0"/>
    <x v="242"/>
    <x v="11"/>
    <x v="10"/>
    <x v="1"/>
    <s v="KHANNA"/>
    <x v="26"/>
    <n v="799"/>
    <n v="205"/>
    <n v="594"/>
    <n v="240"/>
    <n v="354"/>
  </r>
  <r>
    <s v="407-7171186-1829152"/>
    <s v="11/02/2023"/>
    <x v="0"/>
    <x v="25"/>
    <x v="9"/>
    <x v="10"/>
    <x v="1"/>
    <s v="THANE"/>
    <x v="6"/>
    <n v="799"/>
    <n v="205"/>
    <n v="594"/>
    <n v="240"/>
    <n v="354"/>
  </r>
  <r>
    <s v="407-0063930-2985148"/>
    <s v="12/02/2023"/>
    <x v="0"/>
    <x v="139"/>
    <x v="11"/>
    <x v="10"/>
    <x v="1"/>
    <s v="GHAZIABAD"/>
    <x v="1"/>
    <n v="799"/>
    <n v="205"/>
    <n v="594"/>
    <n v="240"/>
    <n v="354"/>
  </r>
  <r>
    <s v="407-4523993-5528341"/>
    <s v="11/02/2023"/>
    <x v="0"/>
    <x v="133"/>
    <x v="9"/>
    <x v="10"/>
    <x v="1"/>
    <s v="KOLKATA"/>
    <x v="18"/>
    <n v="799"/>
    <n v="205"/>
    <n v="594"/>
    <n v="240"/>
    <n v="354"/>
  </r>
  <r>
    <s v="407-5626018-1385119"/>
    <s v="12/02/2023"/>
    <x v="0"/>
    <x v="25"/>
    <x v="11"/>
    <x v="10"/>
    <x v="1"/>
    <s v="KATRA"/>
    <x v="31"/>
    <n v="799"/>
    <n v="205"/>
    <n v="594"/>
    <n v="240"/>
    <n v="354"/>
  </r>
  <r>
    <s v="402-9938414-2661161"/>
    <s v="11/02/2023"/>
    <x v="0"/>
    <x v="129"/>
    <x v="9"/>
    <x v="10"/>
    <x v="1"/>
    <s v="NEW DELHI"/>
    <x v="16"/>
    <n v="799"/>
    <n v="205"/>
    <n v="594"/>
    <n v="240"/>
    <n v="354"/>
  </r>
  <r>
    <s v="405-2168743-4221958"/>
    <s v="11/02/2023"/>
    <x v="0"/>
    <x v="68"/>
    <x v="9"/>
    <x v="10"/>
    <x v="1"/>
    <s v="MADURAI"/>
    <x v="7"/>
    <n v="799"/>
    <n v="205"/>
    <n v="594"/>
    <n v="240"/>
    <n v="354"/>
  </r>
  <r>
    <s v="171-1163886-1997955"/>
    <s v="11/02/2023"/>
    <x v="0"/>
    <x v="15"/>
    <x v="9"/>
    <x v="10"/>
    <x v="1"/>
    <s v="VELLORE"/>
    <x v="7"/>
    <n v="849"/>
    <n v="250"/>
    <n v="599"/>
    <n v="240"/>
    <n v="359"/>
  </r>
  <r>
    <s v="405-0132647-0607513"/>
    <s v="11/02/2023"/>
    <x v="0"/>
    <x v="44"/>
    <x v="9"/>
    <x v="10"/>
    <x v="1"/>
    <s v="KESABPUR"/>
    <x v="18"/>
    <n v="899"/>
    <n v="295"/>
    <n v="604"/>
    <n v="240"/>
    <n v="364"/>
  </r>
  <r>
    <s v="171-4110578-3275524"/>
    <s v="11/02/2023"/>
    <x v="0"/>
    <x v="15"/>
    <x v="9"/>
    <x v="10"/>
    <x v="1"/>
    <s v="BENGALURU"/>
    <x v="5"/>
    <n v="849"/>
    <n v="250"/>
    <n v="599"/>
    <n v="240"/>
    <n v="359"/>
  </r>
  <r>
    <s v="403-6483135-3399528"/>
    <s v="12/02/2023"/>
    <x v="0"/>
    <x v="81"/>
    <x v="11"/>
    <x v="10"/>
    <x v="1"/>
    <s v="MOHALI"/>
    <x v="26"/>
    <n v="799"/>
    <n v="205"/>
    <n v="594"/>
    <n v="240"/>
    <n v="354"/>
  </r>
  <r>
    <s v="404-5414382-1602716"/>
    <s v="12/02/2023"/>
    <x v="0"/>
    <x v="128"/>
    <x v="11"/>
    <x v="10"/>
    <x v="1"/>
    <s v="SENDHWA"/>
    <x v="13"/>
    <n v="999"/>
    <n v="325"/>
    <n v="674"/>
    <n v="240"/>
    <n v="434"/>
  </r>
  <r>
    <s v="407-7430343-2112335"/>
    <s v="12/02/2023"/>
    <x v="0"/>
    <x v="143"/>
    <x v="11"/>
    <x v="10"/>
    <x v="1"/>
    <s v="GREATER NOIDA"/>
    <x v="1"/>
    <n v="849"/>
    <n v="250"/>
    <n v="599"/>
    <n v="240"/>
    <n v="359"/>
  </r>
  <r>
    <s v="406-0528537-7899529"/>
    <s v="11/02/2023"/>
    <x v="0"/>
    <x v="95"/>
    <x v="9"/>
    <x v="10"/>
    <x v="1"/>
    <s v="GUWAHATI 781029"/>
    <x v="4"/>
    <n v="899"/>
    <n v="295"/>
    <n v="604"/>
    <n v="240"/>
    <n v="364"/>
  </r>
  <r>
    <s v="402-0333482-8525134"/>
    <s v="12/02/2023"/>
    <x v="0"/>
    <x v="165"/>
    <x v="11"/>
    <x v="10"/>
    <x v="1"/>
    <s v="ponda"/>
    <x v="21"/>
    <n v="799"/>
    <n v="205"/>
    <n v="594"/>
    <n v="240"/>
    <n v="354"/>
  </r>
  <r>
    <s v="403-8058699-8050719"/>
    <s v="11/02/2023"/>
    <x v="0"/>
    <x v="177"/>
    <x v="9"/>
    <x v="10"/>
    <x v="1"/>
    <s v="HYDERABAD"/>
    <x v="8"/>
    <n v="799"/>
    <n v="205"/>
    <n v="594"/>
    <n v="240"/>
    <n v="354"/>
  </r>
  <r>
    <s v="408-0736709-6920324"/>
    <s v="11/02/2023"/>
    <x v="0"/>
    <x v="154"/>
    <x v="9"/>
    <x v="10"/>
    <x v="1"/>
    <s v="AMTALA   DIST  SOUTH 24 PARGANAS"/>
    <x v="18"/>
    <n v="799"/>
    <n v="205"/>
    <n v="594"/>
    <n v="240"/>
    <n v="354"/>
  </r>
  <r>
    <s v="407-8730782-4181153"/>
    <s v="11/02/2023"/>
    <x v="0"/>
    <x v="161"/>
    <x v="9"/>
    <x v="10"/>
    <x v="1"/>
    <s v="perinthalmanna  Malappuram"/>
    <x v="9"/>
    <n v="799"/>
    <n v="205"/>
    <n v="594"/>
    <n v="240"/>
    <n v="354"/>
  </r>
  <r>
    <s v="408-8116039-7434713"/>
    <s v="11/02/2023"/>
    <x v="0"/>
    <x v="123"/>
    <x v="9"/>
    <x v="10"/>
    <x v="1"/>
    <s v="VIZIANAGARAM"/>
    <x v="2"/>
    <n v="999"/>
    <n v="325"/>
    <n v="674"/>
    <n v="240"/>
    <n v="434"/>
  </r>
  <r>
    <s v="404-8479996-1037915"/>
    <s v="12/02/2023"/>
    <x v="0"/>
    <x v="224"/>
    <x v="11"/>
    <x v="10"/>
    <x v="1"/>
    <s v="RISHIKESH"/>
    <x v="24"/>
    <n v="849"/>
    <n v="250"/>
    <n v="599"/>
    <n v="240"/>
    <n v="359"/>
  </r>
  <r>
    <s v="403-0462542-6929159"/>
    <s v="12/02/2023"/>
    <x v="0"/>
    <x v="79"/>
    <x v="11"/>
    <x v="10"/>
    <x v="1"/>
    <s v="MUMBAI"/>
    <x v="6"/>
    <n v="899"/>
    <n v="295"/>
    <n v="604"/>
    <n v="240"/>
    <n v="364"/>
  </r>
  <r>
    <s v="406-9870321-4591548"/>
    <s v="12/02/2023"/>
    <x v="0"/>
    <x v="68"/>
    <x v="11"/>
    <x v="10"/>
    <x v="1"/>
    <s v="IGATPURI"/>
    <x v="6"/>
    <n v="799"/>
    <n v="205"/>
    <n v="594"/>
    <n v="240"/>
    <n v="354"/>
  </r>
  <r>
    <s v="403-6924714-7003559"/>
    <s v="12/02/2023"/>
    <x v="0"/>
    <x v="202"/>
    <x v="11"/>
    <x v="10"/>
    <x v="1"/>
    <s v="BHIWADI"/>
    <x v="10"/>
    <n v="999"/>
    <n v="325"/>
    <n v="674"/>
    <n v="240"/>
    <n v="434"/>
  </r>
  <r>
    <s v="404-8340366-6505930"/>
    <s v="12/02/2023"/>
    <x v="0"/>
    <x v="79"/>
    <x v="11"/>
    <x v="10"/>
    <x v="1"/>
    <s v="JAIPUR"/>
    <x v="10"/>
    <n v="899"/>
    <n v="295"/>
    <n v="604"/>
    <n v="240"/>
    <n v="364"/>
  </r>
  <r>
    <s v="405-9274559-3266712"/>
    <s v="12/02/2023"/>
    <x v="0"/>
    <x v="88"/>
    <x v="11"/>
    <x v="10"/>
    <x v="1"/>
    <s v="RANAGHAT"/>
    <x v="18"/>
    <n v="899"/>
    <n v="295"/>
    <n v="604"/>
    <n v="240"/>
    <n v="364"/>
  </r>
  <r>
    <s v="403-1774957-7206726"/>
    <s v="12/02/2023"/>
    <x v="0"/>
    <x v="25"/>
    <x v="11"/>
    <x v="10"/>
    <x v="1"/>
    <s v="GURUGRAM"/>
    <x v="15"/>
    <n v="799"/>
    <n v="205"/>
    <n v="594"/>
    <n v="240"/>
    <n v="354"/>
  </r>
  <r>
    <s v="407-4986350-6644317"/>
    <s v="12/02/2023"/>
    <x v="0"/>
    <x v="133"/>
    <x v="11"/>
    <x v="10"/>
    <x v="1"/>
    <s v="MUMBAI"/>
    <x v="6"/>
    <n v="799"/>
    <n v="205"/>
    <n v="594"/>
    <n v="240"/>
    <n v="354"/>
  </r>
  <r>
    <s v="406-1545934-1215543"/>
    <s v="12/02/2023"/>
    <x v="0"/>
    <x v="15"/>
    <x v="11"/>
    <x v="10"/>
    <x v="1"/>
    <s v="BOKARO STEEL CITY"/>
    <x v="11"/>
    <n v="849"/>
    <n v="250"/>
    <n v="599"/>
    <n v="240"/>
    <n v="359"/>
  </r>
  <r>
    <s v="407-5609922-1005155"/>
    <s v="12/02/2023"/>
    <x v="0"/>
    <x v="145"/>
    <x v="11"/>
    <x v="10"/>
    <x v="1"/>
    <s v="PIMPRI CHINCHWAD"/>
    <x v="6"/>
    <n v="799"/>
    <n v="205"/>
    <n v="594"/>
    <n v="240"/>
    <n v="354"/>
  </r>
  <r>
    <s v="407-5609922-1005155"/>
    <s v="12/02/2023"/>
    <x v="0"/>
    <x v="187"/>
    <x v="11"/>
    <x v="10"/>
    <x v="1"/>
    <s v="PIMPRI CHINCHWAD"/>
    <x v="6"/>
    <n v="799"/>
    <n v="205"/>
    <n v="594"/>
    <n v="240"/>
    <n v="354"/>
  </r>
  <r>
    <s v="407-5609922-1005155"/>
    <s v="12/02/2023"/>
    <x v="0"/>
    <x v="229"/>
    <x v="11"/>
    <x v="10"/>
    <x v="1"/>
    <s v="PIMPRI CHINCHWAD"/>
    <x v="6"/>
    <n v="799"/>
    <n v="205"/>
    <n v="594"/>
    <n v="240"/>
    <n v="354"/>
  </r>
  <r>
    <s v="408-5558099-9471527"/>
    <s v="03/02/2023"/>
    <x v="3"/>
    <x v="88"/>
    <x v="2"/>
    <x v="10"/>
    <x v="1"/>
    <s v="NEW DELHI"/>
    <x v="16"/>
    <n v="-899"/>
    <n v="375"/>
    <n v="-524"/>
    <n v="240"/>
    <n v="-284"/>
  </r>
  <r>
    <s v="408-9665745-2343544"/>
    <s v="13/02/2023"/>
    <x v="2"/>
    <x v="254"/>
    <x v="12"/>
    <x v="10"/>
    <x v="1"/>
    <s v="mumbai"/>
    <x v="6"/>
    <n v="0"/>
    <n v="0"/>
    <n v="0"/>
    <n v="0"/>
    <n v="0"/>
  </r>
  <r>
    <s v="407-7171186-1829152"/>
    <s v="11/02/2023"/>
    <x v="3"/>
    <x v="25"/>
    <x v="9"/>
    <x v="10"/>
    <x v="1"/>
    <s v="THANE"/>
    <x v="6"/>
    <n v="-799"/>
    <n v="320"/>
    <n v="-479"/>
    <n v="240"/>
    <n v="-239"/>
  </r>
  <r>
    <s v="171-6875566-1243514"/>
    <s v="04/02/2023"/>
    <x v="3"/>
    <x v="164"/>
    <x v="3"/>
    <x v="10"/>
    <x v="1"/>
    <s v="JAIPUR"/>
    <x v="10"/>
    <n v="-849"/>
    <n v="345"/>
    <n v="-504"/>
    <n v="240"/>
    <n v="-264"/>
  </r>
  <r>
    <s v="402-8551329-1604313"/>
    <s v="13/02/2023"/>
    <x v="0"/>
    <x v="98"/>
    <x v="12"/>
    <x v="10"/>
    <x v="1"/>
    <s v="BORSAD"/>
    <x v="3"/>
    <n v="899"/>
    <n v="295"/>
    <n v="604"/>
    <n v="240"/>
    <n v="364"/>
  </r>
  <r>
    <s v="407-5849913-5353140"/>
    <s v="13/02/2023"/>
    <x v="0"/>
    <x v="180"/>
    <x v="12"/>
    <x v="10"/>
    <x v="1"/>
    <s v="REWA"/>
    <x v="13"/>
    <n v="799"/>
    <n v="205"/>
    <n v="594"/>
    <n v="240"/>
    <n v="354"/>
  </r>
  <r>
    <s v="408-9524658-0170733"/>
    <s v="13/02/2023"/>
    <x v="0"/>
    <x v="164"/>
    <x v="12"/>
    <x v="10"/>
    <x v="1"/>
    <s v="Kaviyoor Thiruvalla"/>
    <x v="9"/>
    <n v="849"/>
    <n v="250"/>
    <n v="599"/>
    <n v="240"/>
    <n v="359"/>
  </r>
  <r>
    <s v="402-7815654-8024341"/>
    <s v="13/02/2023"/>
    <x v="0"/>
    <x v="80"/>
    <x v="12"/>
    <x v="10"/>
    <x v="1"/>
    <s v="Jaipur"/>
    <x v="10"/>
    <n v="899"/>
    <n v="295"/>
    <n v="604"/>
    <n v="240"/>
    <n v="364"/>
  </r>
  <r>
    <s v="403-3319891-4597926"/>
    <s v="13/02/2023"/>
    <x v="0"/>
    <x v="193"/>
    <x v="12"/>
    <x v="10"/>
    <x v="1"/>
    <s v="KOLKATA"/>
    <x v="18"/>
    <n v="799"/>
    <n v="205"/>
    <n v="594"/>
    <n v="240"/>
    <n v="354"/>
  </r>
  <r>
    <s v="407-1958299-4974734"/>
    <s v="13/02/2023"/>
    <x v="0"/>
    <x v="15"/>
    <x v="12"/>
    <x v="10"/>
    <x v="1"/>
    <s v="SURAT"/>
    <x v="3"/>
    <n v="849"/>
    <n v="250"/>
    <n v="599"/>
    <n v="240"/>
    <n v="359"/>
  </r>
  <r>
    <s v="408-6748130-1139548"/>
    <s v="13/02/2023"/>
    <x v="0"/>
    <x v="81"/>
    <x v="12"/>
    <x v="10"/>
    <x v="1"/>
    <s v="Ludhiana"/>
    <x v="26"/>
    <n v="799"/>
    <n v="205"/>
    <n v="594"/>
    <n v="240"/>
    <n v="354"/>
  </r>
  <r>
    <s v="402-5236720-4487517"/>
    <s v="13/02/2023"/>
    <x v="0"/>
    <x v="241"/>
    <x v="12"/>
    <x v="10"/>
    <x v="1"/>
    <s v="VASAI VIRAR"/>
    <x v="6"/>
    <n v="799"/>
    <n v="205"/>
    <n v="594"/>
    <n v="240"/>
    <n v="354"/>
  </r>
  <r>
    <s v="408-8967053-5578731"/>
    <s v="12/02/2023"/>
    <x v="0"/>
    <x v="220"/>
    <x v="11"/>
    <x v="10"/>
    <x v="1"/>
    <s v="CHENNAI"/>
    <x v="7"/>
    <n v="799"/>
    <n v="205"/>
    <n v="594"/>
    <n v="240"/>
    <n v="354"/>
  </r>
  <r>
    <s v="405-7798551-0513103"/>
    <s v="13/02/2023"/>
    <x v="0"/>
    <x v="128"/>
    <x v="12"/>
    <x v="10"/>
    <x v="1"/>
    <s v="NEW DELHI"/>
    <x v="16"/>
    <n v="999"/>
    <n v="325"/>
    <n v="674"/>
    <n v="240"/>
    <n v="434"/>
  </r>
  <r>
    <s v="171-3773891-4323546"/>
    <s v="13/02/2023"/>
    <x v="0"/>
    <x v="228"/>
    <x v="12"/>
    <x v="10"/>
    <x v="1"/>
    <s v="HYDERABAD"/>
    <x v="8"/>
    <n v="799"/>
    <n v="205"/>
    <n v="594"/>
    <n v="240"/>
    <n v="354"/>
  </r>
  <r>
    <s v="404-1548518-4921126"/>
    <s v="12/02/2023"/>
    <x v="0"/>
    <x v="44"/>
    <x v="11"/>
    <x v="10"/>
    <x v="1"/>
    <s v="NEW DELHI"/>
    <x v="16"/>
    <n v="899"/>
    <n v="295"/>
    <n v="604"/>
    <n v="240"/>
    <n v="364"/>
  </r>
  <r>
    <s v="404-9359807-9064359"/>
    <s v="13/02/2023"/>
    <x v="0"/>
    <x v="137"/>
    <x v="12"/>
    <x v="10"/>
    <x v="1"/>
    <s v="VALSAD"/>
    <x v="3"/>
    <n v="849"/>
    <n v="250"/>
    <n v="599"/>
    <n v="240"/>
    <n v="359"/>
  </r>
  <r>
    <s v="403-6319619-8724304"/>
    <s v="13/02/2023"/>
    <x v="0"/>
    <x v="304"/>
    <x v="12"/>
    <x v="10"/>
    <x v="1"/>
    <s v="SHIMLA"/>
    <x v="22"/>
    <n v="799"/>
    <n v="205"/>
    <n v="594"/>
    <n v="240"/>
    <n v="354"/>
  </r>
  <r>
    <s v="406-5420987-4442704"/>
    <s v="13/02/2023"/>
    <x v="0"/>
    <x v="174"/>
    <x v="12"/>
    <x v="10"/>
    <x v="1"/>
    <s v="Chadoora"/>
    <x v="31"/>
    <n v="799"/>
    <n v="205"/>
    <n v="594"/>
    <n v="240"/>
    <n v="354"/>
  </r>
  <r>
    <s v="407-7646355-6773916"/>
    <s v="12/02/2023"/>
    <x v="0"/>
    <x v="173"/>
    <x v="11"/>
    <x v="10"/>
    <x v="1"/>
    <s v="HYDERABAD"/>
    <x v="8"/>
    <n v="799"/>
    <n v="205"/>
    <n v="594"/>
    <n v="240"/>
    <n v="354"/>
  </r>
  <r>
    <s v="403-0679750-3644309"/>
    <s v="13/02/2023"/>
    <x v="0"/>
    <x v="75"/>
    <x v="12"/>
    <x v="10"/>
    <x v="1"/>
    <s v="WARANGAL"/>
    <x v="8"/>
    <n v="799"/>
    <n v="205"/>
    <n v="594"/>
    <n v="240"/>
    <n v="354"/>
  </r>
  <r>
    <s v="408-7323729-9901942"/>
    <s v="03/02/2023"/>
    <x v="3"/>
    <x v="121"/>
    <x v="2"/>
    <x v="10"/>
    <x v="1"/>
    <s v="GORAKHPUR"/>
    <x v="1"/>
    <n v="-799"/>
    <n v="320"/>
    <n v="-479"/>
    <n v="240"/>
    <n v="-239"/>
  </r>
  <r>
    <s v="171-9471110-1565920"/>
    <s v="01/02/2023"/>
    <x v="3"/>
    <x v="205"/>
    <x v="0"/>
    <x v="10"/>
    <x v="1"/>
    <s v="BHALWAL"/>
    <x v="31"/>
    <n v="-799"/>
    <n v="320"/>
    <n v="-479"/>
    <n v="240"/>
    <n v="-239"/>
  </r>
  <r>
    <s v="406-2784033-0605901"/>
    <s v="14/02/2023"/>
    <x v="2"/>
    <x v="95"/>
    <x v="13"/>
    <x v="10"/>
    <x v="1"/>
    <s v="DEOBAND"/>
    <x v="1"/>
    <n v="0"/>
    <n v="0"/>
    <n v="0"/>
    <n v="0"/>
    <n v="0"/>
  </r>
  <r>
    <s v="171-5106065-8069125"/>
    <s v="10/02/2023"/>
    <x v="3"/>
    <x v="139"/>
    <x v="10"/>
    <x v="10"/>
    <x v="1"/>
    <s v="MYSORE"/>
    <x v="5"/>
    <n v="-799"/>
    <n v="320"/>
    <n v="-479"/>
    <n v="240"/>
    <n v="-239"/>
  </r>
  <r>
    <s v="407-4972176-6446732"/>
    <s v="07/02/2023"/>
    <x v="3"/>
    <x v="80"/>
    <x v="7"/>
    <x v="10"/>
    <x v="1"/>
    <s v="BENGALURU"/>
    <x v="5"/>
    <n v="-899"/>
    <n v="375"/>
    <n v="-524"/>
    <n v="240"/>
    <n v="-284"/>
  </r>
  <r>
    <s v="405-5552864-0674720"/>
    <s v="14/02/2023"/>
    <x v="2"/>
    <x v="95"/>
    <x v="13"/>
    <x v="10"/>
    <x v="1"/>
    <s v="Nallasopara East"/>
    <x v="6"/>
    <n v="0"/>
    <n v="0"/>
    <n v="0"/>
    <n v="0"/>
    <n v="0"/>
  </r>
  <r>
    <s v="407-4986350-6644317"/>
    <s v="12/02/2023"/>
    <x v="3"/>
    <x v="133"/>
    <x v="11"/>
    <x v="10"/>
    <x v="1"/>
    <s v="MUMBAI"/>
    <x v="6"/>
    <n v="-799"/>
    <n v="320"/>
    <n v="-479"/>
    <n v="240"/>
    <n v="-239"/>
  </r>
  <r>
    <s v="171-2855715-0277136"/>
    <s v="08/02/2023"/>
    <x v="3"/>
    <x v="31"/>
    <x v="6"/>
    <x v="10"/>
    <x v="1"/>
    <s v="MUMBAI"/>
    <x v="6"/>
    <n v="-799"/>
    <n v="320"/>
    <n v="-479"/>
    <n v="240"/>
    <n v="-239"/>
  </r>
  <r>
    <s v="408-4945548-9235564"/>
    <s v="14/02/2023"/>
    <x v="0"/>
    <x v="15"/>
    <x v="13"/>
    <x v="10"/>
    <x v="1"/>
    <s v="GREATER NOIDA"/>
    <x v="1"/>
    <n v="849"/>
    <n v="250"/>
    <n v="599"/>
    <n v="240"/>
    <n v="359"/>
  </r>
  <r>
    <s v="171-0204373-4321937"/>
    <s v="14/02/2023"/>
    <x v="0"/>
    <x v="80"/>
    <x v="13"/>
    <x v="10"/>
    <x v="1"/>
    <s v="SURAT"/>
    <x v="3"/>
    <n v="899"/>
    <n v="295"/>
    <n v="604"/>
    <n v="240"/>
    <n v="364"/>
  </r>
  <r>
    <s v="406-9859866-3326750"/>
    <s v="14/02/2023"/>
    <x v="0"/>
    <x v="44"/>
    <x v="13"/>
    <x v="10"/>
    <x v="1"/>
    <s v="BENGALURU"/>
    <x v="5"/>
    <n v="899"/>
    <n v="295"/>
    <n v="604"/>
    <n v="240"/>
    <n v="364"/>
  </r>
  <r>
    <s v="403-6672899-1438746"/>
    <s v="14/02/2023"/>
    <x v="0"/>
    <x v="206"/>
    <x v="13"/>
    <x v="10"/>
    <x v="1"/>
    <s v="Bengaluru"/>
    <x v="5"/>
    <n v="899"/>
    <n v="295"/>
    <n v="604"/>
    <n v="240"/>
    <n v="364"/>
  </r>
  <r>
    <s v="406-0306441-6370768"/>
    <s v="14/02/2023"/>
    <x v="0"/>
    <x v="200"/>
    <x v="13"/>
    <x v="10"/>
    <x v="1"/>
    <s v="INDORE"/>
    <x v="13"/>
    <n v="999"/>
    <n v="325"/>
    <n v="674"/>
    <n v="240"/>
    <n v="434"/>
  </r>
  <r>
    <s v="405-1401739-9173930"/>
    <s v="14/02/2023"/>
    <x v="0"/>
    <x v="86"/>
    <x v="13"/>
    <x v="10"/>
    <x v="1"/>
    <s v="AMRAVATI"/>
    <x v="6"/>
    <n v="899"/>
    <n v="295"/>
    <n v="604"/>
    <n v="240"/>
    <n v="364"/>
  </r>
  <r>
    <s v="404-0820495-5128342"/>
    <s v="14/02/2023"/>
    <x v="0"/>
    <x v="124"/>
    <x v="13"/>
    <x v="10"/>
    <x v="1"/>
    <s v="AHMEDABAD"/>
    <x v="3"/>
    <n v="999"/>
    <n v="325"/>
    <n v="674"/>
    <n v="240"/>
    <n v="434"/>
  </r>
  <r>
    <s v="171-7411154-0977947"/>
    <s v="14/02/2023"/>
    <x v="0"/>
    <x v="128"/>
    <x v="13"/>
    <x v="10"/>
    <x v="1"/>
    <s v="Narnaul"/>
    <x v="15"/>
    <n v="999"/>
    <n v="325"/>
    <n v="674"/>
    <n v="240"/>
    <n v="434"/>
  </r>
  <r>
    <s v="171-5816205-9875512"/>
    <s v="14/02/2023"/>
    <x v="0"/>
    <x v="95"/>
    <x v="13"/>
    <x v="10"/>
    <x v="1"/>
    <s v="THANE"/>
    <x v="6"/>
    <n v="899"/>
    <n v="295"/>
    <n v="604"/>
    <n v="240"/>
    <n v="364"/>
  </r>
  <r>
    <s v="407-5525043-3677923"/>
    <s v="14/02/2023"/>
    <x v="0"/>
    <x v="31"/>
    <x v="13"/>
    <x v="10"/>
    <x v="1"/>
    <s v="RAYA"/>
    <x v="1"/>
    <n v="799"/>
    <n v="205"/>
    <n v="594"/>
    <n v="240"/>
    <n v="354"/>
  </r>
  <r>
    <s v="408-0149863-1820377"/>
    <s v="14/02/2023"/>
    <x v="0"/>
    <x v="123"/>
    <x v="13"/>
    <x v="10"/>
    <x v="1"/>
    <s v="CUTTACK"/>
    <x v="14"/>
    <n v="999"/>
    <n v="325"/>
    <n v="674"/>
    <n v="240"/>
    <n v="434"/>
  </r>
  <r>
    <s v="408-8347646-1072327"/>
    <s v="14/02/2023"/>
    <x v="1"/>
    <x v="305"/>
    <x v="13"/>
    <x v="10"/>
    <x v="1"/>
    <s v="MAGAM"/>
    <x v="31"/>
    <n v="0"/>
    <n v="0"/>
    <n v="0"/>
    <n v="0"/>
    <n v="0"/>
  </r>
  <r>
    <s v="405-8103289-7213944"/>
    <s v="14/02/2023"/>
    <x v="0"/>
    <x v="176"/>
    <x v="13"/>
    <x v="10"/>
    <x v="1"/>
    <s v="AMRAVATI"/>
    <x v="6"/>
    <n v="899"/>
    <n v="295"/>
    <n v="604"/>
    <n v="240"/>
    <n v="364"/>
  </r>
  <r>
    <s v="406-4062155-1987519"/>
    <s v="14/02/2023"/>
    <x v="0"/>
    <x v="15"/>
    <x v="13"/>
    <x v="10"/>
    <x v="1"/>
    <s v="OACHIRA"/>
    <x v="9"/>
    <n v="849"/>
    <n v="250"/>
    <n v="599"/>
    <n v="240"/>
    <n v="359"/>
  </r>
  <r>
    <s v="171-8896464-1750767"/>
    <s v="14/02/2023"/>
    <x v="0"/>
    <x v="248"/>
    <x v="13"/>
    <x v="10"/>
    <x v="1"/>
    <s v="MECHERI"/>
    <x v="7"/>
    <n v="799"/>
    <n v="205"/>
    <n v="594"/>
    <n v="240"/>
    <n v="354"/>
  </r>
  <r>
    <s v="405-2260236-6253922"/>
    <s v="14/02/2023"/>
    <x v="0"/>
    <x v="81"/>
    <x v="13"/>
    <x v="10"/>
    <x v="1"/>
    <s v="GREATER NOIDA"/>
    <x v="1"/>
    <n v="799"/>
    <n v="205"/>
    <n v="594"/>
    <n v="240"/>
    <n v="354"/>
  </r>
  <r>
    <s v="406-3609797-6102751"/>
    <s v="14/02/2023"/>
    <x v="0"/>
    <x v="86"/>
    <x v="13"/>
    <x v="10"/>
    <x v="1"/>
    <s v="Amb"/>
    <x v="22"/>
    <n v="899"/>
    <n v="295"/>
    <n v="604"/>
    <n v="240"/>
    <n v="364"/>
  </r>
  <r>
    <s v="407-0027205-3819547"/>
    <s v="14/02/2023"/>
    <x v="0"/>
    <x v="149"/>
    <x v="13"/>
    <x v="10"/>
    <x v="1"/>
    <s v="PUNE"/>
    <x v="6"/>
    <n v="799"/>
    <n v="205"/>
    <n v="594"/>
    <n v="240"/>
    <n v="354"/>
  </r>
  <r>
    <s v="406-4317826-0121954"/>
    <s v="14/02/2023"/>
    <x v="0"/>
    <x v="80"/>
    <x v="13"/>
    <x v="10"/>
    <x v="1"/>
    <s v="DEOBAND"/>
    <x v="1"/>
    <n v="899"/>
    <n v="295"/>
    <n v="604"/>
    <n v="240"/>
    <n v="364"/>
  </r>
  <r>
    <s v="405-1805443-9921103"/>
    <s v="14/02/2023"/>
    <x v="0"/>
    <x v="6"/>
    <x v="13"/>
    <x v="10"/>
    <x v="1"/>
    <s v="AMRAVATI"/>
    <x v="6"/>
    <n v="899"/>
    <n v="295"/>
    <n v="604"/>
    <n v="240"/>
    <n v="364"/>
  </r>
  <r>
    <s v="405-3309351-3985927"/>
    <s v="14/02/2023"/>
    <x v="0"/>
    <x v="161"/>
    <x v="13"/>
    <x v="10"/>
    <x v="1"/>
    <s v="NONGPOH"/>
    <x v="23"/>
    <n v="799"/>
    <n v="205"/>
    <n v="594"/>
    <n v="240"/>
    <n v="354"/>
  </r>
  <r>
    <s v="406-8301289-3333949"/>
    <s v="09/02/2023"/>
    <x v="3"/>
    <x v="25"/>
    <x v="8"/>
    <x v="10"/>
    <x v="1"/>
    <s v="RANCHI"/>
    <x v="11"/>
    <n v="-799"/>
    <n v="320"/>
    <n v="-479"/>
    <n v="240"/>
    <n v="-239"/>
  </r>
  <r>
    <s v="405-1379786-4354766"/>
    <s v="02/02/2023"/>
    <x v="3"/>
    <x v="15"/>
    <x v="1"/>
    <x v="10"/>
    <x v="1"/>
    <s v="AIZAWL"/>
    <x v="28"/>
    <n v="-849"/>
    <n v="345"/>
    <n v="-504"/>
    <n v="240"/>
    <n v="-264"/>
  </r>
  <r>
    <s v="404-5788454-1565924"/>
    <s v="09/02/2023"/>
    <x v="3"/>
    <x v="98"/>
    <x v="8"/>
    <x v="10"/>
    <x v="1"/>
    <s v="SIHOR"/>
    <x v="3"/>
    <n v="-899"/>
    <n v="375"/>
    <n v="-524"/>
    <n v="240"/>
    <n v="-284"/>
  </r>
  <r>
    <s v="402-1849519-1238720"/>
    <s v="06/02/2023"/>
    <x v="3"/>
    <x v="195"/>
    <x v="5"/>
    <x v="10"/>
    <x v="1"/>
    <s v="AHMEDABAD"/>
    <x v="3"/>
    <n v="-799"/>
    <n v="320"/>
    <n v="-479"/>
    <n v="240"/>
    <n v="-239"/>
  </r>
  <r>
    <s v="407-1955090-8365156"/>
    <s v="12/02/2023"/>
    <x v="3"/>
    <x v="126"/>
    <x v="11"/>
    <x v="10"/>
    <x v="1"/>
    <s v="GHAZIABAD"/>
    <x v="1"/>
    <n v="-849"/>
    <n v="345"/>
    <n v="-504"/>
    <n v="240"/>
    <n v="-264"/>
  </r>
  <r>
    <s v="405-0105316-6917134"/>
    <s v="16/02/2023"/>
    <x v="2"/>
    <x v="21"/>
    <x v="15"/>
    <x v="10"/>
    <x v="1"/>
    <s v="DHARMAVARAM"/>
    <x v="2"/>
    <n v="0"/>
    <n v="0"/>
    <n v="0"/>
    <n v="0"/>
    <n v="0"/>
  </r>
  <r>
    <s v="407-7499633-4326762"/>
    <s v="15/02/2023"/>
    <x v="0"/>
    <x v="248"/>
    <x v="14"/>
    <x v="10"/>
    <x v="1"/>
    <s v="BHUBANESWAR"/>
    <x v="14"/>
    <n v="799"/>
    <n v="205"/>
    <n v="594"/>
    <n v="240"/>
    <n v="354"/>
  </r>
  <r>
    <s v="405-4541254-6753133"/>
    <s v="15/02/2023"/>
    <x v="0"/>
    <x v="207"/>
    <x v="14"/>
    <x v="10"/>
    <x v="1"/>
    <s v="Gurgaon"/>
    <x v="15"/>
    <n v="799"/>
    <n v="205"/>
    <n v="594"/>
    <n v="240"/>
    <n v="354"/>
  </r>
  <r>
    <s v="407-4083290-8513925"/>
    <s v="15/02/2023"/>
    <x v="0"/>
    <x v="88"/>
    <x v="14"/>
    <x v="10"/>
    <x v="1"/>
    <s v="ARRAH"/>
    <x v="0"/>
    <n v="899"/>
    <n v="295"/>
    <n v="604"/>
    <n v="240"/>
    <n v="364"/>
  </r>
  <r>
    <s v="404-8274318-3713943"/>
    <s v="15/02/2023"/>
    <x v="0"/>
    <x v="147"/>
    <x v="14"/>
    <x v="10"/>
    <x v="1"/>
    <s v="ERNAKULAM"/>
    <x v="9"/>
    <n v="799"/>
    <n v="205"/>
    <n v="594"/>
    <n v="240"/>
    <n v="354"/>
  </r>
  <r>
    <s v="171-4539049-3103557"/>
    <s v="15/02/2023"/>
    <x v="0"/>
    <x v="86"/>
    <x v="14"/>
    <x v="10"/>
    <x v="1"/>
    <s v="MANGALURU"/>
    <x v="5"/>
    <n v="899"/>
    <n v="295"/>
    <n v="604"/>
    <n v="240"/>
    <n v="364"/>
  </r>
  <r>
    <s v="402-1705208-5353139"/>
    <s v="15/02/2023"/>
    <x v="0"/>
    <x v="123"/>
    <x v="14"/>
    <x v="10"/>
    <x v="1"/>
    <s v="VASAI VIRAR"/>
    <x v="6"/>
    <n v="999"/>
    <n v="325"/>
    <n v="674"/>
    <n v="240"/>
    <n v="434"/>
  </r>
  <r>
    <s v="408-7255371-3584359"/>
    <s v="15/02/2023"/>
    <x v="0"/>
    <x v="133"/>
    <x v="14"/>
    <x v="10"/>
    <x v="1"/>
    <s v="Kolkata"/>
    <x v="18"/>
    <n v="799"/>
    <n v="205"/>
    <n v="594"/>
    <n v="240"/>
    <n v="354"/>
  </r>
  <r>
    <s v="408-1451892-5860369"/>
    <s v="15/02/2023"/>
    <x v="0"/>
    <x v="80"/>
    <x v="14"/>
    <x v="10"/>
    <x v="1"/>
    <s v="NAGPUR"/>
    <x v="6"/>
    <n v="899"/>
    <n v="295"/>
    <n v="604"/>
    <n v="240"/>
    <n v="364"/>
  </r>
  <r>
    <s v="405-6396231-3853138"/>
    <s v="15/02/2023"/>
    <x v="0"/>
    <x v="154"/>
    <x v="14"/>
    <x v="10"/>
    <x v="1"/>
    <s v="VIJAYAWADA"/>
    <x v="2"/>
    <n v="799"/>
    <n v="205"/>
    <n v="594"/>
    <n v="240"/>
    <n v="354"/>
  </r>
  <r>
    <s v="403-6233322-7467563"/>
    <s v="15/02/2023"/>
    <x v="0"/>
    <x v="128"/>
    <x v="14"/>
    <x v="10"/>
    <x v="1"/>
    <s v="RATNAGIRI"/>
    <x v="6"/>
    <n v="999"/>
    <n v="325"/>
    <n v="674"/>
    <n v="240"/>
    <n v="434"/>
  </r>
  <r>
    <s v="171-8718666-2377952"/>
    <s v="15/02/2023"/>
    <x v="0"/>
    <x v="202"/>
    <x v="14"/>
    <x v="10"/>
    <x v="1"/>
    <s v="Dombivali"/>
    <x v="6"/>
    <n v="999"/>
    <n v="325"/>
    <n v="674"/>
    <n v="240"/>
    <n v="434"/>
  </r>
  <r>
    <s v="406-5339600-1235538"/>
    <s v="15/02/2023"/>
    <x v="0"/>
    <x v="44"/>
    <x v="14"/>
    <x v="10"/>
    <x v="1"/>
    <s v="Haldwani"/>
    <x v="24"/>
    <n v="899"/>
    <n v="295"/>
    <n v="604"/>
    <n v="240"/>
    <n v="364"/>
  </r>
  <r>
    <s v="406-0269125-7481977"/>
    <s v="15/02/2023"/>
    <x v="0"/>
    <x v="177"/>
    <x v="14"/>
    <x v="10"/>
    <x v="1"/>
    <s v="BENGALURU"/>
    <x v="5"/>
    <n v="799"/>
    <n v="205"/>
    <n v="594"/>
    <n v="240"/>
    <n v="354"/>
  </r>
  <r>
    <s v="407-8726521-7993964"/>
    <s v="15/02/2023"/>
    <x v="0"/>
    <x v="193"/>
    <x v="14"/>
    <x v="10"/>
    <x v="1"/>
    <s v="MUMBAI"/>
    <x v="6"/>
    <n v="799"/>
    <n v="205"/>
    <n v="594"/>
    <n v="240"/>
    <n v="354"/>
  </r>
  <r>
    <s v="403-6924714-7003559"/>
    <s v="12/02/2023"/>
    <x v="3"/>
    <x v="202"/>
    <x v="11"/>
    <x v="10"/>
    <x v="1"/>
    <s v="BHIWADI"/>
    <x v="10"/>
    <n v="-999"/>
    <n v="395"/>
    <n v="-604"/>
    <n v="240"/>
    <n v="-364"/>
  </r>
  <r>
    <s v="408-3707128-2544320"/>
    <s v="15/02/2023"/>
    <x v="1"/>
    <x v="136"/>
    <x v="14"/>
    <x v="10"/>
    <x v="1"/>
    <s v="GREATER NOIDA"/>
    <x v="1"/>
    <n v="0"/>
    <n v="0"/>
    <n v="0"/>
    <n v="0"/>
    <n v="0"/>
  </r>
  <r>
    <s v="403-9533999-8375550"/>
    <s v="06/02/2023"/>
    <x v="3"/>
    <x v="229"/>
    <x v="5"/>
    <x v="10"/>
    <x v="1"/>
    <s v="CHENNAI"/>
    <x v="7"/>
    <n v="-799"/>
    <n v="320"/>
    <n v="-479"/>
    <n v="240"/>
    <n v="-239"/>
  </r>
  <r>
    <s v="406-1545934-1215543"/>
    <s v="12/02/2023"/>
    <x v="3"/>
    <x v="15"/>
    <x v="11"/>
    <x v="10"/>
    <x v="1"/>
    <s v="BOKARO STEEL CITY"/>
    <x v="11"/>
    <n v="-849"/>
    <n v="345"/>
    <n v="-504"/>
    <n v="240"/>
    <n v="-264"/>
  </r>
  <r>
    <s v="406-4062155-1987519"/>
    <s v="14/02/2023"/>
    <x v="3"/>
    <x v="15"/>
    <x v="13"/>
    <x v="10"/>
    <x v="1"/>
    <s v="OACHIRA"/>
    <x v="9"/>
    <n v="-849"/>
    <n v="345"/>
    <n v="-504"/>
    <n v="240"/>
    <n v="-264"/>
  </r>
  <r>
    <s v="171-7197795-5209937"/>
    <s v="17/02/2023"/>
    <x v="2"/>
    <x v="168"/>
    <x v="16"/>
    <x v="10"/>
    <x v="1"/>
    <s v="pathanamthitta"/>
    <x v="9"/>
    <n v="0"/>
    <n v="0"/>
    <n v="0"/>
    <n v="0"/>
    <n v="0"/>
  </r>
  <r>
    <s v="405-6767647-1562742"/>
    <s v="16/02/2023"/>
    <x v="0"/>
    <x v="229"/>
    <x v="15"/>
    <x v="10"/>
    <x v="1"/>
    <s v="CHENGANNUR"/>
    <x v="9"/>
    <n v="799"/>
    <n v="205"/>
    <n v="594"/>
    <n v="240"/>
    <n v="354"/>
  </r>
  <r>
    <s v="407-6521154-9277909"/>
    <s v="16/02/2023"/>
    <x v="0"/>
    <x v="174"/>
    <x v="15"/>
    <x v="10"/>
    <x v="1"/>
    <s v="Guwahati"/>
    <x v="4"/>
    <n v="799"/>
    <n v="205"/>
    <n v="594"/>
    <n v="240"/>
    <n v="354"/>
  </r>
  <r>
    <s v="407-2772458-3861914"/>
    <s v="16/02/2023"/>
    <x v="0"/>
    <x v="80"/>
    <x v="15"/>
    <x v="10"/>
    <x v="1"/>
    <s v="PATNA"/>
    <x v="0"/>
    <n v="899"/>
    <n v="295"/>
    <n v="604"/>
    <n v="240"/>
    <n v="364"/>
  </r>
  <r>
    <s v="406-5052571-7642707"/>
    <s v="16/02/2023"/>
    <x v="0"/>
    <x v="88"/>
    <x v="15"/>
    <x v="10"/>
    <x v="1"/>
    <s v="Makrana"/>
    <x v="10"/>
    <n v="899"/>
    <n v="295"/>
    <n v="604"/>
    <n v="240"/>
    <n v="364"/>
  </r>
  <r>
    <s v="406-2616399-3462747"/>
    <s v="16/02/2023"/>
    <x v="0"/>
    <x v="31"/>
    <x v="15"/>
    <x v="10"/>
    <x v="1"/>
    <s v="SIWAN"/>
    <x v="0"/>
    <n v="799"/>
    <n v="205"/>
    <n v="594"/>
    <n v="240"/>
    <n v="354"/>
  </r>
  <r>
    <s v="405-8902457-9821169"/>
    <s v="16/02/2023"/>
    <x v="0"/>
    <x v="15"/>
    <x v="15"/>
    <x v="10"/>
    <x v="1"/>
    <s v="BENGALURU"/>
    <x v="5"/>
    <n v="849"/>
    <n v="250"/>
    <n v="599"/>
    <n v="240"/>
    <n v="359"/>
  </r>
  <r>
    <s v="404-6813852-4601939"/>
    <s v="16/02/2023"/>
    <x v="0"/>
    <x v="31"/>
    <x v="15"/>
    <x v="10"/>
    <x v="1"/>
    <s v="GREATER NOIDA"/>
    <x v="1"/>
    <n v="799"/>
    <n v="205"/>
    <n v="594"/>
    <n v="240"/>
    <n v="354"/>
  </r>
  <r>
    <s v="406-5177223-1837967"/>
    <s v="16/02/2023"/>
    <x v="0"/>
    <x v="25"/>
    <x v="15"/>
    <x v="10"/>
    <x v="1"/>
    <s v="AMRAVATI"/>
    <x v="6"/>
    <n v="799"/>
    <n v="205"/>
    <n v="594"/>
    <n v="240"/>
    <n v="354"/>
  </r>
  <r>
    <s v="403-4825225-2041924"/>
    <s v="16/02/2023"/>
    <x v="0"/>
    <x v="137"/>
    <x v="15"/>
    <x v="10"/>
    <x v="1"/>
    <s v="BENGALURU"/>
    <x v="5"/>
    <n v="849"/>
    <n v="250"/>
    <n v="599"/>
    <n v="240"/>
    <n v="359"/>
  </r>
  <r>
    <s v="403-8400705-7096316"/>
    <s v="16/02/2023"/>
    <x v="0"/>
    <x v="59"/>
    <x v="15"/>
    <x v="10"/>
    <x v="1"/>
    <s v="SURAT"/>
    <x v="3"/>
    <n v="899"/>
    <n v="295"/>
    <n v="604"/>
    <n v="240"/>
    <n v="364"/>
  </r>
  <r>
    <s v="402-4215085-5878740"/>
    <s v="16/02/2023"/>
    <x v="0"/>
    <x v="69"/>
    <x v="15"/>
    <x v="10"/>
    <x v="1"/>
    <s v="LUCKNOW"/>
    <x v="1"/>
    <n v="849"/>
    <n v="250"/>
    <n v="599"/>
    <n v="240"/>
    <n v="359"/>
  </r>
  <r>
    <s v="406-1859346-2333129"/>
    <s v="16/02/2023"/>
    <x v="0"/>
    <x v="95"/>
    <x v="15"/>
    <x v="10"/>
    <x v="1"/>
    <s v="MUMBAI"/>
    <x v="6"/>
    <n v="899"/>
    <n v="295"/>
    <n v="604"/>
    <n v="240"/>
    <n v="364"/>
  </r>
  <r>
    <s v="407-1283649-8236309"/>
    <s v="16/02/2023"/>
    <x v="0"/>
    <x v="140"/>
    <x v="15"/>
    <x v="10"/>
    <x v="1"/>
    <s v="Shankarpally"/>
    <x v="8"/>
    <n v="799"/>
    <n v="205"/>
    <n v="594"/>
    <n v="240"/>
    <n v="354"/>
  </r>
  <r>
    <s v="171-8284684-7364336"/>
    <s v="17/02/2023"/>
    <x v="0"/>
    <x v="131"/>
    <x v="16"/>
    <x v="10"/>
    <x v="1"/>
    <s v="BHUBANESWAR"/>
    <x v="14"/>
    <n v="799"/>
    <n v="205"/>
    <n v="594"/>
    <n v="240"/>
    <n v="354"/>
  </r>
  <r>
    <s v="408-1202969-8983543"/>
    <s v="16/02/2023"/>
    <x v="0"/>
    <x v="306"/>
    <x v="15"/>
    <x v="10"/>
    <x v="1"/>
    <s v="GUNTUR"/>
    <x v="2"/>
    <n v="799"/>
    <n v="205"/>
    <n v="594"/>
    <n v="240"/>
    <n v="354"/>
  </r>
  <r>
    <s v="407-1605719-1113949"/>
    <s v="16/02/2023"/>
    <x v="0"/>
    <x v="176"/>
    <x v="15"/>
    <x v="10"/>
    <x v="1"/>
    <s v="AMRAVATI"/>
    <x v="6"/>
    <n v="899"/>
    <n v="295"/>
    <n v="604"/>
    <n v="240"/>
    <n v="364"/>
  </r>
  <r>
    <s v="404-7836511-5270757"/>
    <s v="16/02/2023"/>
    <x v="0"/>
    <x v="15"/>
    <x v="15"/>
    <x v="10"/>
    <x v="1"/>
    <s v="Ernakulam"/>
    <x v="9"/>
    <n v="849"/>
    <n v="250"/>
    <n v="599"/>
    <n v="240"/>
    <n v="359"/>
  </r>
  <r>
    <s v="408-6878215-4756347"/>
    <s v="16/02/2023"/>
    <x v="1"/>
    <x v="15"/>
    <x v="15"/>
    <x v="10"/>
    <x v="1"/>
    <s v="NAGPUR"/>
    <x v="6"/>
    <n v="0"/>
    <n v="0"/>
    <n v="0"/>
    <n v="0"/>
    <n v="0"/>
  </r>
  <r>
    <s v="402-6022257-4895507"/>
    <s v="16/02/2023"/>
    <x v="0"/>
    <x v="164"/>
    <x v="15"/>
    <x v="10"/>
    <x v="1"/>
    <s v="AMRAVATI"/>
    <x v="6"/>
    <n v="849"/>
    <n v="250"/>
    <n v="599"/>
    <n v="240"/>
    <n v="359"/>
  </r>
  <r>
    <s v="407-4523993-5528341"/>
    <s v="11/02/2023"/>
    <x v="3"/>
    <x v="133"/>
    <x v="9"/>
    <x v="10"/>
    <x v="1"/>
    <s v="KOLKATA"/>
    <x v="18"/>
    <n v="-799"/>
    <n v="320"/>
    <n v="-479"/>
    <n v="240"/>
    <n v="-239"/>
  </r>
  <r>
    <s v="171-6320160-5449917"/>
    <s v="16/02/2023"/>
    <x v="0"/>
    <x v="44"/>
    <x v="15"/>
    <x v="10"/>
    <x v="1"/>
    <s v="MAHUVA"/>
    <x v="3"/>
    <n v="899"/>
    <n v="295"/>
    <n v="604"/>
    <n v="240"/>
    <n v="364"/>
  </r>
  <r>
    <s v="402-7730035-4089929"/>
    <s v="16/02/2023"/>
    <x v="0"/>
    <x v="44"/>
    <x v="15"/>
    <x v="10"/>
    <x v="1"/>
    <s v="URAN"/>
    <x v="6"/>
    <n v="899"/>
    <n v="295"/>
    <n v="604"/>
    <n v="240"/>
    <n v="364"/>
  </r>
  <r>
    <s v="404-2119346-8034755"/>
    <s v="10/02/2023"/>
    <x v="3"/>
    <x v="190"/>
    <x v="10"/>
    <x v="10"/>
    <x v="1"/>
    <s v="NEW DELHI"/>
    <x v="16"/>
    <n v="-799"/>
    <n v="320"/>
    <n v="-479"/>
    <n v="240"/>
    <n v="-239"/>
  </r>
  <r>
    <s v="405-3749624-9057933"/>
    <s v="06/02/2023"/>
    <x v="3"/>
    <x v="252"/>
    <x v="5"/>
    <x v="10"/>
    <x v="1"/>
    <s v="LUCKNOW"/>
    <x v="1"/>
    <n v="-799"/>
    <n v="320"/>
    <n v="-479"/>
    <n v="240"/>
    <n v="-239"/>
  </r>
  <r>
    <s v="404-8479996-1037915"/>
    <s v="12/02/2023"/>
    <x v="3"/>
    <x v="224"/>
    <x v="11"/>
    <x v="10"/>
    <x v="1"/>
    <s v="RISHIKESH"/>
    <x v="24"/>
    <n v="-849"/>
    <n v="345"/>
    <n v="-504"/>
    <n v="240"/>
    <n v="-264"/>
  </r>
  <r>
    <s v="408-4945548-9235564"/>
    <s v="14/02/2023"/>
    <x v="3"/>
    <x v="15"/>
    <x v="13"/>
    <x v="10"/>
    <x v="1"/>
    <s v="GREATER NOIDA"/>
    <x v="1"/>
    <n v="-849"/>
    <n v="345"/>
    <n v="-504"/>
    <n v="240"/>
    <n v="-264"/>
  </r>
  <r>
    <s v="407-6227906-5203504"/>
    <s v="17/02/2023"/>
    <x v="0"/>
    <x v="164"/>
    <x v="16"/>
    <x v="10"/>
    <x v="1"/>
    <s v="CHENNAI"/>
    <x v="7"/>
    <n v="849"/>
    <n v="250"/>
    <n v="599"/>
    <n v="240"/>
    <n v="359"/>
  </r>
  <r>
    <s v="171-7197795-5209937"/>
    <s v="17/02/2023"/>
    <x v="0"/>
    <x v="168"/>
    <x v="16"/>
    <x v="10"/>
    <x v="1"/>
    <s v="pathanamthitta"/>
    <x v="9"/>
    <n v="799"/>
    <n v="205"/>
    <n v="594"/>
    <n v="240"/>
    <n v="354"/>
  </r>
  <r>
    <s v="405-9978421-7049934"/>
    <s v="17/02/2023"/>
    <x v="0"/>
    <x v="125"/>
    <x v="16"/>
    <x v="10"/>
    <x v="1"/>
    <s v="BENGALURU"/>
    <x v="5"/>
    <n v="999"/>
    <n v="325"/>
    <n v="674"/>
    <n v="240"/>
    <n v="434"/>
  </r>
  <r>
    <s v="403-1984501-4057969"/>
    <s v="17/02/2023"/>
    <x v="0"/>
    <x v="193"/>
    <x v="16"/>
    <x v="10"/>
    <x v="1"/>
    <s v="MALLASAMUDRAM"/>
    <x v="7"/>
    <n v="799"/>
    <n v="205"/>
    <n v="594"/>
    <n v="240"/>
    <n v="354"/>
  </r>
  <r>
    <s v="402-4556354-0209926"/>
    <s v="17/02/2023"/>
    <x v="0"/>
    <x v="307"/>
    <x v="16"/>
    <x v="10"/>
    <x v="1"/>
    <s v="MANDSAUR"/>
    <x v="13"/>
    <n v="799"/>
    <n v="205"/>
    <n v="594"/>
    <n v="240"/>
    <n v="354"/>
  </r>
  <r>
    <s v="403-1275745-6283502"/>
    <s v="17/02/2023"/>
    <x v="0"/>
    <x v="80"/>
    <x v="16"/>
    <x v="10"/>
    <x v="1"/>
    <s v="RANCHI"/>
    <x v="11"/>
    <n v="899"/>
    <n v="295"/>
    <n v="604"/>
    <n v="240"/>
    <n v="364"/>
  </r>
  <r>
    <s v="407-6091850-2821150"/>
    <s v="17/02/2023"/>
    <x v="0"/>
    <x v="98"/>
    <x v="16"/>
    <x v="10"/>
    <x v="1"/>
    <s v="VADAKKUMMURI"/>
    <x v="9"/>
    <n v="899"/>
    <n v="295"/>
    <n v="604"/>
    <n v="240"/>
    <n v="364"/>
  </r>
  <r>
    <s v="171-2554257-5100303"/>
    <s v="17/02/2023"/>
    <x v="0"/>
    <x v="95"/>
    <x v="16"/>
    <x v="10"/>
    <x v="1"/>
    <s v="NOIDA"/>
    <x v="1"/>
    <n v="899"/>
    <n v="295"/>
    <n v="604"/>
    <n v="240"/>
    <n v="364"/>
  </r>
  <r>
    <s v="402-0801641-5901153"/>
    <s v="17/02/2023"/>
    <x v="0"/>
    <x v="79"/>
    <x v="16"/>
    <x v="10"/>
    <x v="1"/>
    <s v="SAMBHAL"/>
    <x v="1"/>
    <n v="899"/>
    <n v="295"/>
    <n v="604"/>
    <n v="240"/>
    <n v="364"/>
  </r>
  <r>
    <s v="408-7128925-2069908"/>
    <s v="10/02/2023"/>
    <x v="3"/>
    <x v="202"/>
    <x v="10"/>
    <x v="10"/>
    <x v="1"/>
    <s v="ANKLESHWAR"/>
    <x v="3"/>
    <n v="-999"/>
    <n v="395"/>
    <n v="-604"/>
    <n v="240"/>
    <n v="-364"/>
  </r>
  <r>
    <s v="405-0683255-4627502"/>
    <s v="06/02/2023"/>
    <x v="3"/>
    <x v="254"/>
    <x v="5"/>
    <x v="10"/>
    <x v="1"/>
    <s v="HYDERABAD"/>
    <x v="8"/>
    <n v="-799"/>
    <n v="320"/>
    <n v="-479"/>
    <n v="240"/>
    <n v="-239"/>
  </r>
  <r>
    <s v="403-6319619-8724304"/>
    <s v="13/02/2023"/>
    <x v="3"/>
    <x v="304"/>
    <x v="12"/>
    <x v="10"/>
    <x v="1"/>
    <s v="SHIMLA"/>
    <x v="22"/>
    <n v="-799"/>
    <n v="320"/>
    <n v="-479"/>
    <n v="240"/>
    <n v="-239"/>
  </r>
  <r>
    <s v="404-7836511-5270757"/>
    <s v="16/02/2023"/>
    <x v="3"/>
    <x v="15"/>
    <x v="15"/>
    <x v="10"/>
    <x v="1"/>
    <s v="Ernakulam"/>
    <x v="9"/>
    <n v="-849"/>
    <n v="345"/>
    <n v="-504"/>
    <n v="240"/>
    <n v="-264"/>
  </r>
  <r>
    <s v="402-9938414-2661161"/>
    <s v="11/02/2023"/>
    <x v="3"/>
    <x v="129"/>
    <x v="9"/>
    <x v="10"/>
    <x v="1"/>
    <s v="NEW DELHI"/>
    <x v="16"/>
    <n v="-799"/>
    <n v="320"/>
    <n v="-479"/>
    <n v="240"/>
    <n v="-239"/>
  </r>
  <r>
    <s v="407-2501637-4635513"/>
    <s v="18/02/2023"/>
    <x v="2"/>
    <x v="79"/>
    <x v="18"/>
    <x v="10"/>
    <x v="1"/>
    <s v="THANE"/>
    <x v="6"/>
    <n v="0"/>
    <n v="0"/>
    <n v="0"/>
    <n v="0"/>
    <n v="0"/>
  </r>
  <r>
    <s v="408-4503120-1521950"/>
    <s v="10/02/2023"/>
    <x v="3"/>
    <x v="25"/>
    <x v="10"/>
    <x v="10"/>
    <x v="1"/>
    <s v="KATIHAR"/>
    <x v="0"/>
    <n v="-799"/>
    <n v="320"/>
    <n v="-479"/>
    <n v="240"/>
    <n v="-239"/>
  </r>
  <r>
    <s v="404-0820495-5128342"/>
    <s v="14/02/2023"/>
    <x v="3"/>
    <x v="124"/>
    <x v="13"/>
    <x v="10"/>
    <x v="1"/>
    <s v="AHMEDABAD"/>
    <x v="3"/>
    <n v="-999"/>
    <n v="395"/>
    <n v="-604"/>
    <n v="240"/>
    <n v="-364"/>
  </r>
  <r>
    <s v="405-8803228-8550747"/>
    <s v="10/02/2023"/>
    <x v="3"/>
    <x v="153"/>
    <x v="10"/>
    <x v="10"/>
    <x v="1"/>
    <s v="HYDERABAD"/>
    <x v="8"/>
    <n v="-799"/>
    <n v="320"/>
    <n v="-479"/>
    <n v="240"/>
    <n v="-239"/>
  </r>
  <r>
    <s v="406-6118156-3093913"/>
    <s v="05/02/2023"/>
    <x v="3"/>
    <x v="68"/>
    <x v="4"/>
    <x v="10"/>
    <x v="1"/>
    <s v="SANCHORE"/>
    <x v="10"/>
    <n v="-799"/>
    <n v="320"/>
    <n v="-479"/>
    <n v="240"/>
    <n v="-239"/>
  </r>
  <r>
    <s v="408-8967053-5578731"/>
    <s v="12/02/2023"/>
    <x v="3"/>
    <x v="220"/>
    <x v="11"/>
    <x v="10"/>
    <x v="1"/>
    <s v="CHENNAI"/>
    <x v="7"/>
    <n v="-799"/>
    <n v="320"/>
    <n v="-479"/>
    <n v="240"/>
    <n v="-239"/>
  </r>
  <r>
    <s v="405-2454585-2378757"/>
    <s v="19/02/2023"/>
    <x v="2"/>
    <x v="59"/>
    <x v="17"/>
    <x v="10"/>
    <x v="1"/>
    <s v="CONTAI"/>
    <x v="18"/>
    <n v="0"/>
    <n v="0"/>
    <n v="0"/>
    <n v="0"/>
    <n v="0"/>
  </r>
  <r>
    <s v="405-2559812-9469105"/>
    <s v="18/02/2023"/>
    <x v="0"/>
    <x v="302"/>
    <x v="18"/>
    <x v="10"/>
    <x v="1"/>
    <s v="HYDERABAD"/>
    <x v="8"/>
    <n v="799"/>
    <n v="205"/>
    <n v="594"/>
    <n v="240"/>
    <n v="354"/>
  </r>
  <r>
    <s v="402-1193221-0714745"/>
    <s v="19/02/2023"/>
    <x v="0"/>
    <x v="308"/>
    <x v="17"/>
    <x v="10"/>
    <x v="1"/>
    <s v="BUXAR"/>
    <x v="0"/>
    <n v="849"/>
    <n v="250"/>
    <n v="599"/>
    <n v="240"/>
    <n v="359"/>
  </r>
  <r>
    <s v="171-4981210-0531554"/>
    <s v="18/02/2023"/>
    <x v="0"/>
    <x v="74"/>
    <x v="18"/>
    <x v="10"/>
    <x v="1"/>
    <s v="VILLUPURAM"/>
    <x v="7"/>
    <n v="899"/>
    <n v="295"/>
    <n v="604"/>
    <n v="240"/>
    <n v="364"/>
  </r>
  <r>
    <s v="405-3698660-2209106"/>
    <s v="19/02/2023"/>
    <x v="0"/>
    <x v="289"/>
    <x v="17"/>
    <x v="10"/>
    <x v="1"/>
    <s v="BENGALURU"/>
    <x v="5"/>
    <n v="799"/>
    <n v="205"/>
    <n v="594"/>
    <n v="240"/>
    <n v="354"/>
  </r>
  <r>
    <s v="171-0494305-3139553"/>
    <s v="18/02/2023"/>
    <x v="0"/>
    <x v="147"/>
    <x v="18"/>
    <x v="10"/>
    <x v="1"/>
    <s v="THANE"/>
    <x v="6"/>
    <n v="799"/>
    <n v="205"/>
    <n v="594"/>
    <n v="240"/>
    <n v="354"/>
  </r>
  <r>
    <s v="408-0733706-3155526"/>
    <s v="18/02/2023"/>
    <x v="0"/>
    <x v="80"/>
    <x v="18"/>
    <x v="10"/>
    <x v="1"/>
    <s v="KOCHI"/>
    <x v="9"/>
    <n v="899"/>
    <n v="295"/>
    <n v="604"/>
    <n v="240"/>
    <n v="364"/>
  </r>
  <r>
    <s v="408-9795657-1553108"/>
    <s v="18/02/2023"/>
    <x v="1"/>
    <x v="216"/>
    <x v="18"/>
    <x v="10"/>
    <x v="1"/>
    <s v="Gurgaon"/>
    <x v="15"/>
    <n v="0"/>
    <n v="0"/>
    <n v="0"/>
    <n v="0"/>
    <n v="0"/>
  </r>
  <r>
    <s v="405-9085476-7694718"/>
    <s v="18/02/2023"/>
    <x v="0"/>
    <x v="74"/>
    <x v="18"/>
    <x v="10"/>
    <x v="1"/>
    <s v="MUMBAI"/>
    <x v="6"/>
    <n v="899"/>
    <n v="295"/>
    <n v="604"/>
    <n v="240"/>
    <n v="364"/>
  </r>
  <r>
    <s v="404-1272936-3904367"/>
    <s v="19/02/2023"/>
    <x v="0"/>
    <x v="80"/>
    <x v="17"/>
    <x v="10"/>
    <x v="1"/>
    <s v="NEW TOWN"/>
    <x v="18"/>
    <n v="899"/>
    <n v="295"/>
    <n v="604"/>
    <n v="240"/>
    <n v="364"/>
  </r>
  <r>
    <s v="408-0347597-0701935"/>
    <s v="19/02/2023"/>
    <x v="1"/>
    <x v="44"/>
    <x v="17"/>
    <x v="10"/>
    <x v="1"/>
    <s v="Haldwani"/>
    <x v="24"/>
    <n v="0"/>
    <n v="0"/>
    <n v="0"/>
    <n v="0"/>
    <n v="0"/>
  </r>
  <r>
    <s v="407-2501637-4635513"/>
    <s v="18/02/2023"/>
    <x v="0"/>
    <x v="79"/>
    <x v="18"/>
    <x v="10"/>
    <x v="1"/>
    <s v="THANE"/>
    <x v="6"/>
    <n v="899"/>
    <n v="295"/>
    <n v="604"/>
    <n v="240"/>
    <n v="364"/>
  </r>
  <r>
    <s v="407-1559568-4802769"/>
    <s v="19/02/2023"/>
    <x v="0"/>
    <x v="230"/>
    <x v="17"/>
    <x v="10"/>
    <x v="1"/>
    <s v="Bengaluru"/>
    <x v="5"/>
    <n v="849"/>
    <n v="250"/>
    <n v="599"/>
    <n v="240"/>
    <n v="359"/>
  </r>
  <r>
    <s v="402-5302480-0317950"/>
    <s v="19/02/2023"/>
    <x v="0"/>
    <x v="154"/>
    <x v="17"/>
    <x v="10"/>
    <x v="1"/>
    <s v="PUNE"/>
    <x v="6"/>
    <n v="799"/>
    <n v="205"/>
    <n v="594"/>
    <n v="240"/>
    <n v="354"/>
  </r>
  <r>
    <s v="408-6895183-4821117"/>
    <s v="19/02/2023"/>
    <x v="1"/>
    <x v="202"/>
    <x v="17"/>
    <x v="10"/>
    <x v="1"/>
    <s v="INDORE"/>
    <x v="13"/>
    <n v="0"/>
    <n v="0"/>
    <n v="0"/>
    <n v="0"/>
    <n v="0"/>
  </r>
  <r>
    <s v="171-9133887-3895543"/>
    <s v="18/02/2023"/>
    <x v="0"/>
    <x v="80"/>
    <x v="18"/>
    <x v="10"/>
    <x v="1"/>
    <s v="Fatehgarh Sahib"/>
    <x v="26"/>
    <n v="899"/>
    <n v="295"/>
    <n v="604"/>
    <n v="240"/>
    <n v="364"/>
  </r>
  <r>
    <s v="402-3504695-0066767"/>
    <s v="17/02/2023"/>
    <x v="0"/>
    <x v="309"/>
    <x v="16"/>
    <x v="10"/>
    <x v="1"/>
    <s v="KOLKATA"/>
    <x v="18"/>
    <n v="999"/>
    <n v="325"/>
    <n v="674"/>
    <n v="240"/>
    <n v="434"/>
  </r>
  <r>
    <s v="407-1958299-4974734"/>
    <s v="13/02/2023"/>
    <x v="3"/>
    <x v="15"/>
    <x v="12"/>
    <x v="10"/>
    <x v="1"/>
    <s v="SURAT"/>
    <x v="3"/>
    <n v="-849"/>
    <n v="345"/>
    <n v="-504"/>
    <n v="240"/>
    <n v="-264"/>
  </r>
  <r>
    <s v="403-4825225-2041924"/>
    <s v="16/02/2023"/>
    <x v="3"/>
    <x v="137"/>
    <x v="15"/>
    <x v="10"/>
    <x v="1"/>
    <s v="BENGALURU"/>
    <x v="5"/>
    <n v="-849"/>
    <n v="345"/>
    <n v="-504"/>
    <n v="240"/>
    <n v="-264"/>
  </r>
  <r>
    <s v="171-7411154-0977947"/>
    <s v="14/02/2023"/>
    <x v="3"/>
    <x v="128"/>
    <x v="13"/>
    <x v="10"/>
    <x v="1"/>
    <s v="Narnaul"/>
    <x v="15"/>
    <n v="-999"/>
    <n v="395"/>
    <n v="-604"/>
    <n v="240"/>
    <n v="-364"/>
  </r>
  <r>
    <s v="402-7815654-8024341"/>
    <s v="13/02/2023"/>
    <x v="3"/>
    <x v="80"/>
    <x v="12"/>
    <x v="10"/>
    <x v="1"/>
    <s v="Jaipur"/>
    <x v="10"/>
    <n v="-899"/>
    <n v="375"/>
    <n v="-524"/>
    <n v="240"/>
    <n v="-284"/>
  </r>
  <r>
    <s v="406-4317826-0121954"/>
    <s v="14/02/2023"/>
    <x v="3"/>
    <x v="80"/>
    <x v="13"/>
    <x v="10"/>
    <x v="1"/>
    <s v="DEOBAND"/>
    <x v="1"/>
    <n v="-899"/>
    <n v="375"/>
    <n v="-524"/>
    <n v="240"/>
    <n v="-284"/>
  </r>
  <r>
    <s v="405-3570775-4645918"/>
    <s v="20/02/2023"/>
    <x v="2"/>
    <x v="176"/>
    <x v="19"/>
    <x v="10"/>
    <x v="1"/>
    <s v="MUDKHED"/>
    <x v="6"/>
    <n v="0"/>
    <n v="0"/>
    <n v="0"/>
    <n v="0"/>
    <n v="0"/>
  </r>
  <r>
    <s v="404-6813852-4601939"/>
    <s v="16/02/2023"/>
    <x v="3"/>
    <x v="31"/>
    <x v="15"/>
    <x v="10"/>
    <x v="1"/>
    <s v="GREATER NOIDA"/>
    <x v="1"/>
    <n v="-799"/>
    <n v="320"/>
    <n v="-479"/>
    <n v="240"/>
    <n v="-239"/>
  </r>
  <r>
    <s v="408-0100106-4314701"/>
    <s v="20/02/2023"/>
    <x v="0"/>
    <x v="98"/>
    <x v="19"/>
    <x v="10"/>
    <x v="1"/>
    <s v="Vizianagaram"/>
    <x v="2"/>
    <n v="899"/>
    <n v="295"/>
    <n v="604"/>
    <n v="240"/>
    <n v="364"/>
  </r>
  <r>
    <s v="402-4983218-9137120"/>
    <s v="20/02/2023"/>
    <x v="0"/>
    <x v="193"/>
    <x v="19"/>
    <x v="10"/>
    <x v="1"/>
    <s v="BANGALORE"/>
    <x v="5"/>
    <n v="799"/>
    <n v="205"/>
    <n v="594"/>
    <n v="240"/>
    <n v="354"/>
  </r>
  <r>
    <s v="404-1253401-1196347"/>
    <s v="20/02/2023"/>
    <x v="0"/>
    <x v="168"/>
    <x v="19"/>
    <x v="10"/>
    <x v="1"/>
    <s v="JAGGAYYAPET"/>
    <x v="2"/>
    <n v="799"/>
    <n v="205"/>
    <n v="594"/>
    <n v="240"/>
    <n v="354"/>
  </r>
  <r>
    <s v="406-5175430-7849144"/>
    <s v="20/02/2023"/>
    <x v="0"/>
    <x v="188"/>
    <x v="19"/>
    <x v="10"/>
    <x v="1"/>
    <s v="MANDVI"/>
    <x v="3"/>
    <n v="799"/>
    <n v="205"/>
    <n v="594"/>
    <n v="240"/>
    <n v="354"/>
  </r>
  <r>
    <s v="406-1779996-4894737"/>
    <s v="19/02/2023"/>
    <x v="0"/>
    <x v="79"/>
    <x v="17"/>
    <x v="10"/>
    <x v="1"/>
    <s v="PANCHKULA"/>
    <x v="15"/>
    <n v="899"/>
    <n v="295"/>
    <n v="604"/>
    <n v="240"/>
    <n v="364"/>
  </r>
  <r>
    <s v="405-0548573-1436361"/>
    <s v="20/02/2023"/>
    <x v="0"/>
    <x v="173"/>
    <x v="19"/>
    <x v="10"/>
    <x v="1"/>
    <s v="PIPARIYA"/>
    <x v="13"/>
    <n v="799"/>
    <n v="205"/>
    <n v="594"/>
    <n v="240"/>
    <n v="354"/>
  </r>
  <r>
    <s v="408-4626384-3565107"/>
    <s v="19/02/2023"/>
    <x v="0"/>
    <x v="206"/>
    <x v="17"/>
    <x v="10"/>
    <x v="1"/>
    <s v="SHERGHATI"/>
    <x v="0"/>
    <n v="899"/>
    <n v="295"/>
    <n v="604"/>
    <n v="240"/>
    <n v="364"/>
  </r>
  <r>
    <s v="407-7499633-4326762"/>
    <s v="15/02/2023"/>
    <x v="3"/>
    <x v="248"/>
    <x v="14"/>
    <x v="10"/>
    <x v="1"/>
    <s v="BHUBANESWAR"/>
    <x v="14"/>
    <n v="-799"/>
    <n v="320"/>
    <n v="-479"/>
    <n v="240"/>
    <n v="-239"/>
  </r>
  <r>
    <s v="404-1548518-4921126"/>
    <s v="12/02/2023"/>
    <x v="3"/>
    <x v="44"/>
    <x v="11"/>
    <x v="10"/>
    <x v="1"/>
    <s v="NEW DELHI"/>
    <x v="16"/>
    <n v="-899"/>
    <n v="375"/>
    <n v="-524"/>
    <n v="240"/>
    <n v="-284"/>
  </r>
  <r>
    <s v="407-5609922-1005155"/>
    <s v="12/02/2023"/>
    <x v="3"/>
    <x v="145"/>
    <x v="11"/>
    <x v="10"/>
    <x v="1"/>
    <s v="PIMPRI CHINCHWAD"/>
    <x v="6"/>
    <n v="-799"/>
    <n v="320"/>
    <n v="-479"/>
    <n v="240"/>
    <n v="-239"/>
  </r>
  <r>
    <s v="407-5609922-1005155"/>
    <s v="12/02/2023"/>
    <x v="3"/>
    <x v="229"/>
    <x v="11"/>
    <x v="10"/>
    <x v="1"/>
    <s v="PIMPRI CHINCHWAD"/>
    <x v="6"/>
    <n v="-799"/>
    <n v="320"/>
    <n v="-479"/>
    <n v="240"/>
    <n v="-239"/>
  </r>
  <r>
    <s v="408-1202969-8983543"/>
    <s v="16/02/2023"/>
    <x v="3"/>
    <x v="306"/>
    <x v="15"/>
    <x v="10"/>
    <x v="1"/>
    <s v="GUNTUR"/>
    <x v="2"/>
    <n v="-799"/>
    <n v="320"/>
    <n v="-479"/>
    <n v="240"/>
    <n v="-239"/>
  </r>
  <r>
    <s v="408-2425254-5684359"/>
    <s v="20/02/2023"/>
    <x v="0"/>
    <x v="124"/>
    <x v="19"/>
    <x v="10"/>
    <x v="1"/>
    <s v="Thiruvallur"/>
    <x v="7"/>
    <n v="999"/>
    <n v="325"/>
    <n v="674"/>
    <n v="240"/>
    <n v="434"/>
  </r>
  <r>
    <s v="407-3616512-5735555"/>
    <s v="21/02/2023"/>
    <x v="0"/>
    <x v="191"/>
    <x v="20"/>
    <x v="10"/>
    <x v="1"/>
    <s v="BHUBANESWAR"/>
    <x v="14"/>
    <n v="799"/>
    <n v="205"/>
    <n v="594"/>
    <n v="240"/>
    <n v="354"/>
  </r>
  <r>
    <s v="405-3592968-2131501"/>
    <s v="21/02/2023"/>
    <x v="0"/>
    <x v="59"/>
    <x v="20"/>
    <x v="10"/>
    <x v="1"/>
    <s v="ALONG"/>
    <x v="34"/>
    <n v="899"/>
    <n v="295"/>
    <n v="604"/>
    <n v="240"/>
    <n v="364"/>
  </r>
  <r>
    <s v="404-2932090-1841144"/>
    <s v="20/02/2023"/>
    <x v="0"/>
    <x v="181"/>
    <x v="19"/>
    <x v="10"/>
    <x v="1"/>
    <s v="CHAKAPARA"/>
    <x v="18"/>
    <n v="799"/>
    <n v="205"/>
    <n v="594"/>
    <n v="240"/>
    <n v="354"/>
  </r>
  <r>
    <s v="405-1840112-1089122"/>
    <s v="20/02/2023"/>
    <x v="0"/>
    <x v="95"/>
    <x v="19"/>
    <x v="10"/>
    <x v="1"/>
    <s v="RAJKOT"/>
    <x v="3"/>
    <n v="899"/>
    <n v="295"/>
    <n v="604"/>
    <n v="240"/>
    <n v="364"/>
  </r>
  <r>
    <s v="402-7911184-5025910"/>
    <s v="21/02/2023"/>
    <x v="0"/>
    <x v="156"/>
    <x v="20"/>
    <x v="10"/>
    <x v="1"/>
    <s v="PALLICHAL"/>
    <x v="9"/>
    <n v="799"/>
    <n v="205"/>
    <n v="594"/>
    <n v="240"/>
    <n v="354"/>
  </r>
  <r>
    <s v="404-4475923-2005922"/>
    <s v="21/02/2023"/>
    <x v="0"/>
    <x v="154"/>
    <x v="20"/>
    <x v="10"/>
    <x v="1"/>
    <s v="Chamarajanagar"/>
    <x v="5"/>
    <n v="799"/>
    <n v="205"/>
    <n v="594"/>
    <n v="240"/>
    <n v="354"/>
  </r>
  <r>
    <s v="407-5017963-8437124"/>
    <s v="21/02/2023"/>
    <x v="0"/>
    <x v="80"/>
    <x v="20"/>
    <x v="10"/>
    <x v="1"/>
    <s v="GORAKHPUR"/>
    <x v="1"/>
    <n v="899"/>
    <n v="295"/>
    <n v="604"/>
    <n v="240"/>
    <n v="364"/>
  </r>
  <r>
    <s v="406-7740063-0660339"/>
    <s v="21/02/2023"/>
    <x v="0"/>
    <x v="132"/>
    <x v="20"/>
    <x v="10"/>
    <x v="1"/>
    <s v="BHANDARA"/>
    <x v="6"/>
    <n v="849"/>
    <n v="250"/>
    <n v="599"/>
    <n v="240"/>
    <n v="359"/>
  </r>
  <r>
    <s v="171-8734249-9724345"/>
    <s v="20/02/2023"/>
    <x v="0"/>
    <x v="193"/>
    <x v="19"/>
    <x v="10"/>
    <x v="1"/>
    <s v="VASAI VIRAR"/>
    <x v="6"/>
    <n v="799"/>
    <n v="205"/>
    <n v="594"/>
    <n v="240"/>
    <n v="354"/>
  </r>
  <r>
    <s v="404-0081588-3565960"/>
    <s v="20/02/2023"/>
    <x v="0"/>
    <x v="52"/>
    <x v="19"/>
    <x v="10"/>
    <x v="1"/>
    <s v="MUZAFFARPUR"/>
    <x v="0"/>
    <n v="899"/>
    <n v="295"/>
    <n v="604"/>
    <n v="240"/>
    <n v="364"/>
  </r>
  <r>
    <s v="405-3570775-4645918"/>
    <s v="20/02/2023"/>
    <x v="0"/>
    <x v="176"/>
    <x v="19"/>
    <x v="10"/>
    <x v="1"/>
    <s v="MUDKHED"/>
    <x v="6"/>
    <n v="899"/>
    <n v="295"/>
    <n v="604"/>
    <n v="240"/>
    <n v="364"/>
  </r>
  <r>
    <s v="404-3663974-8765142"/>
    <s v="20/02/2023"/>
    <x v="0"/>
    <x v="44"/>
    <x v="19"/>
    <x v="10"/>
    <x v="1"/>
    <s v="Shillong"/>
    <x v="23"/>
    <n v="899"/>
    <n v="295"/>
    <n v="604"/>
    <n v="240"/>
    <n v="364"/>
  </r>
  <r>
    <s v="407-5849913-5353140"/>
    <s v="13/02/2023"/>
    <x v="3"/>
    <x v="180"/>
    <x v="12"/>
    <x v="10"/>
    <x v="1"/>
    <s v="REWA"/>
    <x v="13"/>
    <n v="-799"/>
    <n v="320"/>
    <n v="-479"/>
    <n v="240"/>
    <n v="-239"/>
  </r>
  <r>
    <s v="402-4556354-0209926"/>
    <s v="17/02/2023"/>
    <x v="3"/>
    <x v="307"/>
    <x v="16"/>
    <x v="10"/>
    <x v="1"/>
    <s v="MANDSAUR"/>
    <x v="13"/>
    <n v="-799"/>
    <n v="320"/>
    <n v="-479"/>
    <n v="240"/>
    <n v="-239"/>
  </r>
  <r>
    <s v="403-8400705-7096316"/>
    <s v="16/02/2023"/>
    <x v="3"/>
    <x v="59"/>
    <x v="15"/>
    <x v="10"/>
    <x v="1"/>
    <s v="SURAT"/>
    <x v="3"/>
    <n v="-899"/>
    <n v="375"/>
    <n v="-524"/>
    <n v="240"/>
    <n v="-284"/>
  </r>
  <r>
    <s v="406-6123751-8848318"/>
    <s v="21/02/2023"/>
    <x v="0"/>
    <x v="21"/>
    <x v="20"/>
    <x v="10"/>
    <x v="1"/>
    <s v="NEW DELHI"/>
    <x v="16"/>
    <n v="899"/>
    <n v="295"/>
    <n v="604"/>
    <n v="240"/>
    <n v="364"/>
  </r>
  <r>
    <s v="406-6100115-7052349"/>
    <s v="21/02/2023"/>
    <x v="0"/>
    <x v="44"/>
    <x v="20"/>
    <x v="10"/>
    <x v="1"/>
    <s v="FARIDABAD"/>
    <x v="15"/>
    <n v="899"/>
    <n v="295"/>
    <n v="604"/>
    <n v="240"/>
    <n v="364"/>
  </r>
  <r>
    <s v="402-9260213-9798768"/>
    <s v="21/02/2023"/>
    <x v="0"/>
    <x v="44"/>
    <x v="20"/>
    <x v="10"/>
    <x v="1"/>
    <s v="NEW DELHI"/>
    <x v="16"/>
    <n v="899"/>
    <n v="295"/>
    <n v="604"/>
    <n v="240"/>
    <n v="364"/>
  </r>
  <r>
    <s v="402-0103113-7049911"/>
    <s v="22/02/2023"/>
    <x v="0"/>
    <x v="147"/>
    <x v="21"/>
    <x v="10"/>
    <x v="1"/>
    <s v="Panaji"/>
    <x v="21"/>
    <n v="799"/>
    <n v="205"/>
    <n v="594"/>
    <n v="240"/>
    <n v="354"/>
  </r>
  <r>
    <s v="406-6138338-2937942"/>
    <s v="22/02/2023"/>
    <x v="0"/>
    <x v="310"/>
    <x v="21"/>
    <x v="10"/>
    <x v="1"/>
    <s v="BENGALURU"/>
    <x v="5"/>
    <n v="999"/>
    <n v="325"/>
    <n v="674"/>
    <n v="240"/>
    <n v="434"/>
  </r>
  <r>
    <s v="403-6429113-0811508"/>
    <s v="22/02/2023"/>
    <x v="0"/>
    <x v="169"/>
    <x v="21"/>
    <x v="10"/>
    <x v="1"/>
    <s v="JAIPUR"/>
    <x v="10"/>
    <n v="799"/>
    <n v="205"/>
    <n v="594"/>
    <n v="240"/>
    <n v="354"/>
  </r>
  <r>
    <s v="171-8546286-0020333"/>
    <s v="22/02/2023"/>
    <x v="0"/>
    <x v="123"/>
    <x v="21"/>
    <x v="10"/>
    <x v="1"/>
    <s v="BENGALURU"/>
    <x v="5"/>
    <n v="999"/>
    <n v="325"/>
    <n v="674"/>
    <n v="240"/>
    <n v="434"/>
  </r>
  <r>
    <s v="405-9540499-9179519"/>
    <s v="06/02/2023"/>
    <x v="3"/>
    <x v="136"/>
    <x v="5"/>
    <x v="10"/>
    <x v="1"/>
    <s v="VEPPATHUR"/>
    <x v="7"/>
    <n v="-849"/>
    <n v="345"/>
    <n v="-504"/>
    <n v="240"/>
    <n v="-264"/>
  </r>
  <r>
    <s v="171-6320160-5449917"/>
    <s v="16/02/2023"/>
    <x v="3"/>
    <x v="44"/>
    <x v="15"/>
    <x v="10"/>
    <x v="1"/>
    <s v="MAHUVA"/>
    <x v="3"/>
    <n v="-899"/>
    <n v="375"/>
    <n v="-524"/>
    <n v="240"/>
    <n v="-284"/>
  </r>
  <r>
    <s v="407-8726521-7993964"/>
    <s v="15/02/2023"/>
    <x v="3"/>
    <x v="193"/>
    <x v="14"/>
    <x v="10"/>
    <x v="1"/>
    <s v="MUMBAI"/>
    <x v="6"/>
    <n v="-799"/>
    <n v="320"/>
    <n v="-479"/>
    <n v="240"/>
    <n v="-239"/>
  </r>
  <r>
    <s v="408-1649640-7713925"/>
    <s v="10/02/2023"/>
    <x v="3"/>
    <x v="303"/>
    <x v="10"/>
    <x v="10"/>
    <x v="1"/>
    <s v="DEORIA"/>
    <x v="1"/>
    <n v="-799"/>
    <n v="320"/>
    <n v="-479"/>
    <n v="240"/>
    <n v="-239"/>
  </r>
  <r>
    <s v="403-1275745-6283502"/>
    <s v="17/02/2023"/>
    <x v="3"/>
    <x v="80"/>
    <x v="16"/>
    <x v="10"/>
    <x v="1"/>
    <s v="RANCHI"/>
    <x v="11"/>
    <n v="-899"/>
    <n v="375"/>
    <n v="-524"/>
    <n v="240"/>
    <n v="-284"/>
  </r>
  <r>
    <s v="403-8347938-6817105"/>
    <s v="23/02/2023"/>
    <x v="0"/>
    <x v="125"/>
    <x v="23"/>
    <x v="10"/>
    <x v="1"/>
    <s v="Bengaluru"/>
    <x v="5"/>
    <n v="999"/>
    <n v="325"/>
    <n v="674"/>
    <n v="240"/>
    <n v="434"/>
  </r>
  <r>
    <s v="408-7668476-2276306"/>
    <s v="22/02/2023"/>
    <x v="0"/>
    <x v="64"/>
    <x v="21"/>
    <x v="10"/>
    <x v="1"/>
    <s v="AHMEDABAD"/>
    <x v="3"/>
    <n v="799"/>
    <n v="205"/>
    <n v="594"/>
    <n v="240"/>
    <n v="354"/>
  </r>
  <r>
    <s v="403-6855118-6344320"/>
    <s v="23/02/2023"/>
    <x v="0"/>
    <x v="284"/>
    <x v="23"/>
    <x v="10"/>
    <x v="1"/>
    <s v="JAIPUR"/>
    <x v="10"/>
    <n v="799"/>
    <n v="205"/>
    <n v="594"/>
    <n v="240"/>
    <n v="354"/>
  </r>
  <r>
    <s v="404-2794919-2967507"/>
    <s v="23/02/2023"/>
    <x v="0"/>
    <x v="136"/>
    <x v="23"/>
    <x v="10"/>
    <x v="1"/>
    <s v="HYDERABAD"/>
    <x v="8"/>
    <n v="849"/>
    <n v="250"/>
    <n v="599"/>
    <n v="240"/>
    <n v="359"/>
  </r>
  <r>
    <s v="404-1928786-2932326"/>
    <s v="23/02/2023"/>
    <x v="0"/>
    <x v="80"/>
    <x v="23"/>
    <x v="10"/>
    <x v="1"/>
    <s v="GAYA"/>
    <x v="0"/>
    <n v="899"/>
    <n v="295"/>
    <n v="604"/>
    <n v="240"/>
    <n v="364"/>
  </r>
  <r>
    <s v="404-5526056-9064320"/>
    <s v="23/02/2023"/>
    <x v="0"/>
    <x v="31"/>
    <x v="23"/>
    <x v="10"/>
    <x v="1"/>
    <s v="MAPUSA"/>
    <x v="21"/>
    <n v="799"/>
    <n v="205"/>
    <n v="594"/>
    <n v="240"/>
    <n v="354"/>
  </r>
  <r>
    <s v="402-6437454-7485144"/>
    <s v="22/02/2023"/>
    <x v="0"/>
    <x v="137"/>
    <x v="21"/>
    <x v="10"/>
    <x v="1"/>
    <s v="Bhayander East Thane"/>
    <x v="6"/>
    <n v="849"/>
    <n v="250"/>
    <n v="599"/>
    <n v="240"/>
    <n v="359"/>
  </r>
  <r>
    <s v="407-7869363-5211510"/>
    <s v="23/02/2023"/>
    <x v="0"/>
    <x v="79"/>
    <x v="23"/>
    <x v="10"/>
    <x v="1"/>
    <s v="NASHIK"/>
    <x v="6"/>
    <n v="899"/>
    <n v="295"/>
    <n v="604"/>
    <n v="240"/>
    <n v="364"/>
  </r>
  <r>
    <s v="171-2769822-0232301"/>
    <s v="23/02/2023"/>
    <x v="0"/>
    <x v="15"/>
    <x v="23"/>
    <x v="10"/>
    <x v="1"/>
    <s v="BENGALURU"/>
    <x v="5"/>
    <n v="849"/>
    <n v="250"/>
    <n v="599"/>
    <n v="240"/>
    <n v="359"/>
  </r>
  <r>
    <s v="407-1405930-4892300"/>
    <s v="23/02/2023"/>
    <x v="0"/>
    <x v="59"/>
    <x v="23"/>
    <x v="10"/>
    <x v="1"/>
    <s v="GUNTUR"/>
    <x v="2"/>
    <n v="899"/>
    <n v="295"/>
    <n v="604"/>
    <n v="240"/>
    <n v="364"/>
  </r>
  <r>
    <s v="407-9680917-4824333"/>
    <s v="23/02/2023"/>
    <x v="0"/>
    <x v="229"/>
    <x v="23"/>
    <x v="10"/>
    <x v="1"/>
    <s v="PIMPRI CHINCHWAD"/>
    <x v="6"/>
    <n v="799"/>
    <n v="205"/>
    <n v="594"/>
    <n v="240"/>
    <n v="354"/>
  </r>
  <r>
    <s v="407-0063930-2985148"/>
    <s v="12/02/2023"/>
    <x v="3"/>
    <x v="139"/>
    <x v="11"/>
    <x v="10"/>
    <x v="1"/>
    <s v="GHAZIABAD"/>
    <x v="1"/>
    <n v="-799"/>
    <n v="320"/>
    <n v="-479"/>
    <n v="240"/>
    <n v="-239"/>
  </r>
  <r>
    <s v="405-1805443-9921103"/>
    <s v="14/02/2023"/>
    <x v="3"/>
    <x v="6"/>
    <x v="13"/>
    <x v="10"/>
    <x v="1"/>
    <s v="AMRAVATI"/>
    <x v="6"/>
    <n v="-899"/>
    <n v="375"/>
    <n v="-524"/>
    <n v="240"/>
    <n v="-284"/>
  </r>
  <r>
    <s v="171-4539049-3103557"/>
    <s v="15/02/2023"/>
    <x v="3"/>
    <x v="86"/>
    <x v="14"/>
    <x v="10"/>
    <x v="1"/>
    <s v="MANGALURU"/>
    <x v="5"/>
    <n v="-899"/>
    <n v="375"/>
    <n v="-524"/>
    <n v="240"/>
    <n v="-284"/>
  </r>
  <r>
    <s v="408-4626384-3565107"/>
    <s v="19/02/2023"/>
    <x v="3"/>
    <x v="206"/>
    <x v="17"/>
    <x v="10"/>
    <x v="1"/>
    <s v="SHERGHATI"/>
    <x v="0"/>
    <n v="-899"/>
    <n v="375"/>
    <n v="-524"/>
    <n v="240"/>
    <n v="-284"/>
  </r>
  <r>
    <s v="405-1752120-8307552"/>
    <s v="24/02/2023"/>
    <x v="0"/>
    <x v="79"/>
    <x v="22"/>
    <x v="10"/>
    <x v="1"/>
    <s v="MANGALURU"/>
    <x v="5"/>
    <n v="899"/>
    <n v="295"/>
    <n v="604"/>
    <n v="240"/>
    <n v="364"/>
  </r>
  <r>
    <s v="408-0064294-0537955"/>
    <s v="24/02/2023"/>
    <x v="0"/>
    <x v="187"/>
    <x v="22"/>
    <x v="10"/>
    <x v="1"/>
    <s v="MANGALURU"/>
    <x v="5"/>
    <n v="799"/>
    <n v="205"/>
    <n v="594"/>
    <n v="240"/>
    <n v="354"/>
  </r>
  <r>
    <s v="407-6224866-1533131"/>
    <s v="19/02/2023"/>
    <x v="0"/>
    <x v="157"/>
    <x v="17"/>
    <x v="10"/>
    <x v="1"/>
    <s v="HYDERABAD"/>
    <x v="8"/>
    <n v="799"/>
    <n v="205"/>
    <n v="594"/>
    <n v="240"/>
    <n v="354"/>
  </r>
  <r>
    <s v="402-1871137-1996331"/>
    <s v="24/02/2023"/>
    <x v="0"/>
    <x v="137"/>
    <x v="22"/>
    <x v="10"/>
    <x v="1"/>
    <s v="BENGALURU"/>
    <x v="5"/>
    <n v="849"/>
    <n v="250"/>
    <n v="599"/>
    <n v="240"/>
    <n v="359"/>
  </r>
  <r>
    <s v="405-3909019-4172366"/>
    <s v="24/02/2023"/>
    <x v="0"/>
    <x v="191"/>
    <x v="22"/>
    <x v="10"/>
    <x v="1"/>
    <s v="SAUSAR"/>
    <x v="13"/>
    <n v="799"/>
    <n v="205"/>
    <n v="594"/>
    <n v="240"/>
    <n v="354"/>
  </r>
  <r>
    <s v="406-7643340-4562714"/>
    <s v="24/02/2023"/>
    <x v="0"/>
    <x v="52"/>
    <x v="22"/>
    <x v="10"/>
    <x v="1"/>
    <s v="BANSWARA"/>
    <x v="10"/>
    <n v="899"/>
    <n v="295"/>
    <n v="604"/>
    <n v="240"/>
    <n v="364"/>
  </r>
  <r>
    <s v="171-3207201-9477954"/>
    <s v="10/02/2023"/>
    <x v="2"/>
    <x v="147"/>
    <x v="10"/>
    <x v="10"/>
    <x v="1"/>
    <s v="MOLAKALMURU"/>
    <x v="5"/>
    <n v="0"/>
    <n v="0"/>
    <n v="0"/>
    <n v="0"/>
    <n v="0"/>
  </r>
  <r>
    <s v="171-3207201-9477954"/>
    <s v="10/02/2023"/>
    <x v="3"/>
    <x v="147"/>
    <x v="10"/>
    <x v="10"/>
    <x v="1"/>
    <s v="MOLAKALMURU"/>
    <x v="5"/>
    <n v="-799"/>
    <n v="320"/>
    <n v="-479"/>
    <n v="240"/>
    <n v="-239"/>
  </r>
  <r>
    <s v="404-1272936-3904367"/>
    <s v="19/02/2023"/>
    <x v="3"/>
    <x v="80"/>
    <x v="17"/>
    <x v="10"/>
    <x v="1"/>
    <s v="NEW TOWN"/>
    <x v="18"/>
    <n v="-899"/>
    <n v="375"/>
    <n v="-524"/>
    <n v="240"/>
    <n v="-284"/>
  </r>
  <r>
    <s v="405-0988914-3413938"/>
    <s v="25/02/2023"/>
    <x v="2"/>
    <x v="168"/>
    <x v="24"/>
    <x v="10"/>
    <x v="1"/>
    <s v="BALODA BAZAR"/>
    <x v="20"/>
    <n v="0"/>
    <n v="0"/>
    <n v="0"/>
    <n v="0"/>
    <n v="0"/>
  </r>
  <r>
    <s v="407-6521154-9277909"/>
    <s v="16/02/2023"/>
    <x v="3"/>
    <x v="174"/>
    <x v="15"/>
    <x v="10"/>
    <x v="1"/>
    <s v="Guwahati"/>
    <x v="4"/>
    <n v="-799"/>
    <n v="320"/>
    <n v="-479"/>
    <n v="240"/>
    <n v="-239"/>
  </r>
  <r>
    <s v="406-5052571-7642707"/>
    <s v="16/02/2023"/>
    <x v="3"/>
    <x v="88"/>
    <x v="15"/>
    <x v="10"/>
    <x v="1"/>
    <s v="Makrana"/>
    <x v="10"/>
    <n v="-899"/>
    <n v="375"/>
    <n v="-524"/>
    <n v="240"/>
    <n v="-284"/>
  </r>
  <r>
    <s v="171-0729078-5357115"/>
    <s v="26/02/2023"/>
    <x v="2"/>
    <x v="44"/>
    <x v="25"/>
    <x v="10"/>
    <x v="1"/>
    <s v="NEW DELHI"/>
    <x v="16"/>
    <n v="0"/>
    <n v="0"/>
    <n v="0"/>
    <n v="0"/>
    <n v="0"/>
  </r>
  <r>
    <s v="405-0548573-1436361"/>
    <s v="20/02/2023"/>
    <x v="3"/>
    <x v="173"/>
    <x v="19"/>
    <x v="10"/>
    <x v="1"/>
    <s v="PIPARIYA"/>
    <x v="13"/>
    <n v="-799"/>
    <n v="320"/>
    <n v="-479"/>
    <n v="240"/>
    <n v="-239"/>
  </r>
  <r>
    <s v="405-2559812-9469105"/>
    <s v="18/02/2023"/>
    <x v="3"/>
    <x v="302"/>
    <x v="18"/>
    <x v="10"/>
    <x v="1"/>
    <s v="HYDERABAD"/>
    <x v="8"/>
    <n v="-799"/>
    <n v="320"/>
    <n v="-479"/>
    <n v="240"/>
    <n v="-239"/>
  </r>
  <r>
    <s v="171-3175650-3093927"/>
    <s v="25/02/2023"/>
    <x v="0"/>
    <x v="31"/>
    <x v="24"/>
    <x v="10"/>
    <x v="1"/>
    <s v="BHUBANESWAR"/>
    <x v="14"/>
    <n v="799"/>
    <n v="205"/>
    <n v="594"/>
    <n v="240"/>
    <n v="354"/>
  </r>
  <r>
    <s v="403-4689021-4332338"/>
    <s v="26/02/2023"/>
    <x v="0"/>
    <x v="137"/>
    <x v="25"/>
    <x v="10"/>
    <x v="1"/>
    <s v="LUCKNOW"/>
    <x v="1"/>
    <n v="849"/>
    <n v="250"/>
    <n v="599"/>
    <n v="240"/>
    <n v="359"/>
  </r>
  <r>
    <s v="407-4834117-3652353"/>
    <s v="26/02/2023"/>
    <x v="0"/>
    <x v="156"/>
    <x v="25"/>
    <x v="10"/>
    <x v="1"/>
    <s v="AMRAVATI"/>
    <x v="6"/>
    <n v="799"/>
    <n v="205"/>
    <n v="594"/>
    <n v="240"/>
    <n v="354"/>
  </r>
  <r>
    <s v="406-3335610-3694741"/>
    <s v="26/02/2023"/>
    <x v="0"/>
    <x v="80"/>
    <x v="25"/>
    <x v="10"/>
    <x v="1"/>
    <s v="Roorkee"/>
    <x v="24"/>
    <n v="899"/>
    <n v="295"/>
    <n v="604"/>
    <n v="240"/>
    <n v="364"/>
  </r>
  <r>
    <s v="171-0729078-5357115"/>
    <s v="26/02/2023"/>
    <x v="0"/>
    <x v="44"/>
    <x v="25"/>
    <x v="10"/>
    <x v="1"/>
    <s v="NEW DELHI"/>
    <x v="16"/>
    <n v="899"/>
    <n v="295"/>
    <n v="604"/>
    <n v="240"/>
    <n v="364"/>
  </r>
  <r>
    <s v="404-0052801-9154746"/>
    <s v="26/02/2023"/>
    <x v="0"/>
    <x v="176"/>
    <x v="25"/>
    <x v="10"/>
    <x v="1"/>
    <s v="MANGALURU"/>
    <x v="5"/>
    <n v="899"/>
    <n v="295"/>
    <n v="604"/>
    <n v="240"/>
    <n v="364"/>
  </r>
  <r>
    <s v="408-4865918-6064361"/>
    <s v="25/02/2023"/>
    <x v="1"/>
    <x v="86"/>
    <x v="24"/>
    <x v="10"/>
    <x v="1"/>
    <s v="FARIDABAD"/>
    <x v="15"/>
    <n v="0"/>
    <n v="0"/>
    <n v="0"/>
    <n v="0"/>
    <n v="0"/>
  </r>
  <r>
    <s v="407-1145126-1700301"/>
    <s v="26/02/2023"/>
    <x v="0"/>
    <x v="86"/>
    <x v="25"/>
    <x v="10"/>
    <x v="1"/>
    <s v="MANGALURU"/>
    <x v="5"/>
    <n v="899"/>
    <n v="295"/>
    <n v="604"/>
    <n v="240"/>
    <n v="364"/>
  </r>
  <r>
    <s v="407-8458228-2935526"/>
    <s v="26/02/2023"/>
    <x v="0"/>
    <x v="31"/>
    <x v="25"/>
    <x v="10"/>
    <x v="1"/>
    <s v="MANGALURU"/>
    <x v="5"/>
    <n v="799"/>
    <n v="205"/>
    <n v="594"/>
    <n v="240"/>
    <n v="354"/>
  </r>
  <r>
    <s v="405-5846833-3097105"/>
    <s v="26/02/2023"/>
    <x v="0"/>
    <x v="69"/>
    <x v="25"/>
    <x v="10"/>
    <x v="1"/>
    <s v="MANGALURU"/>
    <x v="5"/>
    <n v="849"/>
    <n v="250"/>
    <n v="599"/>
    <n v="240"/>
    <n v="359"/>
  </r>
  <r>
    <s v="402-6876801-9429949"/>
    <s v="26/02/2023"/>
    <x v="0"/>
    <x v="156"/>
    <x v="25"/>
    <x v="10"/>
    <x v="1"/>
    <s v="MANGALURU"/>
    <x v="5"/>
    <n v="799"/>
    <n v="205"/>
    <n v="594"/>
    <n v="240"/>
    <n v="354"/>
  </r>
  <r>
    <s v="404-1419219-9793136"/>
    <s v="26/02/2023"/>
    <x v="0"/>
    <x v="161"/>
    <x v="25"/>
    <x v="10"/>
    <x v="1"/>
    <s v="AMRAVATI"/>
    <x v="6"/>
    <n v="799"/>
    <n v="205"/>
    <n v="594"/>
    <n v="240"/>
    <n v="354"/>
  </r>
  <r>
    <s v="402-1698832-8669950"/>
    <s v="26/02/2023"/>
    <x v="0"/>
    <x v="149"/>
    <x v="25"/>
    <x v="10"/>
    <x v="1"/>
    <s v="SHILLONG"/>
    <x v="23"/>
    <n v="799"/>
    <n v="205"/>
    <n v="594"/>
    <n v="240"/>
    <n v="354"/>
  </r>
  <r>
    <s v="407-2709101-2209934"/>
    <s v="25/02/2023"/>
    <x v="0"/>
    <x v="80"/>
    <x v="24"/>
    <x v="10"/>
    <x v="1"/>
    <s v="BALBIR NAGAR EXTENSION SHAHDARA"/>
    <x v="16"/>
    <n v="899"/>
    <n v="295"/>
    <n v="604"/>
    <n v="240"/>
    <n v="364"/>
  </r>
  <r>
    <s v="404-3580068-1843502"/>
    <s v="27/02/2023"/>
    <x v="0"/>
    <x v="80"/>
    <x v="26"/>
    <x v="10"/>
    <x v="1"/>
    <s v="KOTULPUR"/>
    <x v="18"/>
    <n v="899"/>
    <n v="295"/>
    <n v="604"/>
    <n v="240"/>
    <n v="364"/>
  </r>
  <r>
    <s v="405-5955417-1461138"/>
    <s v="26/02/2023"/>
    <x v="0"/>
    <x v="80"/>
    <x v="25"/>
    <x v="10"/>
    <x v="1"/>
    <s v="SUNAM"/>
    <x v="26"/>
    <n v="899"/>
    <n v="295"/>
    <n v="604"/>
    <n v="240"/>
    <n v="364"/>
  </r>
  <r>
    <s v="407-0703536-9641148"/>
    <s v="25/02/2023"/>
    <x v="0"/>
    <x v="150"/>
    <x v="24"/>
    <x v="10"/>
    <x v="1"/>
    <s v="CHENNAI"/>
    <x v="7"/>
    <n v="799"/>
    <n v="205"/>
    <n v="594"/>
    <n v="240"/>
    <n v="354"/>
  </r>
  <r>
    <s v="406-3901141-7923565"/>
    <s v="26/02/2023"/>
    <x v="0"/>
    <x v="59"/>
    <x v="25"/>
    <x v="10"/>
    <x v="1"/>
    <s v="Makrana"/>
    <x v="10"/>
    <n v="899"/>
    <n v="295"/>
    <n v="604"/>
    <n v="240"/>
    <n v="364"/>
  </r>
  <r>
    <s v="405-5297634-1244310"/>
    <s v="25/02/2023"/>
    <x v="0"/>
    <x v="213"/>
    <x v="24"/>
    <x v="10"/>
    <x v="1"/>
    <s v="MUMBAI"/>
    <x v="6"/>
    <n v="799"/>
    <n v="205"/>
    <n v="594"/>
    <n v="240"/>
    <n v="354"/>
  </r>
  <r>
    <s v="407-0714426-7290710"/>
    <s v="25/02/2023"/>
    <x v="0"/>
    <x v="200"/>
    <x v="24"/>
    <x v="10"/>
    <x v="1"/>
    <s v="BANGALORE"/>
    <x v="5"/>
    <n v="999"/>
    <n v="325"/>
    <n v="674"/>
    <n v="240"/>
    <n v="434"/>
  </r>
  <r>
    <s v="404-2399228-4820329"/>
    <s v="26/02/2023"/>
    <x v="0"/>
    <x v="177"/>
    <x v="25"/>
    <x v="10"/>
    <x v="1"/>
    <s v="AMRAVATI"/>
    <x v="6"/>
    <n v="799"/>
    <n v="205"/>
    <n v="594"/>
    <n v="240"/>
    <n v="354"/>
  </r>
  <r>
    <s v="406-8043148-6645103"/>
    <s v="26/02/2023"/>
    <x v="0"/>
    <x v="79"/>
    <x v="25"/>
    <x v="10"/>
    <x v="1"/>
    <s v="Mohali"/>
    <x v="26"/>
    <n v="899"/>
    <n v="295"/>
    <n v="604"/>
    <n v="240"/>
    <n v="364"/>
  </r>
  <r>
    <s v="404-8491662-1234755"/>
    <s v="26/02/2023"/>
    <x v="0"/>
    <x v="303"/>
    <x v="25"/>
    <x v="10"/>
    <x v="1"/>
    <s v="AMRAVATI"/>
    <x v="6"/>
    <n v="799"/>
    <n v="205"/>
    <n v="594"/>
    <n v="240"/>
    <n v="354"/>
  </r>
  <r>
    <s v="402-4815478-4111541"/>
    <s v="26/02/2023"/>
    <x v="0"/>
    <x v="165"/>
    <x v="25"/>
    <x v="10"/>
    <x v="1"/>
    <s v="BENGALURU"/>
    <x v="5"/>
    <n v="799"/>
    <n v="205"/>
    <n v="594"/>
    <n v="240"/>
    <n v="354"/>
  </r>
  <r>
    <s v="403-9226926-4558765"/>
    <s v="27/02/2023"/>
    <x v="2"/>
    <x v="79"/>
    <x v="26"/>
    <x v="10"/>
    <x v="1"/>
    <s v="SULTANPUR"/>
    <x v="1"/>
    <n v="0"/>
    <n v="0"/>
    <n v="0"/>
    <n v="0"/>
    <n v="0"/>
  </r>
  <r>
    <s v="402-7139968-8054718"/>
    <s v="27/02/2023"/>
    <x v="0"/>
    <x v="189"/>
    <x v="26"/>
    <x v="10"/>
    <x v="1"/>
    <s v="VASCO DA GAMA"/>
    <x v="21"/>
    <n v="799"/>
    <n v="205"/>
    <n v="594"/>
    <n v="240"/>
    <n v="354"/>
  </r>
  <r>
    <s v="407-8515315-4604365"/>
    <s v="27/02/2023"/>
    <x v="0"/>
    <x v="83"/>
    <x v="26"/>
    <x v="10"/>
    <x v="1"/>
    <s v="BENGALURU"/>
    <x v="5"/>
    <n v="899"/>
    <n v="295"/>
    <n v="604"/>
    <n v="240"/>
    <n v="364"/>
  </r>
  <r>
    <s v="405-0354048-2401164"/>
    <s v="27/02/2023"/>
    <x v="0"/>
    <x v="222"/>
    <x v="26"/>
    <x v="10"/>
    <x v="1"/>
    <s v="MANGALURU"/>
    <x v="5"/>
    <n v="799"/>
    <n v="205"/>
    <n v="594"/>
    <n v="240"/>
    <n v="354"/>
  </r>
  <r>
    <s v="407-3724402-0166751"/>
    <s v="27/02/2023"/>
    <x v="0"/>
    <x v="229"/>
    <x v="26"/>
    <x v="10"/>
    <x v="1"/>
    <s v="PIMPRI CHINCHWAD"/>
    <x v="6"/>
    <n v="799"/>
    <n v="205"/>
    <n v="594"/>
    <n v="240"/>
    <n v="354"/>
  </r>
  <r>
    <s v="406-6514413-4181953"/>
    <s v="27/02/2023"/>
    <x v="0"/>
    <x v="136"/>
    <x v="26"/>
    <x v="10"/>
    <x v="1"/>
    <s v="PADAPPAI"/>
    <x v="7"/>
    <n v="849"/>
    <n v="250"/>
    <n v="599"/>
    <n v="240"/>
    <n v="359"/>
  </r>
  <r>
    <s v="408-2804723-2225106"/>
    <s v="27/02/2023"/>
    <x v="0"/>
    <x v="59"/>
    <x v="26"/>
    <x v="10"/>
    <x v="1"/>
    <s v="CHENNAI"/>
    <x v="7"/>
    <n v="899"/>
    <n v="295"/>
    <n v="604"/>
    <n v="240"/>
    <n v="364"/>
  </r>
  <r>
    <s v="406-2742917-1965139"/>
    <s v="27/02/2023"/>
    <x v="0"/>
    <x v="139"/>
    <x v="26"/>
    <x v="10"/>
    <x v="1"/>
    <s v="AMRAVATI"/>
    <x v="6"/>
    <n v="799"/>
    <n v="205"/>
    <n v="594"/>
    <n v="240"/>
    <n v="354"/>
  </r>
  <r>
    <s v="403-0936452-3093117"/>
    <s v="28/02/2023"/>
    <x v="0"/>
    <x v="140"/>
    <x v="27"/>
    <x v="10"/>
    <x v="1"/>
    <s v="BHUJ"/>
    <x v="3"/>
    <n v="799"/>
    <n v="205"/>
    <n v="594"/>
    <n v="240"/>
    <n v="354"/>
  </r>
  <r>
    <s v="404-6942180-9377115"/>
    <s v="28/02/2023"/>
    <x v="0"/>
    <x v="80"/>
    <x v="27"/>
    <x v="10"/>
    <x v="1"/>
    <s v="Ghoman"/>
    <x v="26"/>
    <n v="899"/>
    <n v="295"/>
    <n v="604"/>
    <n v="240"/>
    <n v="364"/>
  </r>
  <r>
    <s v="171-6803682-8873131"/>
    <s v="28/02/2023"/>
    <x v="0"/>
    <x v="158"/>
    <x v="27"/>
    <x v="10"/>
    <x v="1"/>
    <s v="AHMEDABAD"/>
    <x v="3"/>
    <n v="849"/>
    <n v="250"/>
    <n v="599"/>
    <n v="240"/>
    <n v="359"/>
  </r>
  <r>
    <s v="404-4710817-7791557"/>
    <s v="28/02/2023"/>
    <x v="0"/>
    <x v="131"/>
    <x v="27"/>
    <x v="10"/>
    <x v="1"/>
    <s v="CHETPET"/>
    <x v="7"/>
    <n v="799"/>
    <n v="205"/>
    <n v="594"/>
    <n v="240"/>
    <n v="354"/>
  </r>
  <r>
    <s v="408-7943810-0815512"/>
    <s v="28/02/2023"/>
    <x v="0"/>
    <x v="148"/>
    <x v="27"/>
    <x v="10"/>
    <x v="1"/>
    <s v="KOZHIKODE"/>
    <x v="9"/>
    <n v="799"/>
    <n v="205"/>
    <n v="594"/>
    <n v="240"/>
    <n v="354"/>
  </r>
  <r>
    <s v="407-1789061-2537121"/>
    <s v="26/01/2023"/>
    <x v="3"/>
    <x v="80"/>
    <x v="25"/>
    <x v="9"/>
    <x v="1"/>
    <s v="INDORE"/>
    <x v="13"/>
    <n v="-899"/>
    <n v="375"/>
    <n v="-524"/>
    <n v="240"/>
    <n v="-284"/>
  </r>
  <r>
    <s v="407-1015320-3205957"/>
    <s v="30/01/2023"/>
    <x v="3"/>
    <x v="296"/>
    <x v="29"/>
    <x v="9"/>
    <x v="1"/>
    <s v="BAGALKOT"/>
    <x v="5"/>
    <n v="-799"/>
    <n v="320"/>
    <n v="-479"/>
    <n v="240"/>
    <n v="-239"/>
  </r>
  <r>
    <s v="403-1083066-2706706"/>
    <s v="27/01/2023"/>
    <x v="3"/>
    <x v="68"/>
    <x v="26"/>
    <x v="9"/>
    <x v="1"/>
    <s v="JALANDHAR"/>
    <x v="26"/>
    <n v="-799"/>
    <n v="320"/>
    <n v="-479"/>
    <n v="240"/>
    <n v="-239"/>
  </r>
  <r>
    <s v="171-6475686-7989157"/>
    <s v="31/01/2023"/>
    <x v="3"/>
    <x v="50"/>
    <x v="30"/>
    <x v="9"/>
    <x v="1"/>
    <s v="CHANDI MANDIR"/>
    <x v="15"/>
    <n v="-799"/>
    <n v="320"/>
    <n v="-479"/>
    <n v="240"/>
    <n v="-239"/>
  </r>
  <r>
    <s v="406-0462406-7611535"/>
    <s v="23/01/2023"/>
    <x v="3"/>
    <x v="172"/>
    <x v="23"/>
    <x v="9"/>
    <x v="1"/>
    <s v="GURUGRAM"/>
    <x v="15"/>
    <n v="-799"/>
    <n v="320"/>
    <n v="-479"/>
    <n v="240"/>
    <n v="-239"/>
  </r>
  <r>
    <s v="408-1336012-0885162"/>
    <s v="25/01/2023"/>
    <x v="3"/>
    <x v="81"/>
    <x v="24"/>
    <x v="9"/>
    <x v="1"/>
    <s v="PATNA"/>
    <x v="0"/>
    <n v="-1598"/>
    <n v="412"/>
    <n v="-1186"/>
    <n v="240"/>
    <n v="-946"/>
  </r>
  <r>
    <s v="406-2239737-3197158"/>
    <s v="24/01/2023"/>
    <x v="3"/>
    <x v="86"/>
    <x v="22"/>
    <x v="9"/>
    <x v="1"/>
    <s v="REWA"/>
    <x v="13"/>
    <n v="-899"/>
    <n v="375"/>
    <n v="-524"/>
    <n v="240"/>
    <n v="-284"/>
  </r>
  <r>
    <s v="404-4056964-6149157"/>
    <s v="24/01/2023"/>
    <x v="3"/>
    <x v="154"/>
    <x v="22"/>
    <x v="9"/>
    <x v="1"/>
    <s v="CHIKHAL KASA"/>
    <x v="20"/>
    <n v="-799"/>
    <n v="320"/>
    <n v="-479"/>
    <n v="240"/>
    <n v="-239"/>
  </r>
  <r>
    <s v="407-6165380-2042737"/>
    <s v="26/01/2023"/>
    <x v="3"/>
    <x v="68"/>
    <x v="25"/>
    <x v="9"/>
    <x v="1"/>
    <s v="KALYAN"/>
    <x v="6"/>
    <n v="-799"/>
    <n v="320"/>
    <n v="-479"/>
    <n v="240"/>
    <n v="-239"/>
  </r>
  <r>
    <s v="405-2579944-7175501"/>
    <s v="30/01/2023"/>
    <x v="3"/>
    <x v="15"/>
    <x v="29"/>
    <x v="9"/>
    <x v="1"/>
    <s v="JAIPUR"/>
    <x v="10"/>
    <n v="-849"/>
    <n v="345"/>
    <n v="-504"/>
    <n v="240"/>
    <n v="-264"/>
  </r>
  <r>
    <s v="407-1660472-3982726"/>
    <s v="31/01/2023"/>
    <x v="3"/>
    <x v="69"/>
    <x v="30"/>
    <x v="9"/>
    <x v="1"/>
    <s v="Diva"/>
    <x v="6"/>
    <n v="-849"/>
    <n v="345"/>
    <n v="-504"/>
    <n v="240"/>
    <n v="-264"/>
  </r>
  <r>
    <s v="402-5045605-4590717"/>
    <s v="30/01/2023"/>
    <x v="3"/>
    <x v="124"/>
    <x v="29"/>
    <x v="9"/>
    <x v="1"/>
    <s v="MUZAFFARNAGAR"/>
    <x v="1"/>
    <n v="-999"/>
    <n v="395"/>
    <n v="-604"/>
    <n v="240"/>
    <n v="-364"/>
  </r>
  <r>
    <s v="408-9528799-8296361"/>
    <s v="28/01/2023"/>
    <x v="3"/>
    <x v="44"/>
    <x v="27"/>
    <x v="9"/>
    <x v="1"/>
    <s v="firozpur"/>
    <x v="26"/>
    <n v="-899"/>
    <n v="375"/>
    <n v="-524"/>
    <n v="240"/>
    <n v="-284"/>
  </r>
  <r>
    <s v="405-9532711-8359520"/>
    <s v="31/01/2023"/>
    <x v="3"/>
    <x v="177"/>
    <x v="30"/>
    <x v="9"/>
    <x v="1"/>
    <s v="KOTPUTLI"/>
    <x v="10"/>
    <n v="-799"/>
    <n v="320"/>
    <n v="-479"/>
    <n v="240"/>
    <n v="-239"/>
  </r>
  <r>
    <s v="402-0956723-6697165"/>
    <s v="26/01/2023"/>
    <x v="3"/>
    <x v="59"/>
    <x v="25"/>
    <x v="9"/>
    <x v="1"/>
    <s v="JALGAON"/>
    <x v="6"/>
    <n v="-899"/>
    <n v="375"/>
    <n v="-524"/>
    <n v="240"/>
    <n v="-284"/>
  </r>
  <r>
    <s v="406-8625993-9464350"/>
    <s v="31/01/2023"/>
    <x v="3"/>
    <x v="81"/>
    <x v="30"/>
    <x v="9"/>
    <x v="1"/>
    <s v="KOTA"/>
    <x v="10"/>
    <n v="-799"/>
    <n v="320"/>
    <n v="-479"/>
    <n v="240"/>
    <n v="-239"/>
  </r>
  <r>
    <s v="406-3231185-3467536"/>
    <s v="27/01/2023"/>
    <x v="3"/>
    <x v="205"/>
    <x v="26"/>
    <x v="9"/>
    <x v="1"/>
    <s v="BISAULI"/>
    <x v="1"/>
    <n v="-799"/>
    <n v="320"/>
    <n v="-479"/>
    <n v="240"/>
    <n v="-239"/>
  </r>
  <r>
    <s v="405-1699844-9262759"/>
    <s v="29/01/2023"/>
    <x v="3"/>
    <x v="143"/>
    <x v="28"/>
    <x v="9"/>
    <x v="1"/>
    <s v="HYDERABAD"/>
    <x v="8"/>
    <n v="-849"/>
    <n v="345"/>
    <n v="-504"/>
    <n v="240"/>
    <n v="-264"/>
  </r>
  <r>
    <s v="405-7334879-3201964"/>
    <s v="29/01/2023"/>
    <x v="3"/>
    <x v="80"/>
    <x v="28"/>
    <x v="9"/>
    <x v="1"/>
    <s v="BAREILLY"/>
    <x v="1"/>
    <n v="-899"/>
    <n v="375"/>
    <n v="-524"/>
    <n v="240"/>
    <n v="-284"/>
  </r>
  <r>
    <s v="403-0918003-8541160"/>
    <s v="31/01/2023"/>
    <x v="3"/>
    <x v="15"/>
    <x v="30"/>
    <x v="9"/>
    <x v="1"/>
    <s v="Meerut"/>
    <x v="1"/>
    <n v="-849"/>
    <n v="345"/>
    <n v="-504"/>
    <n v="240"/>
    <n v="-264"/>
  </r>
  <r>
    <s v="406-4583135-0891542"/>
    <s v="29/01/2023"/>
    <x v="3"/>
    <x v="120"/>
    <x v="28"/>
    <x v="9"/>
    <x v="1"/>
    <s v="HYDERABAD"/>
    <x v="8"/>
    <n v="-849"/>
    <n v="345"/>
    <n v="-504"/>
    <n v="240"/>
    <n v="-264"/>
  </r>
  <r>
    <s v="403-3818436-3764329"/>
    <s v="30/01/2023"/>
    <x v="3"/>
    <x v="80"/>
    <x v="29"/>
    <x v="9"/>
    <x v="1"/>
    <s v="NEW DELHI"/>
    <x v="16"/>
    <n v="-899"/>
    <n v="375"/>
    <n v="-524"/>
    <n v="240"/>
    <n v="-284"/>
  </r>
  <r>
    <s v="408-7086486-1365960"/>
    <s v="30/01/2023"/>
    <x v="3"/>
    <x v="149"/>
    <x v="29"/>
    <x v="9"/>
    <x v="1"/>
    <s v="CHANGANACHERRY"/>
    <x v="9"/>
    <n v="-799"/>
    <n v="320"/>
    <n v="-479"/>
    <n v="240"/>
    <n v="-239"/>
  </r>
  <r>
    <s v="406-3188315-0792319"/>
    <s v="29/01/2023"/>
    <x v="3"/>
    <x v="269"/>
    <x v="28"/>
    <x v="9"/>
    <x v="1"/>
    <s v="ONGOLE"/>
    <x v="2"/>
    <n v="-849"/>
    <n v="345"/>
    <n v="-504"/>
    <n v="240"/>
    <n v="-264"/>
  </r>
  <r>
    <s v="171-3985221-9408351"/>
    <s v="30/01/2023"/>
    <x v="3"/>
    <x v="69"/>
    <x v="29"/>
    <x v="9"/>
    <x v="1"/>
    <s v="KOTDWARA"/>
    <x v="24"/>
    <n v="-849"/>
    <n v="345"/>
    <n v="-504"/>
    <n v="240"/>
    <n v="-264"/>
  </r>
  <r>
    <s v="171-9956253-1346700"/>
    <s v="31/01/2023"/>
    <x v="3"/>
    <x v="50"/>
    <x v="30"/>
    <x v="9"/>
    <x v="1"/>
    <s v="Balangir"/>
    <x v="14"/>
    <n v="-799"/>
    <n v="320"/>
    <n v="-479"/>
    <n v="240"/>
    <n v="-239"/>
  </r>
  <r>
    <s v="407-9893271-3488362"/>
    <s v="25/01/2023"/>
    <x v="3"/>
    <x v="98"/>
    <x v="24"/>
    <x v="9"/>
    <x v="1"/>
    <s v="HYDERABAD"/>
    <x v="8"/>
    <n v="-899"/>
    <n v="375"/>
    <n v="-524"/>
    <n v="240"/>
    <n v="-284"/>
  </r>
  <r>
    <s v="405-6736527-4314757"/>
    <s v="11/01/2023"/>
    <x v="3"/>
    <x v="88"/>
    <x v="9"/>
    <x v="9"/>
    <x v="1"/>
    <s v="AHMEDABAD"/>
    <x v="3"/>
    <n v="-899"/>
    <n v="375"/>
    <n v="-524"/>
    <n v="240"/>
    <n v="-284"/>
  </r>
  <r>
    <s v="402-4172695-9523507"/>
    <s v="30/01/2023"/>
    <x v="3"/>
    <x v="88"/>
    <x v="29"/>
    <x v="9"/>
    <x v="1"/>
    <s v="TIRTHAHALLI"/>
    <x v="5"/>
    <n v="-899"/>
    <n v="375"/>
    <n v="-524"/>
    <n v="240"/>
    <n v="-284"/>
  </r>
  <r>
    <s v="402-0283731-8418710"/>
    <s v="28/01/2023"/>
    <x v="3"/>
    <x v="79"/>
    <x v="27"/>
    <x v="9"/>
    <x v="1"/>
    <s v="Unnao"/>
    <x v="1"/>
    <n v="-899"/>
    <n v="375"/>
    <n v="-524"/>
    <n v="240"/>
    <n v="-284"/>
  </r>
  <r>
    <s v="402-0283731-8418710"/>
    <s v="28/01/2023"/>
    <x v="3"/>
    <x v="44"/>
    <x v="27"/>
    <x v="9"/>
    <x v="1"/>
    <s v="Unnao"/>
    <x v="1"/>
    <n v="-899"/>
    <n v="375"/>
    <n v="-524"/>
    <n v="240"/>
    <n v="-284"/>
  </r>
  <r>
    <s v="171-2043297-8613939"/>
    <s v="28/01/2023"/>
    <x v="3"/>
    <x v="187"/>
    <x v="27"/>
    <x v="9"/>
    <x v="1"/>
    <s v="JAIPUR"/>
    <x v="10"/>
    <n v="-799"/>
    <n v="320"/>
    <n v="-479"/>
    <n v="240"/>
    <n v="-239"/>
  </r>
  <r>
    <s v="402-0995725-9529126"/>
    <s v="28/01/2023"/>
    <x v="3"/>
    <x v="44"/>
    <x v="27"/>
    <x v="9"/>
    <x v="1"/>
    <s v="CHANDIGARH"/>
    <x v="33"/>
    <n v="-899"/>
    <n v="375"/>
    <n v="-524"/>
    <n v="240"/>
    <n v="-284"/>
  </r>
  <r>
    <s v="408-2279426-8389110"/>
    <s v="30/01/2023"/>
    <x v="3"/>
    <x v="31"/>
    <x v="29"/>
    <x v="9"/>
    <x v="1"/>
    <s v="POTHREDDIPALLE"/>
    <x v="8"/>
    <n v="-799"/>
    <n v="320"/>
    <n v="-479"/>
    <n v="240"/>
    <n v="-239"/>
  </r>
  <r>
    <s v="404-1928786-2932326"/>
    <s v="23/02/2023"/>
    <x v="3"/>
    <x v="80"/>
    <x v="23"/>
    <x v="10"/>
    <x v="1"/>
    <s v="GAYA"/>
    <x v="0"/>
    <n v="-899"/>
    <n v="375"/>
    <n v="-524"/>
    <n v="240"/>
    <n v="-284"/>
  </r>
  <r>
    <s v="407-3724402-0166751"/>
    <s v="27/02/2023"/>
    <x v="3"/>
    <x v="229"/>
    <x v="26"/>
    <x v="10"/>
    <x v="1"/>
    <s v="PIMPRI CHINCHWAD"/>
    <x v="6"/>
    <n v="-799"/>
    <n v="320"/>
    <n v="-479"/>
    <n v="240"/>
    <n v="-239"/>
  </r>
  <r>
    <s v="406-5175430-7849144"/>
    <s v="20/02/2023"/>
    <x v="3"/>
    <x v="188"/>
    <x v="19"/>
    <x v="10"/>
    <x v="1"/>
    <s v="MANDVI"/>
    <x v="3"/>
    <n v="-799"/>
    <n v="320"/>
    <n v="-479"/>
    <n v="240"/>
    <n v="-239"/>
  </r>
  <r>
    <s v="171-0729078-5357115"/>
    <s v="26/02/2023"/>
    <x v="3"/>
    <x v="44"/>
    <x v="25"/>
    <x v="10"/>
    <x v="1"/>
    <s v="NEW DELHI"/>
    <x v="16"/>
    <n v="-899"/>
    <n v="375"/>
    <n v="-524"/>
    <n v="240"/>
    <n v="-284"/>
  </r>
  <r>
    <s v="407-2709101-2209934"/>
    <s v="25/02/2023"/>
    <x v="3"/>
    <x v="80"/>
    <x v="24"/>
    <x v="10"/>
    <x v="1"/>
    <s v="BALBIR NAGAR EXTENSION SHAHDARA"/>
    <x v="16"/>
    <n v="-899"/>
    <n v="375"/>
    <n v="-524"/>
    <n v="240"/>
    <n v="-284"/>
  </r>
  <r>
    <s v="171-8546286-0020333"/>
    <s v="22/02/2023"/>
    <x v="3"/>
    <x v="123"/>
    <x v="21"/>
    <x v="10"/>
    <x v="1"/>
    <s v="BENGALURU"/>
    <x v="5"/>
    <n v="-999"/>
    <n v="395"/>
    <n v="-604"/>
    <n v="240"/>
    <n v="-364"/>
  </r>
  <r>
    <s v="407-9680917-4824333"/>
    <s v="23/02/2023"/>
    <x v="3"/>
    <x v="229"/>
    <x v="23"/>
    <x v="10"/>
    <x v="1"/>
    <s v="PIMPRI CHINCHWAD"/>
    <x v="6"/>
    <n v="-799"/>
    <n v="320"/>
    <n v="-479"/>
    <n v="240"/>
    <n v="-239"/>
  </r>
  <r>
    <s v="406-8043148-6645103"/>
    <s v="26/02/2023"/>
    <x v="3"/>
    <x v="79"/>
    <x v="25"/>
    <x v="10"/>
    <x v="1"/>
    <s v="Mohali"/>
    <x v="26"/>
    <n v="-899"/>
    <n v="375"/>
    <n v="-524"/>
    <n v="240"/>
    <n v="-284"/>
  </r>
  <r>
    <s v="408-0064294-0537955"/>
    <s v="24/02/2023"/>
    <x v="3"/>
    <x v="187"/>
    <x v="22"/>
    <x v="10"/>
    <x v="1"/>
    <s v="MANGALURU"/>
    <x v="5"/>
    <n v="-799"/>
    <n v="320"/>
    <n v="-479"/>
    <n v="240"/>
    <n v="-239"/>
  </r>
  <r>
    <s v="405-1752120-8307552"/>
    <s v="24/02/2023"/>
    <x v="3"/>
    <x v="79"/>
    <x v="22"/>
    <x v="10"/>
    <x v="1"/>
    <s v="MANGALURU"/>
    <x v="5"/>
    <n v="-899"/>
    <n v="375"/>
    <n v="-524"/>
    <n v="240"/>
    <n v="-284"/>
  </r>
  <r>
    <s v="402-1871137-1996331"/>
    <s v="24/02/2023"/>
    <x v="3"/>
    <x v="137"/>
    <x v="22"/>
    <x v="10"/>
    <x v="1"/>
    <s v="BENGALURU"/>
    <x v="5"/>
    <n v="-849"/>
    <n v="345"/>
    <n v="-504"/>
    <n v="240"/>
    <n v="-264"/>
  </r>
  <r>
    <s v="405-5955417-1461138"/>
    <s v="26/02/2023"/>
    <x v="3"/>
    <x v="80"/>
    <x v="25"/>
    <x v="10"/>
    <x v="1"/>
    <s v="SUNAM"/>
    <x v="26"/>
    <n v="-899"/>
    <n v="375"/>
    <n v="-524"/>
    <n v="240"/>
    <n v="-284"/>
  </r>
  <r>
    <s v="407-8458228-2935526"/>
    <s v="26/02/2023"/>
    <x v="3"/>
    <x v="31"/>
    <x v="25"/>
    <x v="10"/>
    <x v="1"/>
    <s v="MANGALURU"/>
    <x v="5"/>
    <n v="-799"/>
    <n v="320"/>
    <n v="-479"/>
    <n v="240"/>
    <n v="-239"/>
  </r>
  <r>
    <s v="407-1145126-1700301"/>
    <s v="26/02/2023"/>
    <x v="3"/>
    <x v="86"/>
    <x v="25"/>
    <x v="10"/>
    <x v="1"/>
    <s v="MANGALURU"/>
    <x v="5"/>
    <n v="-899"/>
    <n v="375"/>
    <n v="-524"/>
    <n v="240"/>
    <n v="-284"/>
  </r>
  <r>
    <s v="404-0052801-9154746"/>
    <s v="26/02/2023"/>
    <x v="3"/>
    <x v="176"/>
    <x v="25"/>
    <x v="10"/>
    <x v="1"/>
    <s v="MANGALURU"/>
    <x v="5"/>
    <n v="-899"/>
    <n v="375"/>
    <n v="-524"/>
    <n v="240"/>
    <n v="-284"/>
  </r>
  <r>
    <s v="402-6876801-9429949"/>
    <s v="26/02/2023"/>
    <x v="3"/>
    <x v="156"/>
    <x v="25"/>
    <x v="10"/>
    <x v="1"/>
    <s v="MANGALURU"/>
    <x v="5"/>
    <n v="-799"/>
    <n v="320"/>
    <n v="-479"/>
    <n v="240"/>
    <n v="-239"/>
  </r>
  <r>
    <s v="405-5846833-3097105"/>
    <s v="26/02/2023"/>
    <x v="3"/>
    <x v="69"/>
    <x v="25"/>
    <x v="10"/>
    <x v="1"/>
    <s v="MANGALURU"/>
    <x v="5"/>
    <n v="-849"/>
    <n v="345"/>
    <n v="-504"/>
    <n v="240"/>
    <n v="-264"/>
  </r>
  <r>
    <s v="405-0354048-2401164"/>
    <s v="27/02/2023"/>
    <x v="3"/>
    <x v="222"/>
    <x v="26"/>
    <x v="10"/>
    <x v="1"/>
    <s v="MANGALURU"/>
    <x v="5"/>
    <n v="-799"/>
    <n v="320"/>
    <n v="-479"/>
    <n v="240"/>
    <n v="-239"/>
  </r>
  <r>
    <s v="407-8464838-1839519"/>
    <s v="03/02/2023"/>
    <x v="3"/>
    <x v="80"/>
    <x v="2"/>
    <x v="10"/>
    <x v="1"/>
    <s v="PALIA KALAN"/>
    <x v="1"/>
    <n v="-899"/>
    <n v="375"/>
    <n v="-524"/>
    <n v="240"/>
    <n v="-284"/>
  </r>
  <r>
    <s v="406-6138338-2937942"/>
    <s v="22/02/2023"/>
    <x v="3"/>
    <x v="310"/>
    <x v="21"/>
    <x v="10"/>
    <x v="1"/>
    <s v="BENGALURU"/>
    <x v="5"/>
    <n v="-999"/>
    <n v="395"/>
    <n v="-604"/>
    <n v="240"/>
    <n v="-364"/>
  </r>
  <r>
    <s v="171-3175650-3093927"/>
    <s v="25/02/2023"/>
    <x v="3"/>
    <x v="31"/>
    <x v="24"/>
    <x v="10"/>
    <x v="1"/>
    <s v="BHUBANESWAR"/>
    <x v="14"/>
    <n v="-799"/>
    <n v="320"/>
    <n v="-479"/>
    <n v="240"/>
    <n v="-239"/>
  </r>
  <r>
    <s v="406-3901141-7923565"/>
    <s v="26/02/2023"/>
    <x v="3"/>
    <x v="59"/>
    <x v="25"/>
    <x v="10"/>
    <x v="1"/>
    <s v="Makrana"/>
    <x v="10"/>
    <n v="-899"/>
    <n v="375"/>
    <n v="-524"/>
    <n v="240"/>
    <n v="-284"/>
  </r>
  <r>
    <s v="406-2742917-1965139"/>
    <s v="27/02/2023"/>
    <x v="3"/>
    <x v="139"/>
    <x v="26"/>
    <x v="10"/>
    <x v="1"/>
    <s v="AMRAVATI"/>
    <x v="6"/>
    <n v="-799"/>
    <n v="320"/>
    <n v="-479"/>
    <n v="240"/>
    <n v="-239"/>
  </r>
  <r>
    <s v="404-8491662-1234755"/>
    <s v="26/02/2023"/>
    <x v="3"/>
    <x v="303"/>
    <x v="25"/>
    <x v="10"/>
    <x v="1"/>
    <s v="AMRAVATI"/>
    <x v="6"/>
    <n v="-799"/>
    <n v="320"/>
    <n v="-479"/>
    <n v="240"/>
    <n v="-239"/>
  </r>
  <r>
    <s v="407-4834117-3652353"/>
    <s v="26/02/2023"/>
    <x v="3"/>
    <x v="156"/>
    <x v="25"/>
    <x v="10"/>
    <x v="1"/>
    <s v="AMRAVATI"/>
    <x v="6"/>
    <n v="-799"/>
    <n v="320"/>
    <n v="-479"/>
    <n v="240"/>
    <n v="-239"/>
  </r>
  <r>
    <s v="404-2399228-4820329"/>
    <s v="26/02/2023"/>
    <x v="3"/>
    <x v="177"/>
    <x v="25"/>
    <x v="10"/>
    <x v="1"/>
    <s v="AMRAVATI"/>
    <x v="6"/>
    <n v="-799"/>
    <n v="320"/>
    <n v="-479"/>
    <n v="240"/>
    <n v="-239"/>
  </r>
  <r>
    <s v="404-1419219-9793136"/>
    <s v="26/02/2023"/>
    <x v="3"/>
    <x v="161"/>
    <x v="25"/>
    <x v="10"/>
    <x v="1"/>
    <s v="AMRAVATI"/>
    <x v="6"/>
    <n v="-799"/>
    <n v="320"/>
    <n v="-479"/>
    <n v="240"/>
    <n v="-239"/>
  </r>
  <r>
    <s v="407-6562807-3883501"/>
    <s v="01/03/2023"/>
    <x v="0"/>
    <x v="135"/>
    <x v="0"/>
    <x v="11"/>
    <x v="1"/>
    <s v="MECHERI"/>
    <x v="7"/>
    <n v="849"/>
    <n v="250"/>
    <n v="599"/>
    <n v="240"/>
    <n v="359"/>
  </r>
  <r>
    <s v="402-6739486-2972323"/>
    <s v="02/03/2023"/>
    <x v="2"/>
    <x v="80"/>
    <x v="1"/>
    <x v="11"/>
    <x v="1"/>
    <s v="NEW DELHI"/>
    <x v="16"/>
    <n v="0"/>
    <n v="0"/>
    <n v="0"/>
    <n v="0"/>
    <n v="0"/>
  </r>
  <r>
    <s v="171-7729968-2614726"/>
    <s v="02/03/2023"/>
    <x v="2"/>
    <x v="175"/>
    <x v="1"/>
    <x v="11"/>
    <x v="1"/>
    <s v="PIMPRI CHINCHWAD"/>
    <x v="6"/>
    <n v="0"/>
    <n v="0"/>
    <n v="0"/>
    <n v="0"/>
    <n v="0"/>
  </r>
  <r>
    <s v="407-1726152-7459560"/>
    <s v="01/03/2023"/>
    <x v="0"/>
    <x v="229"/>
    <x v="0"/>
    <x v="11"/>
    <x v="1"/>
    <s v="PIMPRI CHINCHWAD"/>
    <x v="6"/>
    <n v="799"/>
    <n v="205"/>
    <n v="594"/>
    <n v="240"/>
    <n v="354"/>
  </r>
  <r>
    <s v="407-1726152-7459560"/>
    <s v="01/03/2023"/>
    <x v="0"/>
    <x v="145"/>
    <x v="0"/>
    <x v="11"/>
    <x v="1"/>
    <s v="PIMPRI CHINCHWAD"/>
    <x v="6"/>
    <n v="799"/>
    <n v="205"/>
    <n v="594"/>
    <n v="240"/>
    <n v="354"/>
  </r>
  <r>
    <s v="403-6314992-6285939"/>
    <s v="02/03/2023"/>
    <x v="0"/>
    <x v="44"/>
    <x v="1"/>
    <x v="11"/>
    <x v="1"/>
    <s v="GUSKARA"/>
    <x v="18"/>
    <n v="899"/>
    <n v="295"/>
    <n v="604"/>
    <n v="240"/>
    <n v="364"/>
  </r>
  <r>
    <s v="171-1555918-6245111"/>
    <s v="01/03/2023"/>
    <x v="0"/>
    <x v="187"/>
    <x v="0"/>
    <x v="11"/>
    <x v="1"/>
    <s v="trichy"/>
    <x v="7"/>
    <n v="799"/>
    <n v="205"/>
    <n v="594"/>
    <n v="240"/>
    <n v="354"/>
  </r>
  <r>
    <s v="406-2404180-1650740"/>
    <s v="02/03/2023"/>
    <x v="0"/>
    <x v="139"/>
    <x v="1"/>
    <x v="11"/>
    <x v="1"/>
    <s v="KOTHAGUDEM"/>
    <x v="8"/>
    <n v="799"/>
    <n v="205"/>
    <n v="594"/>
    <n v="240"/>
    <n v="354"/>
  </r>
  <r>
    <s v="404-2008516-1499535"/>
    <s v="01/03/2023"/>
    <x v="0"/>
    <x v="95"/>
    <x v="0"/>
    <x v="11"/>
    <x v="1"/>
    <s v="SRINAGAR"/>
    <x v="31"/>
    <n v="899"/>
    <n v="295"/>
    <n v="604"/>
    <n v="240"/>
    <n v="364"/>
  </r>
  <r>
    <s v="407-3344353-5733911"/>
    <s v="02/03/2023"/>
    <x v="2"/>
    <x v="44"/>
    <x v="1"/>
    <x v="11"/>
    <x v="1"/>
    <s v="MANGROL"/>
    <x v="3"/>
    <n v="0"/>
    <n v="0"/>
    <n v="0"/>
    <n v="0"/>
    <n v="0"/>
  </r>
  <r>
    <s v="404-2008516-1499535"/>
    <s v="01/03/2023"/>
    <x v="3"/>
    <x v="95"/>
    <x v="0"/>
    <x v="11"/>
    <x v="1"/>
    <s v="SRINAGAR"/>
    <x v="31"/>
    <n v="-899"/>
    <n v="375"/>
    <n v="-524"/>
    <n v="240"/>
    <n v="-284"/>
  </r>
  <r>
    <s v="407-4251404-1463531"/>
    <s v="02/03/2023"/>
    <x v="0"/>
    <x v="128"/>
    <x v="1"/>
    <x v="11"/>
    <x v="1"/>
    <s v="TIRUPATI"/>
    <x v="2"/>
    <n v="999"/>
    <n v="325"/>
    <n v="674"/>
    <n v="240"/>
    <n v="434"/>
  </r>
  <r>
    <s v="408-3516974-5796368"/>
    <s v="03/03/2023"/>
    <x v="0"/>
    <x v="59"/>
    <x v="2"/>
    <x v="11"/>
    <x v="1"/>
    <s v="BHADRAVATI"/>
    <x v="5"/>
    <n v="899"/>
    <n v="295"/>
    <n v="604"/>
    <n v="240"/>
    <n v="364"/>
  </r>
  <r>
    <s v="403-5453057-3289103"/>
    <s v="02/03/2023"/>
    <x v="0"/>
    <x v="80"/>
    <x v="1"/>
    <x v="11"/>
    <x v="1"/>
    <s v="GURUGRAM"/>
    <x v="15"/>
    <n v="899"/>
    <n v="295"/>
    <n v="604"/>
    <n v="240"/>
    <n v="364"/>
  </r>
  <r>
    <s v="171-7729968-2614726"/>
    <s v="02/03/2023"/>
    <x v="0"/>
    <x v="175"/>
    <x v="1"/>
    <x v="11"/>
    <x v="1"/>
    <s v="PIMPRI CHINCHWAD"/>
    <x v="6"/>
    <n v="799"/>
    <n v="205"/>
    <n v="594"/>
    <n v="240"/>
    <n v="354"/>
  </r>
  <r>
    <s v="402-7443550-3494740"/>
    <s v="02/03/2023"/>
    <x v="0"/>
    <x v="80"/>
    <x v="1"/>
    <x v="11"/>
    <x v="1"/>
    <s v="Birbhum"/>
    <x v="18"/>
    <n v="899"/>
    <n v="295"/>
    <n v="604"/>
    <n v="240"/>
    <n v="364"/>
  </r>
  <r>
    <s v="402-3575730-0303569"/>
    <s v="02/03/2023"/>
    <x v="0"/>
    <x v="126"/>
    <x v="1"/>
    <x v="11"/>
    <x v="1"/>
    <s v="KUPPAM"/>
    <x v="2"/>
    <n v="849"/>
    <n v="250"/>
    <n v="599"/>
    <n v="240"/>
    <n v="359"/>
  </r>
  <r>
    <s v="402-6739486-2972323"/>
    <s v="02/03/2023"/>
    <x v="0"/>
    <x v="80"/>
    <x v="1"/>
    <x v="11"/>
    <x v="1"/>
    <s v="NEW DELHI"/>
    <x v="16"/>
    <n v="899"/>
    <n v="295"/>
    <n v="604"/>
    <n v="240"/>
    <n v="364"/>
  </r>
  <r>
    <s v="408-9787429-1982756"/>
    <s v="02/03/2023"/>
    <x v="0"/>
    <x v="289"/>
    <x v="1"/>
    <x v="11"/>
    <x v="1"/>
    <s v="HYDERABAD"/>
    <x v="8"/>
    <n v="799"/>
    <n v="205"/>
    <n v="594"/>
    <n v="240"/>
    <n v="354"/>
  </r>
  <r>
    <s v="408-7964668-4249153"/>
    <s v="02/03/2023"/>
    <x v="0"/>
    <x v="80"/>
    <x v="1"/>
    <x v="11"/>
    <x v="1"/>
    <s v="NEW DELHI"/>
    <x v="16"/>
    <n v="899"/>
    <n v="295"/>
    <n v="604"/>
    <n v="240"/>
    <n v="364"/>
  </r>
  <r>
    <s v="408-9362986-2782707"/>
    <s v="02/03/2023"/>
    <x v="1"/>
    <x v="310"/>
    <x v="1"/>
    <x v="11"/>
    <x v="1"/>
    <s v="BENGALURU"/>
    <x v="5"/>
    <n v="0"/>
    <n v="0"/>
    <n v="0"/>
    <n v="0"/>
    <n v="0"/>
  </r>
  <r>
    <s v="408-9953091-4501929"/>
    <s v="04/03/2023"/>
    <x v="2"/>
    <x v="95"/>
    <x v="3"/>
    <x v="11"/>
    <x v="1"/>
    <s v="PUNE"/>
    <x v="6"/>
    <n v="0"/>
    <n v="0"/>
    <n v="0"/>
    <n v="0"/>
    <n v="0"/>
  </r>
  <r>
    <s v="404-3307750-6631519"/>
    <s v="04/03/2023"/>
    <x v="2"/>
    <x v="229"/>
    <x v="3"/>
    <x v="11"/>
    <x v="1"/>
    <s v="DHARMAPURI"/>
    <x v="7"/>
    <n v="0"/>
    <n v="0"/>
    <n v="0"/>
    <n v="0"/>
    <n v="0"/>
  </r>
  <r>
    <s v="171-3718618-9496328"/>
    <s v="04/03/2023"/>
    <x v="2"/>
    <x v="98"/>
    <x v="3"/>
    <x v="11"/>
    <x v="1"/>
    <s v="Near Barasat Telephone exchange"/>
    <x v="18"/>
    <n v="0"/>
    <n v="0"/>
    <n v="0"/>
    <n v="0"/>
    <n v="0"/>
  </r>
  <r>
    <s v="402-4215443-0279560"/>
    <s v="03/03/2023"/>
    <x v="0"/>
    <x v="44"/>
    <x v="2"/>
    <x v="11"/>
    <x v="1"/>
    <s v="Diphu"/>
    <x v="4"/>
    <n v="899"/>
    <n v="295"/>
    <n v="604"/>
    <n v="240"/>
    <n v="364"/>
  </r>
  <r>
    <s v="406-1713861-9394746"/>
    <s v="02/03/2023"/>
    <x v="0"/>
    <x v="74"/>
    <x v="1"/>
    <x v="11"/>
    <x v="1"/>
    <s v="BENGALURU"/>
    <x v="5"/>
    <n v="899"/>
    <n v="295"/>
    <n v="604"/>
    <n v="240"/>
    <n v="364"/>
  </r>
  <r>
    <s v="171-5415559-6487568"/>
    <s v="03/03/2023"/>
    <x v="0"/>
    <x v="189"/>
    <x v="2"/>
    <x v="11"/>
    <x v="1"/>
    <s v="TALWARA"/>
    <x v="31"/>
    <n v="799"/>
    <n v="205"/>
    <n v="594"/>
    <n v="240"/>
    <n v="354"/>
  </r>
  <r>
    <s v="403-4931971-4097950"/>
    <s v="03/03/2023"/>
    <x v="0"/>
    <x v="79"/>
    <x v="2"/>
    <x v="11"/>
    <x v="1"/>
    <s v="PUDUCHERRY"/>
    <x v="27"/>
    <n v="899"/>
    <n v="295"/>
    <n v="604"/>
    <n v="240"/>
    <n v="364"/>
  </r>
  <r>
    <s v="408-1752055-0611507"/>
    <s v="03/03/2023"/>
    <x v="1"/>
    <x v="69"/>
    <x v="2"/>
    <x v="11"/>
    <x v="1"/>
    <s v="BHUBANESWAR"/>
    <x v="14"/>
    <n v="0"/>
    <n v="0"/>
    <n v="0"/>
    <n v="0"/>
    <n v="0"/>
  </r>
  <r>
    <s v="171-3718618-9496328"/>
    <s v="04/03/2023"/>
    <x v="0"/>
    <x v="98"/>
    <x v="3"/>
    <x v="11"/>
    <x v="1"/>
    <s v="Near Barasat Telephone exchange"/>
    <x v="18"/>
    <n v="899"/>
    <n v="295"/>
    <n v="604"/>
    <n v="240"/>
    <n v="364"/>
  </r>
  <r>
    <s v="406-1192364-7907516"/>
    <s v="05/03/2023"/>
    <x v="0"/>
    <x v="131"/>
    <x v="4"/>
    <x v="11"/>
    <x v="1"/>
    <s v="BENGALURU"/>
    <x v="5"/>
    <n v="799"/>
    <n v="205"/>
    <n v="594"/>
    <n v="240"/>
    <n v="354"/>
  </r>
  <r>
    <s v="407-4080182-6960320"/>
    <s v="04/03/2023"/>
    <x v="0"/>
    <x v="59"/>
    <x v="3"/>
    <x v="11"/>
    <x v="1"/>
    <s v="PURANATTUKARA"/>
    <x v="9"/>
    <n v="899"/>
    <n v="295"/>
    <n v="604"/>
    <n v="240"/>
    <n v="364"/>
  </r>
  <r>
    <s v="403-5364207-9902755"/>
    <s v="04/03/2023"/>
    <x v="0"/>
    <x v="52"/>
    <x v="3"/>
    <x v="11"/>
    <x v="1"/>
    <s v="MIRYALAGUDA"/>
    <x v="8"/>
    <n v="899"/>
    <n v="295"/>
    <n v="604"/>
    <n v="240"/>
    <n v="364"/>
  </r>
  <r>
    <s v="408-9953091-4501929"/>
    <s v="04/03/2023"/>
    <x v="0"/>
    <x v="95"/>
    <x v="3"/>
    <x v="11"/>
    <x v="1"/>
    <s v="PUNE"/>
    <x v="6"/>
    <n v="899"/>
    <n v="295"/>
    <n v="604"/>
    <n v="240"/>
    <n v="364"/>
  </r>
  <r>
    <s v="408-0092828-8738704"/>
    <s v="04/03/2023"/>
    <x v="0"/>
    <x v="263"/>
    <x v="3"/>
    <x v="11"/>
    <x v="1"/>
    <s v="KARIMGANJ"/>
    <x v="4"/>
    <n v="999"/>
    <n v="325"/>
    <n v="674"/>
    <n v="240"/>
    <n v="434"/>
  </r>
  <r>
    <s v="171-7016540-7721914"/>
    <s v="04/03/2023"/>
    <x v="0"/>
    <x v="188"/>
    <x v="3"/>
    <x v="11"/>
    <x v="1"/>
    <s v="MUMBAI"/>
    <x v="6"/>
    <n v="799"/>
    <n v="205"/>
    <n v="594"/>
    <n v="240"/>
    <n v="354"/>
  </r>
  <r>
    <s v="404-3307750-6631519"/>
    <s v="04/03/2023"/>
    <x v="0"/>
    <x v="229"/>
    <x v="3"/>
    <x v="11"/>
    <x v="1"/>
    <s v="DHARMAPURI"/>
    <x v="7"/>
    <n v="799"/>
    <n v="205"/>
    <n v="594"/>
    <n v="240"/>
    <n v="354"/>
  </r>
  <r>
    <s v="403-4782402-8182703"/>
    <s v="05/03/2023"/>
    <x v="0"/>
    <x v="80"/>
    <x v="4"/>
    <x v="11"/>
    <x v="1"/>
    <s v="PUNE"/>
    <x v="6"/>
    <n v="899"/>
    <n v="295"/>
    <n v="604"/>
    <n v="240"/>
    <n v="364"/>
  </r>
  <r>
    <s v="402-1240176-3607514"/>
    <s v="04/03/2023"/>
    <x v="0"/>
    <x v="128"/>
    <x v="3"/>
    <x v="11"/>
    <x v="1"/>
    <s v="FARIDABAD"/>
    <x v="15"/>
    <n v="999"/>
    <n v="325"/>
    <n v="674"/>
    <n v="240"/>
    <n v="434"/>
  </r>
  <r>
    <s v="402-1240176-3607514"/>
    <s v="04/03/2023"/>
    <x v="0"/>
    <x v="187"/>
    <x v="3"/>
    <x v="11"/>
    <x v="1"/>
    <s v="FARIDABAD"/>
    <x v="15"/>
    <n v="799"/>
    <n v="205"/>
    <n v="594"/>
    <n v="240"/>
    <n v="354"/>
  </r>
  <r>
    <s v="402-4215443-0279560"/>
    <s v="03/03/2023"/>
    <x v="3"/>
    <x v="44"/>
    <x v="2"/>
    <x v="11"/>
    <x v="1"/>
    <s v="Diphu"/>
    <x v="4"/>
    <n v="-899"/>
    <n v="375"/>
    <n v="-524"/>
    <n v="240"/>
    <n v="-284"/>
  </r>
  <r>
    <s v="403-6314992-6285939"/>
    <s v="02/03/2023"/>
    <x v="3"/>
    <x v="44"/>
    <x v="1"/>
    <x v="11"/>
    <x v="1"/>
    <s v="GUSKARA"/>
    <x v="18"/>
    <n v="-899"/>
    <n v="375"/>
    <n v="-524"/>
    <n v="240"/>
    <n v="-284"/>
  </r>
  <r>
    <s v="404-3364044-9402717"/>
    <s v="05/03/2023"/>
    <x v="0"/>
    <x v="44"/>
    <x v="4"/>
    <x v="11"/>
    <x v="1"/>
    <s v="PUNE"/>
    <x v="6"/>
    <n v="899"/>
    <n v="295"/>
    <n v="604"/>
    <n v="240"/>
    <n v="364"/>
  </r>
  <r>
    <s v="405-0445313-2444310"/>
    <s v="05/03/2023"/>
    <x v="0"/>
    <x v="189"/>
    <x v="4"/>
    <x v="11"/>
    <x v="1"/>
    <s v="GHAZIABAD"/>
    <x v="1"/>
    <n v="799"/>
    <n v="205"/>
    <n v="594"/>
    <n v="240"/>
    <n v="354"/>
  </r>
  <r>
    <s v="171-5415559-6487568"/>
    <s v="03/03/2023"/>
    <x v="3"/>
    <x v="189"/>
    <x v="2"/>
    <x v="11"/>
    <x v="1"/>
    <s v="TALWARA"/>
    <x v="31"/>
    <n v="-799"/>
    <n v="320"/>
    <n v="-479"/>
    <n v="240"/>
    <n v="-239"/>
  </r>
  <r>
    <s v="407-4251404-1463531"/>
    <s v="02/03/2023"/>
    <x v="3"/>
    <x v="128"/>
    <x v="1"/>
    <x v="11"/>
    <x v="1"/>
    <s v="TIRUPATI"/>
    <x v="2"/>
    <n v="-999"/>
    <n v="395"/>
    <n v="-604"/>
    <n v="240"/>
    <n v="-364"/>
  </r>
  <r>
    <s v="402-1240176-3607514"/>
    <s v="04/03/2023"/>
    <x v="3"/>
    <x v="187"/>
    <x v="3"/>
    <x v="11"/>
    <x v="1"/>
    <s v="FARIDABAD"/>
    <x v="15"/>
    <n v="-799"/>
    <n v="320"/>
    <n v="-479"/>
    <n v="240"/>
    <n v="-239"/>
  </r>
  <r>
    <s v="404-3364044-9402717"/>
    <s v="05/03/2023"/>
    <x v="3"/>
    <x v="44"/>
    <x v="4"/>
    <x v="11"/>
    <x v="1"/>
    <s v="PUNE"/>
    <x v="6"/>
    <n v="-899"/>
    <n v="375"/>
    <n v="-524"/>
    <n v="240"/>
    <n v="-284"/>
  </r>
  <r>
    <s v="407-1726152-7459560"/>
    <s v="01/03/2023"/>
    <x v="3"/>
    <x v="145"/>
    <x v="0"/>
    <x v="11"/>
    <x v="1"/>
    <s v="PIMPRI CHINCHWAD"/>
    <x v="6"/>
    <n v="-799"/>
    <n v="320"/>
    <n v="-479"/>
    <n v="240"/>
    <n v="-239"/>
  </r>
  <r>
    <s v="407-1726152-7459560"/>
    <s v="01/03/2023"/>
    <x v="3"/>
    <x v="229"/>
    <x v="0"/>
    <x v="11"/>
    <x v="1"/>
    <s v="PIMPRI CHINCHWAD"/>
    <x v="6"/>
    <n v="-799"/>
    <n v="320"/>
    <n v="-479"/>
    <n v="240"/>
    <n v="-239"/>
  </r>
  <r>
    <s v="171-7016540-7721914"/>
    <s v="04/03/2023"/>
    <x v="3"/>
    <x v="188"/>
    <x v="3"/>
    <x v="11"/>
    <x v="1"/>
    <s v="MUMBAI"/>
    <x v="6"/>
    <n v="-799"/>
    <n v="320"/>
    <n v="-479"/>
    <n v="240"/>
    <n v="-239"/>
  </r>
  <r>
    <s v="404-8346771-6749114"/>
    <s v="12/03/2023"/>
    <x v="0"/>
    <x v="168"/>
    <x v="11"/>
    <x v="11"/>
    <x v="1"/>
    <s v="VIJAYAWADA"/>
    <x v="2"/>
    <n v="799"/>
    <n v="205"/>
    <n v="594"/>
    <n v="240"/>
    <n v="354"/>
  </r>
  <r>
    <s v="408-8562694-9826706"/>
    <s v="12/03/2023"/>
    <x v="0"/>
    <x v="128"/>
    <x v="11"/>
    <x v="11"/>
    <x v="1"/>
    <s v="Panvel"/>
    <x v="6"/>
    <n v="999"/>
    <n v="325"/>
    <n v="674"/>
    <n v="240"/>
    <n v="434"/>
  </r>
  <r>
    <s v="406-9402415-2280339"/>
    <s v="12/03/2023"/>
    <x v="0"/>
    <x v="128"/>
    <x v="11"/>
    <x v="11"/>
    <x v="1"/>
    <s v="MANGALURU"/>
    <x v="5"/>
    <n v="999"/>
    <n v="325"/>
    <n v="674"/>
    <n v="240"/>
    <n v="434"/>
  </r>
  <r>
    <s v="405-9664513-5576346"/>
    <s v="12/03/2023"/>
    <x v="0"/>
    <x v="142"/>
    <x v="11"/>
    <x v="11"/>
    <x v="1"/>
    <s v="HYDERABAD"/>
    <x v="8"/>
    <n v="799"/>
    <n v="205"/>
    <n v="594"/>
    <n v="240"/>
    <n v="354"/>
  </r>
  <r>
    <s v="405-2674862-6712328"/>
    <s v="12/03/2023"/>
    <x v="0"/>
    <x v="156"/>
    <x v="11"/>
    <x v="11"/>
    <x v="1"/>
    <s v="Pimpri Chinchwad"/>
    <x v="6"/>
    <n v="799"/>
    <n v="205"/>
    <n v="594"/>
    <n v="240"/>
    <n v="354"/>
  </r>
  <r>
    <s v="403-0553972-4085915"/>
    <s v="12/03/2023"/>
    <x v="0"/>
    <x v="74"/>
    <x v="11"/>
    <x v="11"/>
    <x v="1"/>
    <s v="PUDUCHERRY"/>
    <x v="27"/>
    <n v="899"/>
    <n v="295"/>
    <n v="604"/>
    <n v="240"/>
    <n v="364"/>
  </r>
  <r>
    <s v="171-4629208-9903529"/>
    <s v="13/03/2023"/>
    <x v="2"/>
    <x v="151"/>
    <x v="12"/>
    <x v="11"/>
    <x v="1"/>
    <s v="PATHANAMTHITTA"/>
    <x v="9"/>
    <n v="0"/>
    <n v="0"/>
    <n v="0"/>
    <n v="0"/>
    <n v="0"/>
  </r>
  <r>
    <s v="408-0092828-8738704"/>
    <s v="04/03/2023"/>
    <x v="3"/>
    <x v="263"/>
    <x v="3"/>
    <x v="11"/>
    <x v="1"/>
    <s v="KARIMGANJ"/>
    <x v="4"/>
    <n v="-999"/>
    <n v="395"/>
    <n v="-604"/>
    <n v="240"/>
    <n v="-364"/>
  </r>
  <r>
    <s v="408-4060370-9749943"/>
    <s v="14/03/2023"/>
    <x v="0"/>
    <x v="202"/>
    <x v="13"/>
    <x v="11"/>
    <x v="1"/>
    <s v="LONAVALA"/>
    <x v="6"/>
    <n v="999"/>
    <n v="325"/>
    <n v="674"/>
    <n v="240"/>
    <n v="434"/>
  </r>
  <r>
    <s v="171-5613316-3455513"/>
    <s v="14/03/2023"/>
    <x v="0"/>
    <x v="123"/>
    <x v="13"/>
    <x v="11"/>
    <x v="1"/>
    <s v="BENGALURU"/>
    <x v="5"/>
    <n v="999"/>
    <n v="325"/>
    <n v="674"/>
    <n v="240"/>
    <n v="434"/>
  </r>
  <r>
    <s v="404-0191046-0578707"/>
    <s v="14/03/2023"/>
    <x v="0"/>
    <x v="187"/>
    <x v="13"/>
    <x v="11"/>
    <x v="1"/>
    <s v="AHMEDABAD"/>
    <x v="3"/>
    <n v="799"/>
    <n v="205"/>
    <n v="594"/>
    <n v="240"/>
    <n v="354"/>
  </r>
  <r>
    <s v="404-3487743-0215565"/>
    <s v="14/03/2023"/>
    <x v="0"/>
    <x v="164"/>
    <x v="13"/>
    <x v="11"/>
    <x v="1"/>
    <s v="Chinchinim"/>
    <x v="21"/>
    <n v="849"/>
    <n v="250"/>
    <n v="599"/>
    <n v="240"/>
    <n v="359"/>
  </r>
  <r>
    <s v="171-8607255-0215561"/>
    <s v="14/03/2023"/>
    <x v="0"/>
    <x v="120"/>
    <x v="13"/>
    <x v="11"/>
    <x v="1"/>
    <s v="NELLORE"/>
    <x v="2"/>
    <n v="849"/>
    <n v="250"/>
    <n v="599"/>
    <n v="240"/>
    <n v="359"/>
  </r>
  <r>
    <s v="404-1433603-2031540"/>
    <s v="14/03/2023"/>
    <x v="0"/>
    <x v="179"/>
    <x v="13"/>
    <x v="11"/>
    <x v="1"/>
    <s v="HUKERI"/>
    <x v="5"/>
    <n v="799"/>
    <n v="205"/>
    <n v="594"/>
    <n v="240"/>
    <n v="354"/>
  </r>
  <r>
    <s v="404-7119196-5713159"/>
    <s v="14/03/2023"/>
    <x v="0"/>
    <x v="137"/>
    <x v="13"/>
    <x v="11"/>
    <x v="1"/>
    <s v="MANGALURU"/>
    <x v="5"/>
    <n v="849"/>
    <n v="250"/>
    <n v="599"/>
    <n v="240"/>
    <n v="359"/>
  </r>
  <r>
    <s v="403-4782402-8182703"/>
    <s v="05/03/2023"/>
    <x v="3"/>
    <x v="80"/>
    <x v="4"/>
    <x v="11"/>
    <x v="1"/>
    <s v="PUNE"/>
    <x v="6"/>
    <n v="-899"/>
    <n v="375"/>
    <n v="-524"/>
    <n v="240"/>
    <n v="-284"/>
  </r>
  <r>
    <s v="407-2493819-5861935"/>
    <s v="15/03/2023"/>
    <x v="2"/>
    <x v="80"/>
    <x v="14"/>
    <x v="11"/>
    <x v="1"/>
    <s v="GOHANA"/>
    <x v="15"/>
    <n v="0"/>
    <n v="0"/>
    <n v="0"/>
    <n v="0"/>
    <n v="0"/>
  </r>
  <r>
    <s v="408-2988815-4289934"/>
    <s v="15/03/2023"/>
    <x v="2"/>
    <x v="153"/>
    <x v="14"/>
    <x v="11"/>
    <x v="1"/>
    <s v="HYDERABAD"/>
    <x v="8"/>
    <n v="0"/>
    <n v="0"/>
    <n v="0"/>
    <n v="0"/>
    <n v="0"/>
  </r>
  <r>
    <s v="403-9633992-9611550"/>
    <s v="16/03/2023"/>
    <x v="2"/>
    <x v="52"/>
    <x v="15"/>
    <x v="11"/>
    <x v="1"/>
    <s v="Chamarajanagar"/>
    <x v="5"/>
    <n v="0"/>
    <n v="0"/>
    <n v="0"/>
    <n v="0"/>
    <n v="0"/>
  </r>
  <r>
    <s v="408-7596542-3638752"/>
    <s v="15/03/2023"/>
    <x v="2"/>
    <x v="80"/>
    <x v="14"/>
    <x v="11"/>
    <x v="1"/>
    <s v="BENGALURU"/>
    <x v="5"/>
    <n v="0"/>
    <n v="0"/>
    <n v="0"/>
    <n v="0"/>
    <n v="0"/>
  </r>
  <r>
    <s v="404-7119141-8472308"/>
    <s v="15/03/2023"/>
    <x v="0"/>
    <x v="137"/>
    <x v="14"/>
    <x v="11"/>
    <x v="1"/>
    <s v="MADHURAWADA"/>
    <x v="2"/>
    <n v="849"/>
    <n v="250"/>
    <n v="599"/>
    <n v="240"/>
    <n v="359"/>
  </r>
  <r>
    <s v="406-4978565-3760359"/>
    <s v="15/03/2023"/>
    <x v="0"/>
    <x v="95"/>
    <x v="14"/>
    <x v="11"/>
    <x v="1"/>
    <s v="KOTHAMANGALAM"/>
    <x v="9"/>
    <n v="899"/>
    <n v="295"/>
    <n v="604"/>
    <n v="240"/>
    <n v="364"/>
  </r>
  <r>
    <s v="407-2493819-5861935"/>
    <s v="15/03/2023"/>
    <x v="0"/>
    <x v="80"/>
    <x v="14"/>
    <x v="11"/>
    <x v="1"/>
    <s v="GOHANA"/>
    <x v="15"/>
    <n v="800"/>
    <n v="212"/>
    <n v="588"/>
    <n v="240"/>
    <n v="348"/>
  </r>
  <r>
    <s v="171-6444421-5908354"/>
    <s v="15/03/2023"/>
    <x v="0"/>
    <x v="164"/>
    <x v="14"/>
    <x v="11"/>
    <x v="1"/>
    <s v="Chikkodi"/>
    <x v="5"/>
    <n v="849"/>
    <n v="250"/>
    <n v="599"/>
    <n v="240"/>
    <n v="359"/>
  </r>
  <r>
    <s v="408-4077115-2950715"/>
    <s v="15/03/2023"/>
    <x v="0"/>
    <x v="128"/>
    <x v="14"/>
    <x v="11"/>
    <x v="1"/>
    <s v="Pune"/>
    <x v="6"/>
    <n v="889"/>
    <n v="290"/>
    <n v="599"/>
    <n v="240"/>
    <n v="359"/>
  </r>
  <r>
    <s v="408-2592619-0724330"/>
    <s v="15/03/2023"/>
    <x v="0"/>
    <x v="124"/>
    <x v="14"/>
    <x v="11"/>
    <x v="1"/>
    <s v="BENGALURU"/>
    <x v="5"/>
    <n v="999"/>
    <n v="325"/>
    <n v="674"/>
    <n v="240"/>
    <n v="434"/>
  </r>
  <r>
    <s v="171-1555918-6245111"/>
    <s v="01/03/2023"/>
    <x v="3"/>
    <x v="187"/>
    <x v="0"/>
    <x v="11"/>
    <x v="1"/>
    <s v="trichy"/>
    <x v="7"/>
    <n v="-799"/>
    <n v="320"/>
    <n v="-479"/>
    <n v="240"/>
    <n v="-239"/>
  </r>
  <r>
    <s v="402-0528920-8598723"/>
    <s v="16/03/2023"/>
    <x v="2"/>
    <x v="158"/>
    <x v="15"/>
    <x v="11"/>
    <x v="1"/>
    <s v="TALEGAON MIDC"/>
    <x v="6"/>
    <n v="0"/>
    <n v="0"/>
    <n v="0"/>
    <n v="0"/>
    <n v="0"/>
  </r>
  <r>
    <s v="402-0528920-8598723"/>
    <s v="16/03/2023"/>
    <x v="2"/>
    <x v="136"/>
    <x v="15"/>
    <x v="11"/>
    <x v="1"/>
    <s v="TALEGAON MIDC"/>
    <x v="6"/>
    <n v="0"/>
    <n v="0"/>
    <n v="0"/>
    <n v="0"/>
    <n v="0"/>
  </r>
  <r>
    <s v="405-3660226-0655504"/>
    <s v="16/03/2023"/>
    <x v="2"/>
    <x v="98"/>
    <x v="15"/>
    <x v="11"/>
    <x v="1"/>
    <s v="CHENNAI"/>
    <x v="7"/>
    <n v="0"/>
    <n v="0"/>
    <n v="0"/>
    <n v="0"/>
    <n v="0"/>
  </r>
  <r>
    <s v="171-6697801-6613966"/>
    <s v="13/03/2023"/>
    <x v="0"/>
    <x v="98"/>
    <x v="12"/>
    <x v="11"/>
    <x v="1"/>
    <s v="PUNE"/>
    <x v="6"/>
    <n v="899"/>
    <n v="295"/>
    <n v="604"/>
    <n v="240"/>
    <n v="364"/>
  </r>
  <r>
    <s v="171-9135074-2897966"/>
    <s v="16/03/2023"/>
    <x v="0"/>
    <x v="158"/>
    <x v="15"/>
    <x v="11"/>
    <x v="1"/>
    <s v="MUMBAI"/>
    <x v="6"/>
    <n v="756"/>
    <n v="201"/>
    <n v="555"/>
    <n v="240"/>
    <n v="315"/>
  </r>
  <r>
    <s v="402-0528920-8598723"/>
    <s v="16/03/2023"/>
    <x v="0"/>
    <x v="136"/>
    <x v="15"/>
    <x v="11"/>
    <x v="1"/>
    <s v="TALEGAON MIDC"/>
    <x v="6"/>
    <n v="756"/>
    <n v="201"/>
    <n v="555"/>
    <n v="240"/>
    <n v="315"/>
  </r>
  <r>
    <s v="402-0528920-8598723"/>
    <s v="16/03/2023"/>
    <x v="0"/>
    <x v="158"/>
    <x v="15"/>
    <x v="11"/>
    <x v="1"/>
    <s v="TALEGAON MIDC"/>
    <x v="6"/>
    <n v="756"/>
    <n v="201"/>
    <n v="555"/>
    <n v="240"/>
    <n v="315"/>
  </r>
  <r>
    <s v="171-0609871-0026763"/>
    <s v="16/03/2023"/>
    <x v="0"/>
    <x v="275"/>
    <x v="15"/>
    <x v="11"/>
    <x v="1"/>
    <s v="Rasipuram"/>
    <x v="7"/>
    <n v="711"/>
    <n v="200"/>
    <n v="511"/>
    <n v="240"/>
    <n v="271"/>
  </r>
  <r>
    <s v="408-0485295-5459502"/>
    <s v="16/03/2023"/>
    <x v="0"/>
    <x v="25"/>
    <x v="15"/>
    <x v="11"/>
    <x v="1"/>
    <s v="BASODA"/>
    <x v="13"/>
    <n v="711"/>
    <n v="200"/>
    <n v="511"/>
    <n v="240"/>
    <n v="271"/>
  </r>
  <r>
    <s v="402-0691858-2059556"/>
    <s v="16/03/2023"/>
    <x v="0"/>
    <x v="136"/>
    <x v="15"/>
    <x v="11"/>
    <x v="1"/>
    <s v="CHENNAI"/>
    <x v="7"/>
    <n v="756"/>
    <n v="201"/>
    <n v="555"/>
    <n v="240"/>
    <n v="315"/>
  </r>
  <r>
    <s v="405-3660226-0655504"/>
    <s v="16/03/2023"/>
    <x v="0"/>
    <x v="98"/>
    <x v="15"/>
    <x v="11"/>
    <x v="1"/>
    <s v="CHENNAI"/>
    <x v="7"/>
    <n v="800"/>
    <n v="212"/>
    <n v="588"/>
    <n v="240"/>
    <n v="348"/>
  </r>
  <r>
    <s v="407-5577762-6734737"/>
    <s v="16/03/2023"/>
    <x v="0"/>
    <x v="80"/>
    <x v="15"/>
    <x v="11"/>
    <x v="1"/>
    <s v="DAMOH"/>
    <x v="13"/>
    <n v="800"/>
    <n v="212"/>
    <n v="588"/>
    <n v="240"/>
    <n v="348"/>
  </r>
  <r>
    <s v="402-3301784-6676340"/>
    <s v="16/03/2023"/>
    <x v="0"/>
    <x v="86"/>
    <x v="15"/>
    <x v="11"/>
    <x v="1"/>
    <s v="MUGHALSARAI"/>
    <x v="1"/>
    <n v="800"/>
    <n v="212"/>
    <n v="588"/>
    <n v="240"/>
    <n v="348"/>
  </r>
  <r>
    <s v="408-1249097-5907558"/>
    <s v="17/03/2023"/>
    <x v="2"/>
    <x v="129"/>
    <x v="16"/>
    <x v="11"/>
    <x v="1"/>
    <s v="BENGALURU"/>
    <x v="5"/>
    <n v="0"/>
    <n v="0"/>
    <n v="0"/>
    <n v="0"/>
    <n v="0"/>
  </r>
  <r>
    <s v="407-1634879-9287554"/>
    <s v="17/03/2023"/>
    <x v="2"/>
    <x v="80"/>
    <x v="16"/>
    <x v="11"/>
    <x v="1"/>
    <s v="Shivaji Nagar Pune"/>
    <x v="6"/>
    <n v="0"/>
    <n v="0"/>
    <n v="0"/>
    <n v="0"/>
    <n v="0"/>
  </r>
  <r>
    <s v="171-2613638-8540341"/>
    <s v="17/03/2023"/>
    <x v="0"/>
    <x v="207"/>
    <x v="16"/>
    <x v="11"/>
    <x v="1"/>
    <s v="SAGAR"/>
    <x v="13"/>
    <n v="711"/>
    <n v="200"/>
    <n v="511"/>
    <n v="240"/>
    <n v="271"/>
  </r>
  <r>
    <s v="408-1249097-5907558"/>
    <s v="17/03/2023"/>
    <x v="0"/>
    <x v="129"/>
    <x v="16"/>
    <x v="11"/>
    <x v="1"/>
    <s v="BENGALURU"/>
    <x v="5"/>
    <n v="711"/>
    <n v="200"/>
    <n v="511"/>
    <n v="240"/>
    <n v="271"/>
  </r>
  <r>
    <s v="403-2858490-8366757"/>
    <s v="17/03/2023"/>
    <x v="0"/>
    <x v="80"/>
    <x v="16"/>
    <x v="11"/>
    <x v="1"/>
    <s v="GUNTUR"/>
    <x v="2"/>
    <n v="800"/>
    <n v="212"/>
    <n v="588"/>
    <n v="240"/>
    <n v="348"/>
  </r>
  <r>
    <s v="402-5153092-7929125"/>
    <s v="17/03/2023"/>
    <x v="0"/>
    <x v="86"/>
    <x v="16"/>
    <x v="11"/>
    <x v="1"/>
    <s v="NEW DELHI"/>
    <x v="16"/>
    <n v="800"/>
    <n v="212"/>
    <n v="588"/>
    <n v="240"/>
    <n v="348"/>
  </r>
  <r>
    <s v="408-7487812-8173123"/>
    <s v="17/03/2023"/>
    <x v="0"/>
    <x v="44"/>
    <x v="16"/>
    <x v="11"/>
    <x v="1"/>
    <s v="JAUNPUR"/>
    <x v="1"/>
    <n v="800"/>
    <n v="212"/>
    <n v="588"/>
    <n v="240"/>
    <n v="348"/>
  </r>
  <r>
    <s v="406-0714395-2869109"/>
    <s v="12/03/2023"/>
    <x v="0"/>
    <x v="95"/>
    <x v="11"/>
    <x v="11"/>
    <x v="1"/>
    <s v="RAIL"/>
    <x v="26"/>
    <n v="899"/>
    <n v="295"/>
    <n v="604"/>
    <n v="240"/>
    <n v="364"/>
  </r>
  <r>
    <s v="406-7599769-4586719"/>
    <s v="17/03/2023"/>
    <x v="0"/>
    <x v="204"/>
    <x v="16"/>
    <x v="11"/>
    <x v="1"/>
    <s v="KOLHAPUR"/>
    <x v="6"/>
    <n v="711"/>
    <n v="200"/>
    <n v="511"/>
    <n v="240"/>
    <n v="271"/>
  </r>
  <r>
    <s v="406-7019986-2017931"/>
    <s v="17/03/2023"/>
    <x v="0"/>
    <x v="59"/>
    <x v="16"/>
    <x v="11"/>
    <x v="1"/>
    <s v="BENGALURU"/>
    <x v="5"/>
    <n v="800"/>
    <n v="212"/>
    <n v="588"/>
    <n v="240"/>
    <n v="348"/>
  </r>
  <r>
    <s v="403-1274419-5131554"/>
    <s v="17/03/2023"/>
    <x v="0"/>
    <x v="302"/>
    <x v="16"/>
    <x v="11"/>
    <x v="1"/>
    <s v="NEW DELHI"/>
    <x v="16"/>
    <n v="711"/>
    <n v="200"/>
    <n v="511"/>
    <n v="240"/>
    <n v="271"/>
  </r>
  <r>
    <s v="407-1634879-9287554"/>
    <s v="17/03/2023"/>
    <x v="0"/>
    <x v="80"/>
    <x v="16"/>
    <x v="11"/>
    <x v="1"/>
    <s v="Shivaji Nagar Pune"/>
    <x v="6"/>
    <n v="800"/>
    <n v="212"/>
    <n v="588"/>
    <n v="240"/>
    <n v="348"/>
  </r>
  <r>
    <s v="408-8886452-7010702"/>
    <s v="19/03/2023"/>
    <x v="0"/>
    <x v="136"/>
    <x v="17"/>
    <x v="11"/>
    <x v="1"/>
    <s v="Anjar"/>
    <x v="3"/>
    <n v="756"/>
    <n v="201"/>
    <n v="555"/>
    <n v="240"/>
    <n v="315"/>
  </r>
  <r>
    <s v="406-0020092-7660312"/>
    <s v="19/03/2023"/>
    <x v="0"/>
    <x v="154"/>
    <x v="17"/>
    <x v="11"/>
    <x v="1"/>
    <s v="DOIWALA"/>
    <x v="24"/>
    <n v="711"/>
    <n v="200"/>
    <n v="511"/>
    <n v="240"/>
    <n v="271"/>
  </r>
  <r>
    <s v="408-3626282-8359513"/>
    <s v="19/03/2023"/>
    <x v="0"/>
    <x v="237"/>
    <x v="17"/>
    <x v="11"/>
    <x v="1"/>
    <s v="TANUKU"/>
    <x v="2"/>
    <n v="711"/>
    <n v="200"/>
    <n v="511"/>
    <n v="240"/>
    <n v="271"/>
  </r>
  <r>
    <s v="408-0385853-5914761"/>
    <s v="18/03/2023"/>
    <x v="0"/>
    <x v="140"/>
    <x v="18"/>
    <x v="11"/>
    <x v="1"/>
    <s v="MUTTAYYAPURAM"/>
    <x v="7"/>
    <n v="711"/>
    <n v="200"/>
    <n v="511"/>
    <n v="240"/>
    <n v="271"/>
  </r>
  <r>
    <s v="171-1588938-9473944"/>
    <s v="18/03/2023"/>
    <x v="0"/>
    <x v="80"/>
    <x v="18"/>
    <x v="11"/>
    <x v="1"/>
    <s v="Tinsukia"/>
    <x v="4"/>
    <n v="800"/>
    <n v="212"/>
    <n v="588"/>
    <n v="240"/>
    <n v="348"/>
  </r>
  <r>
    <s v="408-6919056-9185145"/>
    <s v="19/03/2023"/>
    <x v="0"/>
    <x v="272"/>
    <x v="17"/>
    <x v="11"/>
    <x v="1"/>
    <s v="TUMAKURU"/>
    <x v="5"/>
    <n v="756"/>
    <n v="201"/>
    <n v="555"/>
    <n v="240"/>
    <n v="315"/>
  </r>
  <r>
    <s v="405-4110977-2822707"/>
    <s v="19/03/2023"/>
    <x v="0"/>
    <x v="183"/>
    <x v="17"/>
    <x v="11"/>
    <x v="1"/>
    <s v="NIZAMABAD"/>
    <x v="8"/>
    <n v="756"/>
    <n v="201"/>
    <n v="555"/>
    <n v="240"/>
    <n v="315"/>
  </r>
  <r>
    <s v="404-8600580-9028304"/>
    <s v="18/03/2023"/>
    <x v="0"/>
    <x v="79"/>
    <x v="18"/>
    <x v="11"/>
    <x v="1"/>
    <s v="GREATER NOIDA"/>
    <x v="1"/>
    <n v="800"/>
    <n v="212"/>
    <n v="588"/>
    <n v="240"/>
    <n v="348"/>
  </r>
  <r>
    <s v="405-5292989-2879522"/>
    <s v="19/03/2023"/>
    <x v="0"/>
    <x v="311"/>
    <x v="17"/>
    <x v="11"/>
    <x v="1"/>
    <s v="Harnaut"/>
    <x v="0"/>
    <n v="711"/>
    <n v="200"/>
    <n v="511"/>
    <n v="240"/>
    <n v="271"/>
  </r>
  <r>
    <s v="404-4790660-4898742"/>
    <s v="19/03/2023"/>
    <x v="0"/>
    <x v="176"/>
    <x v="17"/>
    <x v="11"/>
    <x v="1"/>
    <s v="ITANAGAR"/>
    <x v="34"/>
    <n v="800"/>
    <n v="212"/>
    <n v="588"/>
    <n v="240"/>
    <n v="348"/>
  </r>
  <r>
    <s v="404-6237652-8465932"/>
    <s v="18/03/2023"/>
    <x v="0"/>
    <x v="95"/>
    <x v="18"/>
    <x v="11"/>
    <x v="1"/>
    <s v="Chadora BADGAM DISTRICT"/>
    <x v="31"/>
    <n v="800"/>
    <n v="212"/>
    <n v="588"/>
    <n v="240"/>
    <n v="348"/>
  </r>
  <r>
    <s v="402-5054398-4389927"/>
    <s v="18/03/2023"/>
    <x v="0"/>
    <x v="298"/>
    <x v="18"/>
    <x v="11"/>
    <x v="1"/>
    <s v="CHENNAI"/>
    <x v="7"/>
    <n v="756"/>
    <n v="201"/>
    <n v="555"/>
    <n v="240"/>
    <n v="315"/>
  </r>
  <r>
    <s v="402-3301784-6676340"/>
    <s v="16/03/2023"/>
    <x v="3"/>
    <x v="86"/>
    <x v="15"/>
    <x v="11"/>
    <x v="1"/>
    <s v="MUGHALSARAI"/>
    <x v="1"/>
    <n v="-800"/>
    <n v="345"/>
    <n v="-455"/>
    <n v="240"/>
    <n v="-215"/>
  </r>
  <r>
    <s v="403-4536788-2904340"/>
    <s v="20/03/2023"/>
    <x v="2"/>
    <x v="44"/>
    <x v="19"/>
    <x v="11"/>
    <x v="1"/>
    <s v="JAMSHEDPUR"/>
    <x v="11"/>
    <n v="0"/>
    <n v="0"/>
    <n v="0"/>
    <n v="0"/>
    <n v="0"/>
  </r>
  <r>
    <s v="408-3694078-2744302"/>
    <s v="19/03/2023"/>
    <x v="0"/>
    <x v="128"/>
    <x v="17"/>
    <x v="11"/>
    <x v="1"/>
    <s v="VISAKHAPATNAM"/>
    <x v="2"/>
    <n v="1778"/>
    <n v="520"/>
    <n v="1258"/>
    <n v="240"/>
    <n v="1018"/>
  </r>
  <r>
    <s v="403-1710380-0226702"/>
    <s v="18/03/2023"/>
    <x v="0"/>
    <x v="165"/>
    <x v="18"/>
    <x v="11"/>
    <x v="1"/>
    <s v="Mumbai"/>
    <x v="6"/>
    <n v="711"/>
    <n v="200"/>
    <n v="511"/>
    <n v="240"/>
    <n v="271"/>
  </r>
  <r>
    <s v="404-4738080-2606723"/>
    <s v="19/03/2023"/>
    <x v="0"/>
    <x v="275"/>
    <x v="17"/>
    <x v="11"/>
    <x v="1"/>
    <s v="AURANGABAD"/>
    <x v="6"/>
    <n v="711"/>
    <n v="200"/>
    <n v="511"/>
    <n v="240"/>
    <n v="271"/>
  </r>
  <r>
    <s v="407-1792068-6995569"/>
    <s v="19/03/2023"/>
    <x v="0"/>
    <x v="80"/>
    <x v="17"/>
    <x v="11"/>
    <x v="1"/>
    <s v="NAVI MUMBAI"/>
    <x v="6"/>
    <n v="800"/>
    <n v="212"/>
    <n v="588"/>
    <n v="240"/>
    <n v="348"/>
  </r>
  <r>
    <s v="403-2858490-8366757"/>
    <s v="17/03/2023"/>
    <x v="3"/>
    <x v="80"/>
    <x v="16"/>
    <x v="11"/>
    <x v="1"/>
    <s v="GUNTUR"/>
    <x v="2"/>
    <n v="-800"/>
    <n v="345"/>
    <n v="-455"/>
    <n v="240"/>
    <n v="-215"/>
  </r>
  <r>
    <s v="406-7599769-4586719"/>
    <s v="17/03/2023"/>
    <x v="3"/>
    <x v="204"/>
    <x v="16"/>
    <x v="11"/>
    <x v="1"/>
    <s v="KOLHAPUR"/>
    <x v="6"/>
    <n v="-711"/>
    <n v="320"/>
    <n v="-391"/>
    <n v="240"/>
    <n v="-151"/>
  </r>
  <r>
    <s v="403-2186086-5256301"/>
    <s v="20/03/2023"/>
    <x v="2"/>
    <x v="98"/>
    <x v="19"/>
    <x v="11"/>
    <x v="1"/>
    <s v="ATCHUTAPURAM APSEZ"/>
    <x v="2"/>
    <n v="0"/>
    <n v="0"/>
    <n v="0"/>
    <n v="0"/>
    <n v="0"/>
  </r>
  <r>
    <s v="404-0191046-0578707"/>
    <s v="14/03/2023"/>
    <x v="3"/>
    <x v="187"/>
    <x v="13"/>
    <x v="11"/>
    <x v="1"/>
    <s v="AHMEDABAD"/>
    <x v="3"/>
    <n v="-799"/>
    <n v="320"/>
    <n v="-479"/>
    <n v="240"/>
    <n v="-239"/>
  </r>
  <r>
    <s v="408-2032229-9417953"/>
    <s v="20/03/2023"/>
    <x v="0"/>
    <x v="80"/>
    <x v="19"/>
    <x v="11"/>
    <x v="1"/>
    <s v="BENGALURU"/>
    <x v="5"/>
    <n v="800"/>
    <n v="212"/>
    <n v="588"/>
    <n v="240"/>
    <n v="348"/>
  </r>
  <r>
    <s v="403-5917844-9110712"/>
    <s v="20/03/2023"/>
    <x v="0"/>
    <x v="156"/>
    <x v="19"/>
    <x v="11"/>
    <x v="1"/>
    <s v="SALEKASA"/>
    <x v="6"/>
    <n v="711"/>
    <n v="200"/>
    <n v="511"/>
    <n v="240"/>
    <n v="271"/>
  </r>
  <r>
    <s v="402-2818281-2093146"/>
    <s v="20/03/2023"/>
    <x v="0"/>
    <x v="86"/>
    <x v="19"/>
    <x v="11"/>
    <x v="1"/>
    <s v="NOIDA"/>
    <x v="1"/>
    <n v="800"/>
    <n v="212"/>
    <n v="588"/>
    <n v="240"/>
    <n v="348"/>
  </r>
  <r>
    <s v="402-3077889-4879558"/>
    <s v="20/03/2023"/>
    <x v="0"/>
    <x v="95"/>
    <x v="19"/>
    <x v="11"/>
    <x v="1"/>
    <s v="BENGALURU"/>
    <x v="5"/>
    <n v="800"/>
    <n v="212"/>
    <n v="588"/>
    <n v="240"/>
    <n v="348"/>
  </r>
  <r>
    <s v="405-2091378-9040351"/>
    <s v="21/03/2023"/>
    <x v="2"/>
    <x v="44"/>
    <x v="20"/>
    <x v="11"/>
    <x v="1"/>
    <s v="SONEPUR"/>
    <x v="0"/>
    <n v="0"/>
    <n v="0"/>
    <n v="0"/>
    <n v="0"/>
    <n v="0"/>
  </r>
  <r>
    <s v="406-8572009-1070753"/>
    <s v="20/03/2023"/>
    <x v="0"/>
    <x v="137"/>
    <x v="19"/>
    <x v="11"/>
    <x v="1"/>
    <s v="MUMBAI"/>
    <x v="6"/>
    <n v="756"/>
    <n v="201"/>
    <n v="555"/>
    <n v="240"/>
    <n v="315"/>
  </r>
  <r>
    <s v="406-9402415-2280339"/>
    <s v="12/03/2023"/>
    <x v="3"/>
    <x v="128"/>
    <x v="11"/>
    <x v="11"/>
    <x v="1"/>
    <s v="MANGALURU"/>
    <x v="5"/>
    <n v="-999"/>
    <n v="395"/>
    <n v="-604"/>
    <n v="240"/>
    <n v="-364"/>
  </r>
  <r>
    <s v="408-8536922-7842722"/>
    <s v="21/03/2023"/>
    <x v="1"/>
    <x v="297"/>
    <x v="20"/>
    <x v="11"/>
    <x v="1"/>
    <s v="NEW DELHI"/>
    <x v="16"/>
    <n v="0"/>
    <n v="0"/>
    <n v="0"/>
    <n v="0"/>
    <n v="0"/>
  </r>
  <r>
    <s v="402-3645198-4886769"/>
    <s v="21/03/2023"/>
    <x v="0"/>
    <x v="95"/>
    <x v="20"/>
    <x v="11"/>
    <x v="1"/>
    <s v="PATTIVEERANPATTI"/>
    <x v="7"/>
    <n v="800"/>
    <n v="212"/>
    <n v="588"/>
    <n v="240"/>
    <n v="348"/>
  </r>
  <r>
    <s v="405-2091378-9040351"/>
    <s v="21/03/2023"/>
    <x v="0"/>
    <x v="44"/>
    <x v="20"/>
    <x v="11"/>
    <x v="1"/>
    <s v="SONEPUR"/>
    <x v="0"/>
    <n v="800"/>
    <n v="212"/>
    <n v="588"/>
    <n v="240"/>
    <n v="348"/>
  </r>
  <r>
    <s v="404-1511339-6101952"/>
    <s v="21/03/2023"/>
    <x v="0"/>
    <x v="158"/>
    <x v="20"/>
    <x v="11"/>
    <x v="1"/>
    <s v="HYDERABAD"/>
    <x v="8"/>
    <n v="756"/>
    <n v="201"/>
    <n v="555"/>
    <n v="240"/>
    <n v="315"/>
  </r>
  <r>
    <s v="403-1274419-5131554"/>
    <s v="17/03/2023"/>
    <x v="3"/>
    <x v="302"/>
    <x v="16"/>
    <x v="11"/>
    <x v="1"/>
    <s v="NEW DELHI"/>
    <x v="16"/>
    <n v="-711"/>
    <n v="320"/>
    <n v="-391"/>
    <n v="240"/>
    <n v="-151"/>
  </r>
  <r>
    <s v="171-8607255-0215561"/>
    <s v="14/03/2023"/>
    <x v="3"/>
    <x v="120"/>
    <x v="13"/>
    <x v="11"/>
    <x v="1"/>
    <s v="NELLORE"/>
    <x v="2"/>
    <n v="-849"/>
    <n v="345"/>
    <n v="-504"/>
    <n v="240"/>
    <n v="-264"/>
  </r>
  <r>
    <s v="406-6403162-5063536"/>
    <s v="22/03/2023"/>
    <x v="2"/>
    <x v="150"/>
    <x v="21"/>
    <x v="11"/>
    <x v="1"/>
    <s v="ANANTAPUR"/>
    <x v="2"/>
    <n v="0"/>
    <n v="0"/>
    <n v="0"/>
    <n v="0"/>
    <n v="0"/>
  </r>
  <r>
    <s v="405-2674862-6712328"/>
    <s v="12/03/2023"/>
    <x v="3"/>
    <x v="156"/>
    <x v="11"/>
    <x v="11"/>
    <x v="1"/>
    <s v="Pimpri Chinchwad"/>
    <x v="6"/>
    <n v="-799"/>
    <n v="320"/>
    <n v="-479"/>
    <n v="240"/>
    <n v="-239"/>
  </r>
  <r>
    <s v="404-8868002-9201127"/>
    <s v="22/03/2023"/>
    <x v="2"/>
    <x v="59"/>
    <x v="21"/>
    <x v="11"/>
    <x v="1"/>
    <s v="GHAZIABAD"/>
    <x v="1"/>
    <n v="0"/>
    <n v="0"/>
    <n v="0"/>
    <n v="0"/>
    <n v="0"/>
  </r>
  <r>
    <s v="405-8375169-4646753"/>
    <s v="22/03/2023"/>
    <x v="0"/>
    <x v="150"/>
    <x v="21"/>
    <x v="11"/>
    <x v="1"/>
    <s v="KATTAPPANA"/>
    <x v="9"/>
    <n v="711"/>
    <n v="200"/>
    <n v="511"/>
    <n v="240"/>
    <n v="271"/>
  </r>
  <r>
    <s v="407-0157090-4708323"/>
    <s v="22/03/2023"/>
    <x v="0"/>
    <x v="200"/>
    <x v="21"/>
    <x v="11"/>
    <x v="1"/>
    <s v="CHENNAI"/>
    <x v="7"/>
    <n v="889"/>
    <n v="290"/>
    <n v="599"/>
    <n v="240"/>
    <n v="359"/>
  </r>
  <r>
    <s v="405-1375520-2304324"/>
    <s v="22/03/2023"/>
    <x v="0"/>
    <x v="44"/>
    <x v="21"/>
    <x v="11"/>
    <x v="1"/>
    <s v="TRICHUR"/>
    <x v="9"/>
    <n v="800"/>
    <n v="212"/>
    <n v="588"/>
    <n v="240"/>
    <n v="348"/>
  </r>
  <r>
    <s v="403-8260947-9867508"/>
    <s v="22/03/2023"/>
    <x v="0"/>
    <x v="80"/>
    <x v="21"/>
    <x v="11"/>
    <x v="1"/>
    <s v="COIMBATORE"/>
    <x v="7"/>
    <n v="800"/>
    <n v="212"/>
    <n v="588"/>
    <n v="240"/>
    <n v="348"/>
  </r>
  <r>
    <s v="402-0759370-6773911"/>
    <s v="22/03/2023"/>
    <x v="0"/>
    <x v="98"/>
    <x v="21"/>
    <x v="11"/>
    <x v="1"/>
    <s v="Tirora"/>
    <x v="6"/>
    <n v="800"/>
    <n v="212"/>
    <n v="588"/>
    <n v="240"/>
    <n v="348"/>
  </r>
  <r>
    <s v="403-3381202-6440321"/>
    <s v="22/03/2023"/>
    <x v="0"/>
    <x v="302"/>
    <x v="21"/>
    <x v="11"/>
    <x v="1"/>
    <s v="NEW DELHI"/>
    <x v="16"/>
    <n v="711"/>
    <n v="200"/>
    <n v="511"/>
    <n v="240"/>
    <n v="271"/>
  </r>
  <r>
    <s v="404-4885434-0219511"/>
    <s v="22/03/2023"/>
    <x v="0"/>
    <x v="44"/>
    <x v="21"/>
    <x v="11"/>
    <x v="1"/>
    <s v="Vadodara"/>
    <x v="3"/>
    <n v="800"/>
    <n v="212"/>
    <n v="588"/>
    <n v="240"/>
    <n v="348"/>
  </r>
  <r>
    <s v="171-3421960-4976342"/>
    <s v="22/03/2023"/>
    <x v="0"/>
    <x v="312"/>
    <x v="21"/>
    <x v="11"/>
    <x v="1"/>
    <s v="JALGAON"/>
    <x v="6"/>
    <n v="711"/>
    <n v="200"/>
    <n v="511"/>
    <n v="240"/>
    <n v="271"/>
  </r>
  <r>
    <s v="171-3421960-4976342"/>
    <s v="22/03/2023"/>
    <x v="0"/>
    <x v="313"/>
    <x v="21"/>
    <x v="11"/>
    <x v="1"/>
    <s v="JALGAON"/>
    <x v="6"/>
    <n v="756"/>
    <n v="201"/>
    <n v="555"/>
    <n v="240"/>
    <n v="315"/>
  </r>
  <r>
    <s v="408-3717654-1950766"/>
    <s v="22/03/2023"/>
    <x v="0"/>
    <x v="143"/>
    <x v="21"/>
    <x v="11"/>
    <x v="1"/>
    <s v="BENGALURU"/>
    <x v="5"/>
    <n v="756"/>
    <n v="201"/>
    <n v="555"/>
    <n v="240"/>
    <n v="315"/>
  </r>
  <r>
    <s v="406-6403162-5063536"/>
    <s v="22/03/2023"/>
    <x v="0"/>
    <x v="150"/>
    <x v="21"/>
    <x v="11"/>
    <x v="1"/>
    <s v="ANANTAPUR"/>
    <x v="2"/>
    <n v="711"/>
    <n v="200"/>
    <n v="511"/>
    <n v="240"/>
    <n v="271"/>
  </r>
  <r>
    <s v="404-1542258-6668324"/>
    <s v="23/03/2023"/>
    <x v="2"/>
    <x v="25"/>
    <x v="23"/>
    <x v="11"/>
    <x v="1"/>
    <s v="NEW DELHI"/>
    <x v="16"/>
    <n v="0"/>
    <n v="0"/>
    <n v="0"/>
    <n v="0"/>
    <n v="0"/>
  </r>
  <r>
    <s v="404-7119196-5713159"/>
    <s v="14/03/2023"/>
    <x v="3"/>
    <x v="137"/>
    <x v="13"/>
    <x v="11"/>
    <x v="1"/>
    <s v="MANGALURU"/>
    <x v="5"/>
    <n v="-849"/>
    <n v="345"/>
    <n v="-504"/>
    <n v="240"/>
    <n v="-264"/>
  </r>
  <r>
    <s v="405-9414886-8703550"/>
    <s v="24/03/2023"/>
    <x v="2"/>
    <x v="298"/>
    <x v="22"/>
    <x v="11"/>
    <x v="1"/>
    <s v="Kalavoor"/>
    <x v="9"/>
    <n v="0"/>
    <n v="0"/>
    <n v="0"/>
    <n v="0"/>
    <n v="0"/>
  </r>
  <r>
    <s v="402-2818281-2093146"/>
    <s v="20/03/2023"/>
    <x v="3"/>
    <x v="86"/>
    <x v="19"/>
    <x v="11"/>
    <x v="1"/>
    <s v="NOIDA"/>
    <x v="1"/>
    <n v="-800"/>
    <n v="345"/>
    <n v="-455"/>
    <n v="240"/>
    <n v="-215"/>
  </r>
  <r>
    <s v="407-8866214-5533156"/>
    <s v="23/03/2023"/>
    <x v="0"/>
    <x v="158"/>
    <x v="23"/>
    <x v="11"/>
    <x v="1"/>
    <s v="GHAZIABAD"/>
    <x v="1"/>
    <n v="756"/>
    <n v="201"/>
    <n v="555"/>
    <n v="240"/>
    <n v="315"/>
  </r>
  <r>
    <s v="408-1496049-8076314"/>
    <s v="23/03/2023"/>
    <x v="1"/>
    <x v="59"/>
    <x v="23"/>
    <x v="11"/>
    <x v="1"/>
    <s v="RAIL"/>
    <x v="26"/>
    <n v="0"/>
    <n v="0"/>
    <n v="0"/>
    <n v="0"/>
    <n v="0"/>
  </r>
  <r>
    <s v="171-1134695-9685956"/>
    <s v="23/03/2023"/>
    <x v="0"/>
    <x v="98"/>
    <x v="23"/>
    <x v="11"/>
    <x v="1"/>
    <s v="GHAZIABAD"/>
    <x v="1"/>
    <n v="800"/>
    <n v="212"/>
    <n v="588"/>
    <n v="240"/>
    <n v="348"/>
  </r>
  <r>
    <s v="171-1134695-9685956"/>
    <s v="23/03/2023"/>
    <x v="0"/>
    <x v="168"/>
    <x v="23"/>
    <x v="11"/>
    <x v="1"/>
    <s v="GHAZIABAD"/>
    <x v="1"/>
    <n v="711"/>
    <n v="200"/>
    <n v="511"/>
    <n v="240"/>
    <n v="271"/>
  </r>
  <r>
    <s v="407-5468671-8565105"/>
    <s v="23/03/2023"/>
    <x v="0"/>
    <x v="81"/>
    <x v="23"/>
    <x v="11"/>
    <x v="1"/>
    <s v="CHENNAI"/>
    <x v="7"/>
    <n v="711"/>
    <n v="200"/>
    <n v="511"/>
    <n v="240"/>
    <n v="271"/>
  </r>
  <r>
    <s v="404-1542258-6668324"/>
    <s v="23/03/2023"/>
    <x v="0"/>
    <x v="25"/>
    <x v="23"/>
    <x v="11"/>
    <x v="1"/>
    <s v="NEW DELHI"/>
    <x v="16"/>
    <n v="711"/>
    <n v="200"/>
    <n v="511"/>
    <n v="240"/>
    <n v="271"/>
  </r>
  <r>
    <s v="407-4556110-0158768"/>
    <s v="24/03/2023"/>
    <x v="2"/>
    <x v="168"/>
    <x v="22"/>
    <x v="11"/>
    <x v="1"/>
    <s v="THIRUVANANTHAPURAM"/>
    <x v="9"/>
    <n v="0"/>
    <n v="0"/>
    <n v="0"/>
    <n v="0"/>
    <n v="0"/>
  </r>
  <r>
    <s v="171-0609871-0026763"/>
    <s v="16/03/2023"/>
    <x v="3"/>
    <x v="275"/>
    <x v="15"/>
    <x v="11"/>
    <x v="1"/>
    <s v="Rasipuram"/>
    <x v="7"/>
    <n v="-711"/>
    <n v="320"/>
    <n v="-391"/>
    <n v="240"/>
    <n v="-151"/>
  </r>
  <r>
    <s v="408-9386083-7384330"/>
    <s v="24/03/2023"/>
    <x v="2"/>
    <x v="128"/>
    <x v="22"/>
    <x v="11"/>
    <x v="1"/>
    <s v="JAIPUR"/>
    <x v="10"/>
    <n v="0"/>
    <n v="0"/>
    <n v="0"/>
    <n v="0"/>
    <n v="0"/>
  </r>
  <r>
    <s v="407-9327705-6268303"/>
    <s v="24/03/2023"/>
    <x v="2"/>
    <x v="128"/>
    <x v="22"/>
    <x v="11"/>
    <x v="1"/>
    <s v="Coimbatore"/>
    <x v="7"/>
    <n v="0"/>
    <n v="0"/>
    <n v="0"/>
    <n v="0"/>
    <n v="0"/>
  </r>
  <r>
    <s v="402-4625140-4761164"/>
    <s v="24/03/2023"/>
    <x v="0"/>
    <x v="95"/>
    <x v="22"/>
    <x v="11"/>
    <x v="1"/>
    <s v="VENGURLA"/>
    <x v="6"/>
    <n v="800"/>
    <n v="212"/>
    <n v="588"/>
    <n v="240"/>
    <n v="348"/>
  </r>
  <r>
    <s v="407-9327705-6268303"/>
    <s v="24/03/2023"/>
    <x v="0"/>
    <x v="128"/>
    <x v="22"/>
    <x v="11"/>
    <x v="1"/>
    <s v="Coimbatore"/>
    <x v="7"/>
    <n v="889"/>
    <n v="290"/>
    <n v="599"/>
    <n v="240"/>
    <n v="359"/>
  </r>
  <r>
    <s v="408-2163262-3229106"/>
    <s v="24/03/2023"/>
    <x v="0"/>
    <x v="79"/>
    <x v="22"/>
    <x v="11"/>
    <x v="1"/>
    <s v="BENGALURU"/>
    <x v="5"/>
    <n v="800"/>
    <n v="212"/>
    <n v="588"/>
    <n v="240"/>
    <n v="348"/>
  </r>
  <r>
    <s v="405-9414886-8703550"/>
    <s v="24/03/2023"/>
    <x v="0"/>
    <x v="298"/>
    <x v="22"/>
    <x v="11"/>
    <x v="1"/>
    <s v="Kalavoor"/>
    <x v="9"/>
    <n v="756"/>
    <n v="201"/>
    <n v="555"/>
    <n v="240"/>
    <n v="315"/>
  </r>
  <r>
    <s v="407-2942912-6018760"/>
    <s v="24/03/2023"/>
    <x v="0"/>
    <x v="181"/>
    <x v="22"/>
    <x v="11"/>
    <x v="1"/>
    <s v="TALIPARAMBA"/>
    <x v="9"/>
    <n v="711"/>
    <n v="200"/>
    <n v="511"/>
    <n v="240"/>
    <n v="271"/>
  </r>
  <r>
    <s v="407-8945879-8506767"/>
    <s v="24/03/2023"/>
    <x v="0"/>
    <x v="136"/>
    <x v="22"/>
    <x v="11"/>
    <x v="1"/>
    <s v="NAGPUR"/>
    <x v="6"/>
    <n v="756"/>
    <n v="201"/>
    <n v="555"/>
    <n v="240"/>
    <n v="315"/>
  </r>
  <r>
    <s v="402-3888154-5466752"/>
    <s v="24/03/2023"/>
    <x v="0"/>
    <x v="120"/>
    <x v="22"/>
    <x v="11"/>
    <x v="1"/>
    <s v="CHENNAI"/>
    <x v="7"/>
    <n v="756"/>
    <n v="201"/>
    <n v="555"/>
    <n v="240"/>
    <n v="315"/>
  </r>
  <r>
    <s v="408-6277624-6267529"/>
    <s v="24/03/2023"/>
    <x v="1"/>
    <x v="120"/>
    <x v="22"/>
    <x v="11"/>
    <x v="1"/>
    <s v="NIZAMABAD"/>
    <x v="8"/>
    <n v="0"/>
    <n v="0"/>
    <n v="0"/>
    <n v="0"/>
    <n v="0"/>
  </r>
  <r>
    <s v="402-7528350-0245157"/>
    <s v="24/03/2023"/>
    <x v="0"/>
    <x v="156"/>
    <x v="22"/>
    <x v="11"/>
    <x v="1"/>
    <s v="ROSERA"/>
    <x v="0"/>
    <n v="711"/>
    <n v="200"/>
    <n v="511"/>
    <n v="240"/>
    <n v="271"/>
  </r>
  <r>
    <s v="402-6045276-0981155"/>
    <s v="24/03/2023"/>
    <x v="0"/>
    <x v="86"/>
    <x v="22"/>
    <x v="11"/>
    <x v="1"/>
    <s v="AMRITSAR"/>
    <x v="26"/>
    <n v="800"/>
    <n v="212"/>
    <n v="588"/>
    <n v="240"/>
    <n v="348"/>
  </r>
  <r>
    <s v="403-8163377-8011500"/>
    <s v="24/03/2023"/>
    <x v="0"/>
    <x v="135"/>
    <x v="22"/>
    <x v="11"/>
    <x v="1"/>
    <s v="DABHOI"/>
    <x v="3"/>
    <n v="756"/>
    <n v="201"/>
    <n v="555"/>
    <n v="240"/>
    <n v="315"/>
  </r>
  <r>
    <s v="407-4556110-0158768"/>
    <s v="24/03/2023"/>
    <x v="0"/>
    <x v="168"/>
    <x v="22"/>
    <x v="11"/>
    <x v="1"/>
    <s v="THIRUVANANTHAPURAM"/>
    <x v="9"/>
    <n v="711"/>
    <n v="200"/>
    <n v="511"/>
    <n v="240"/>
    <n v="271"/>
  </r>
  <r>
    <s v="404-8835668-4701114"/>
    <s v="25/03/2023"/>
    <x v="2"/>
    <x v="206"/>
    <x v="24"/>
    <x v="11"/>
    <x v="1"/>
    <s v="MUMBAI"/>
    <x v="6"/>
    <n v="0"/>
    <n v="0"/>
    <n v="0"/>
    <n v="0"/>
    <n v="0"/>
  </r>
  <r>
    <s v="408-3694078-2744302"/>
    <s v="19/03/2023"/>
    <x v="3"/>
    <x v="128"/>
    <x v="17"/>
    <x v="11"/>
    <x v="1"/>
    <s v="VISAKHAPATNAM"/>
    <x v="2"/>
    <n v="-1778"/>
    <n v="500"/>
    <n v="-1278"/>
    <n v="240"/>
    <n v="-1038"/>
  </r>
  <r>
    <s v="403-3381202-6440321"/>
    <s v="22/03/2023"/>
    <x v="3"/>
    <x v="302"/>
    <x v="21"/>
    <x v="11"/>
    <x v="1"/>
    <s v="NEW DELHI"/>
    <x v="16"/>
    <n v="-711"/>
    <n v="320"/>
    <n v="-391"/>
    <n v="240"/>
    <n v="-151"/>
  </r>
  <r>
    <s v="402-0528920-8598723"/>
    <s v="16/03/2023"/>
    <x v="2"/>
    <x v="158"/>
    <x v="15"/>
    <x v="11"/>
    <x v="1"/>
    <s v="TALEGAON MIDC"/>
    <x v="6"/>
    <n v="0"/>
    <n v="0"/>
    <n v="0"/>
    <n v="0"/>
    <n v="0"/>
  </r>
  <r>
    <s v="404-0986186-8894724"/>
    <s v="26/03/2023"/>
    <x v="2"/>
    <x v="189"/>
    <x v="25"/>
    <x v="11"/>
    <x v="1"/>
    <s v="SHAHJAHANPUR"/>
    <x v="1"/>
    <n v="0"/>
    <n v="0"/>
    <n v="0"/>
    <n v="0"/>
    <n v="0"/>
  </r>
  <r>
    <s v="402-0528920-8598723"/>
    <s v="16/03/2023"/>
    <x v="3"/>
    <x v="158"/>
    <x v="15"/>
    <x v="11"/>
    <x v="1"/>
    <s v="TALEGAON MIDC"/>
    <x v="6"/>
    <n v="-756"/>
    <n v="320"/>
    <n v="-436"/>
    <n v="240"/>
    <n v="-196"/>
  </r>
  <r>
    <s v="406-6452727-8425966"/>
    <s v="26/03/2023"/>
    <x v="2"/>
    <x v="204"/>
    <x v="25"/>
    <x v="11"/>
    <x v="1"/>
    <s v="VADODARA"/>
    <x v="3"/>
    <n v="0"/>
    <n v="0"/>
    <n v="0"/>
    <n v="0"/>
    <n v="0"/>
  </r>
  <r>
    <s v="405-6179236-2122764"/>
    <s v="26/03/2023"/>
    <x v="2"/>
    <x v="137"/>
    <x v="25"/>
    <x v="11"/>
    <x v="1"/>
    <s v="DURGAPUR"/>
    <x v="18"/>
    <n v="0"/>
    <n v="0"/>
    <n v="0"/>
    <n v="0"/>
    <n v="0"/>
  </r>
  <r>
    <s v="402-4802701-4792319"/>
    <s v="26/03/2023"/>
    <x v="0"/>
    <x v="314"/>
    <x v="25"/>
    <x v="11"/>
    <x v="1"/>
    <s v="SOLAN"/>
    <x v="22"/>
    <n v="711"/>
    <n v="200"/>
    <n v="511"/>
    <n v="240"/>
    <n v="271"/>
  </r>
  <r>
    <s v="408-3866529-5127536"/>
    <s v="26/03/2023"/>
    <x v="0"/>
    <x v="137"/>
    <x v="25"/>
    <x v="11"/>
    <x v="1"/>
    <s v="BENGALURU"/>
    <x v="5"/>
    <n v="756"/>
    <n v="201"/>
    <n v="555"/>
    <n v="240"/>
    <n v="315"/>
  </r>
  <r>
    <s v="405-6323760-8581964"/>
    <s v="26/03/2023"/>
    <x v="0"/>
    <x v="120"/>
    <x v="25"/>
    <x v="11"/>
    <x v="1"/>
    <s v="BENGALURU"/>
    <x v="5"/>
    <n v="756"/>
    <n v="201"/>
    <n v="555"/>
    <n v="240"/>
    <n v="315"/>
  </r>
  <r>
    <s v="402-2228957-1282736"/>
    <s v="26/03/2023"/>
    <x v="0"/>
    <x v="44"/>
    <x v="25"/>
    <x v="11"/>
    <x v="1"/>
    <s v="BENGALURU"/>
    <x v="5"/>
    <n v="800"/>
    <n v="212"/>
    <n v="588"/>
    <n v="240"/>
    <n v="348"/>
  </r>
  <r>
    <s v="406-6452727-8425966"/>
    <s v="26/03/2023"/>
    <x v="0"/>
    <x v="204"/>
    <x v="25"/>
    <x v="11"/>
    <x v="1"/>
    <s v="VADODARA"/>
    <x v="3"/>
    <n v="711"/>
    <n v="200"/>
    <n v="511"/>
    <n v="240"/>
    <n v="271"/>
  </r>
  <r>
    <s v="404-3613154-1482708"/>
    <s v="26/03/2023"/>
    <x v="0"/>
    <x v="136"/>
    <x v="25"/>
    <x v="11"/>
    <x v="1"/>
    <s v="BENGALURU"/>
    <x v="5"/>
    <n v="756"/>
    <n v="201"/>
    <n v="555"/>
    <n v="240"/>
    <n v="315"/>
  </r>
  <r>
    <s v="403-9505180-4346720"/>
    <s v="26/03/2023"/>
    <x v="0"/>
    <x v="44"/>
    <x v="25"/>
    <x v="11"/>
    <x v="1"/>
    <s v="PALWAL"/>
    <x v="15"/>
    <n v="800"/>
    <n v="212"/>
    <n v="588"/>
    <n v="240"/>
    <n v="348"/>
  </r>
  <r>
    <s v="407-2202361-3204364"/>
    <s v="26/03/2023"/>
    <x v="0"/>
    <x v="69"/>
    <x v="25"/>
    <x v="11"/>
    <x v="1"/>
    <s v="HUBBALLI"/>
    <x v="5"/>
    <n v="756"/>
    <n v="201"/>
    <n v="555"/>
    <n v="240"/>
    <n v="315"/>
  </r>
  <r>
    <s v="407-6850584-3950763"/>
    <s v="22/03/2023"/>
    <x v="0"/>
    <x v="158"/>
    <x v="21"/>
    <x v="11"/>
    <x v="1"/>
    <s v="ANANDPUR SAHIB"/>
    <x v="26"/>
    <n v="756"/>
    <n v="201"/>
    <n v="555"/>
    <n v="240"/>
    <n v="315"/>
  </r>
  <r>
    <s v="403-1259085-5392303"/>
    <s v="25/03/2023"/>
    <x v="0"/>
    <x v="184"/>
    <x v="24"/>
    <x v="11"/>
    <x v="1"/>
    <s v="AHMEDABAD"/>
    <x v="3"/>
    <n v="756"/>
    <n v="201"/>
    <n v="555"/>
    <n v="240"/>
    <n v="315"/>
  </r>
  <r>
    <s v="405-8582245-4404309"/>
    <s v="26/03/2023"/>
    <x v="0"/>
    <x v="59"/>
    <x v="25"/>
    <x v="11"/>
    <x v="1"/>
    <s v="KALOL GANDHINAGAR DISTRICT"/>
    <x v="3"/>
    <n v="800"/>
    <n v="212"/>
    <n v="588"/>
    <n v="240"/>
    <n v="348"/>
  </r>
  <r>
    <s v="403-8078175-6665134"/>
    <s v="26/03/2023"/>
    <x v="0"/>
    <x v="44"/>
    <x v="25"/>
    <x v="11"/>
    <x v="1"/>
    <s v="HYDERABAD"/>
    <x v="8"/>
    <n v="800"/>
    <n v="212"/>
    <n v="588"/>
    <n v="240"/>
    <n v="348"/>
  </r>
  <r>
    <s v="171-5183067-7047506"/>
    <s v="26/03/2023"/>
    <x v="0"/>
    <x v="240"/>
    <x v="25"/>
    <x v="11"/>
    <x v="1"/>
    <s v="PUDUPAKKAM"/>
    <x v="7"/>
    <n v="756"/>
    <n v="201"/>
    <n v="555"/>
    <n v="240"/>
    <n v="315"/>
  </r>
  <r>
    <s v="403-7145796-7513946"/>
    <s v="26/03/2023"/>
    <x v="0"/>
    <x v="12"/>
    <x v="25"/>
    <x v="11"/>
    <x v="1"/>
    <s v="CHENNAI"/>
    <x v="7"/>
    <n v="756"/>
    <n v="201"/>
    <n v="555"/>
    <n v="240"/>
    <n v="315"/>
  </r>
  <r>
    <s v="404-6517591-2825149"/>
    <s v="27/03/2023"/>
    <x v="0"/>
    <x v="59"/>
    <x v="26"/>
    <x v="11"/>
    <x v="1"/>
    <s v="CHENNAI"/>
    <x v="7"/>
    <n v="800"/>
    <n v="212"/>
    <n v="588"/>
    <n v="240"/>
    <n v="348"/>
  </r>
  <r>
    <s v="408-3092171-3064319"/>
    <s v="25/03/2023"/>
    <x v="0"/>
    <x v="128"/>
    <x v="24"/>
    <x v="11"/>
    <x v="1"/>
    <s v="Mumbai"/>
    <x v="6"/>
    <n v="889"/>
    <n v="290"/>
    <n v="599"/>
    <n v="240"/>
    <n v="359"/>
  </r>
  <r>
    <s v="402-7219873-7294756"/>
    <s v="26/03/2023"/>
    <x v="0"/>
    <x v="158"/>
    <x v="25"/>
    <x v="11"/>
    <x v="1"/>
    <s v="TALEGAON MIDC"/>
    <x v="6"/>
    <n v="756"/>
    <n v="201"/>
    <n v="555"/>
    <n v="240"/>
    <n v="315"/>
  </r>
  <r>
    <s v="406-0866854-1926720"/>
    <s v="25/03/2023"/>
    <x v="0"/>
    <x v="165"/>
    <x v="24"/>
    <x v="11"/>
    <x v="1"/>
    <s v="THIRUNINRAVUR"/>
    <x v="7"/>
    <n v="711"/>
    <n v="200"/>
    <n v="511"/>
    <n v="240"/>
    <n v="271"/>
  </r>
  <r>
    <s v="407-6850584-3950763"/>
    <s v="22/03/2023"/>
    <x v="3"/>
    <x v="158"/>
    <x v="21"/>
    <x v="11"/>
    <x v="1"/>
    <s v="ANANDPUR SAHIB"/>
    <x v="26"/>
    <n v="-756"/>
    <n v="320"/>
    <n v="-436"/>
    <n v="240"/>
    <n v="-196"/>
  </r>
  <r>
    <s v="171-2135076-3850711"/>
    <s v="27/03/2023"/>
    <x v="2"/>
    <x v="154"/>
    <x v="26"/>
    <x v="11"/>
    <x v="1"/>
    <s v="MUNGELI"/>
    <x v="20"/>
    <n v="0"/>
    <n v="0"/>
    <n v="0"/>
    <n v="0"/>
    <n v="0"/>
  </r>
  <r>
    <s v="402-9818349-6231526"/>
    <s v="27/03/2023"/>
    <x v="0"/>
    <x v="122"/>
    <x v="26"/>
    <x v="11"/>
    <x v="1"/>
    <s v="AKOLA"/>
    <x v="6"/>
    <n v="756"/>
    <n v="201"/>
    <n v="555"/>
    <n v="240"/>
    <n v="315"/>
  </r>
  <r>
    <s v="407-0801222-9744313"/>
    <s v="27/03/2023"/>
    <x v="0"/>
    <x v="133"/>
    <x v="26"/>
    <x v="11"/>
    <x v="1"/>
    <s v="MUMBAI"/>
    <x v="6"/>
    <n v="711"/>
    <n v="200"/>
    <n v="511"/>
    <n v="240"/>
    <n v="271"/>
  </r>
  <r>
    <s v="171-3892374-3080349"/>
    <s v="27/03/2023"/>
    <x v="0"/>
    <x v="193"/>
    <x v="26"/>
    <x v="11"/>
    <x v="1"/>
    <s v="AJMER"/>
    <x v="10"/>
    <n v="711"/>
    <n v="200"/>
    <n v="511"/>
    <n v="240"/>
    <n v="271"/>
  </r>
  <r>
    <s v="404-9222352-9429137"/>
    <s v="27/03/2023"/>
    <x v="0"/>
    <x v="290"/>
    <x v="26"/>
    <x v="11"/>
    <x v="1"/>
    <s v="JHALAWAR"/>
    <x v="10"/>
    <n v="711"/>
    <n v="200"/>
    <n v="511"/>
    <n v="240"/>
    <n v="271"/>
  </r>
  <r>
    <s v="408-1414963-9445141"/>
    <s v="27/03/2023"/>
    <x v="0"/>
    <x v="120"/>
    <x v="26"/>
    <x v="11"/>
    <x v="1"/>
    <s v="MUMBAI"/>
    <x v="6"/>
    <n v="756"/>
    <n v="201"/>
    <n v="555"/>
    <n v="240"/>
    <n v="315"/>
  </r>
  <r>
    <s v="404-1231378-2889115"/>
    <s v="27/03/2023"/>
    <x v="0"/>
    <x v="164"/>
    <x v="26"/>
    <x v="11"/>
    <x v="1"/>
    <s v="Gudalur Coimbatore District"/>
    <x v="7"/>
    <n v="756"/>
    <n v="201"/>
    <n v="555"/>
    <n v="240"/>
    <n v="315"/>
  </r>
  <r>
    <s v="171-9701654-5154740"/>
    <s v="27/03/2023"/>
    <x v="0"/>
    <x v="275"/>
    <x v="26"/>
    <x v="11"/>
    <x v="1"/>
    <s v="Rasipuram"/>
    <x v="7"/>
    <n v="711"/>
    <n v="200"/>
    <n v="511"/>
    <n v="240"/>
    <n v="271"/>
  </r>
  <r>
    <s v="408-0655931-8732345"/>
    <s v="27/03/2023"/>
    <x v="0"/>
    <x v="128"/>
    <x v="26"/>
    <x v="11"/>
    <x v="1"/>
    <s v="VISAKHAPATNAM"/>
    <x v="2"/>
    <n v="1778"/>
    <n v="520"/>
    <n v="1258"/>
    <n v="240"/>
    <n v="1018"/>
  </r>
  <r>
    <s v="404-1433603-2031540"/>
    <s v="14/03/2023"/>
    <x v="3"/>
    <x v="179"/>
    <x v="13"/>
    <x v="11"/>
    <x v="1"/>
    <s v="HUKERI"/>
    <x v="5"/>
    <n v="-799"/>
    <n v="320"/>
    <n v="-479"/>
    <n v="240"/>
    <n v="-239"/>
  </r>
  <r>
    <s v="404-1542258-6668324"/>
    <s v="23/03/2023"/>
    <x v="3"/>
    <x v="25"/>
    <x v="23"/>
    <x v="11"/>
    <x v="1"/>
    <s v="NEW DELHI"/>
    <x v="16"/>
    <n v="-711"/>
    <n v="320"/>
    <n v="-391"/>
    <n v="240"/>
    <n v="-151"/>
  </r>
  <r>
    <s v="171-4574091-9814767"/>
    <s v="29/03/2023"/>
    <x v="2"/>
    <x v="189"/>
    <x v="28"/>
    <x v="11"/>
    <x v="1"/>
    <s v="NAHARLAGUN"/>
    <x v="34"/>
    <n v="0"/>
    <n v="0"/>
    <n v="0"/>
    <n v="0"/>
    <n v="0"/>
  </r>
  <r>
    <s v="171-4574091-9814767"/>
    <s v="29/03/2023"/>
    <x v="2"/>
    <x v="52"/>
    <x v="28"/>
    <x v="11"/>
    <x v="1"/>
    <s v="NAHARLAGUN"/>
    <x v="34"/>
    <n v="0"/>
    <n v="0"/>
    <n v="0"/>
    <n v="0"/>
    <n v="0"/>
  </r>
  <r>
    <s v="402-7242485-7578754"/>
    <s v="28/03/2023"/>
    <x v="0"/>
    <x v="232"/>
    <x v="27"/>
    <x v="11"/>
    <x v="1"/>
    <s v="CHENNAI"/>
    <x v="7"/>
    <n v="756"/>
    <n v="201"/>
    <n v="555"/>
    <n v="240"/>
    <n v="315"/>
  </r>
  <r>
    <s v="404-8098556-3877904"/>
    <s v="28/03/2023"/>
    <x v="0"/>
    <x v="6"/>
    <x v="27"/>
    <x v="11"/>
    <x v="1"/>
    <s v="portblair"/>
    <x v="32"/>
    <n v="800"/>
    <n v="212"/>
    <n v="588"/>
    <n v="240"/>
    <n v="348"/>
  </r>
  <r>
    <s v="408-2992036-5708369"/>
    <s v="28/03/2023"/>
    <x v="0"/>
    <x v="98"/>
    <x v="27"/>
    <x v="11"/>
    <x v="1"/>
    <s v="HYDERABAD"/>
    <x v="8"/>
    <n v="800"/>
    <n v="212"/>
    <n v="588"/>
    <n v="240"/>
    <n v="348"/>
  </r>
  <r>
    <s v="405-2889793-2122727"/>
    <s v="28/03/2023"/>
    <x v="0"/>
    <x v="95"/>
    <x v="27"/>
    <x v="11"/>
    <x v="1"/>
    <s v="Amritsar"/>
    <x v="26"/>
    <n v="800"/>
    <n v="212"/>
    <n v="588"/>
    <n v="240"/>
    <n v="348"/>
  </r>
  <r>
    <s v="408-0608730-2148366"/>
    <s v="28/03/2023"/>
    <x v="0"/>
    <x v="74"/>
    <x v="27"/>
    <x v="11"/>
    <x v="1"/>
    <s v="Panaji"/>
    <x v="21"/>
    <n v="800"/>
    <n v="212"/>
    <n v="588"/>
    <n v="240"/>
    <n v="348"/>
  </r>
  <r>
    <s v="406-9025208-0793122"/>
    <s v="28/03/2023"/>
    <x v="0"/>
    <x v="136"/>
    <x v="27"/>
    <x v="11"/>
    <x v="1"/>
    <s v="MUMBAI"/>
    <x v="6"/>
    <n v="756"/>
    <n v="201"/>
    <n v="555"/>
    <n v="240"/>
    <n v="315"/>
  </r>
  <r>
    <s v="406-8523442-3073929"/>
    <s v="28/03/2023"/>
    <x v="0"/>
    <x v="80"/>
    <x v="27"/>
    <x v="11"/>
    <x v="1"/>
    <s v="MUMBAI"/>
    <x v="6"/>
    <n v="800"/>
    <n v="212"/>
    <n v="588"/>
    <n v="240"/>
    <n v="348"/>
  </r>
  <r>
    <s v="171-6516118-8272312"/>
    <s v="28/03/2023"/>
    <x v="0"/>
    <x v="248"/>
    <x v="27"/>
    <x v="11"/>
    <x v="1"/>
    <s v="JAMSHEDPUR"/>
    <x v="11"/>
    <n v="711"/>
    <n v="200"/>
    <n v="511"/>
    <n v="240"/>
    <n v="271"/>
  </r>
  <r>
    <s v="407-0157090-4708323"/>
    <s v="22/03/2023"/>
    <x v="3"/>
    <x v="200"/>
    <x v="21"/>
    <x v="11"/>
    <x v="1"/>
    <s v="CHENNAI"/>
    <x v="7"/>
    <n v="-889"/>
    <n v="375"/>
    <n v="-514"/>
    <n v="240"/>
    <n v="-274"/>
  </r>
  <r>
    <s v="405-6139115-5921963"/>
    <s v="30/03/2023"/>
    <x v="2"/>
    <x v="136"/>
    <x v="29"/>
    <x v="11"/>
    <x v="1"/>
    <s v="Ahmedabad"/>
    <x v="3"/>
    <n v="0"/>
    <n v="0"/>
    <n v="0"/>
    <n v="0"/>
    <n v="0"/>
  </r>
  <r>
    <s v="407-8945879-8506767"/>
    <s v="24/03/2023"/>
    <x v="3"/>
    <x v="136"/>
    <x v="22"/>
    <x v="11"/>
    <x v="1"/>
    <s v="NAGPUR"/>
    <x v="6"/>
    <n v="-756"/>
    <n v="320"/>
    <n v="-436"/>
    <n v="240"/>
    <n v="-196"/>
  </r>
  <r>
    <s v="171-9227104-2928336"/>
    <s v="30/03/2023"/>
    <x v="2"/>
    <x v="184"/>
    <x v="29"/>
    <x v="11"/>
    <x v="1"/>
    <s v="MUMBAI"/>
    <x v="6"/>
    <n v="0"/>
    <n v="0"/>
    <n v="0"/>
    <n v="0"/>
    <n v="0"/>
  </r>
  <r>
    <s v="408-2472926-8357926"/>
    <s v="29/03/2023"/>
    <x v="1"/>
    <x v="44"/>
    <x v="28"/>
    <x v="11"/>
    <x v="1"/>
    <s v="PALWAL"/>
    <x v="15"/>
    <n v="0"/>
    <n v="0"/>
    <n v="0"/>
    <n v="0"/>
    <n v="0"/>
  </r>
  <r>
    <s v="406-0650149-7761133"/>
    <s v="29/03/2023"/>
    <x v="0"/>
    <x v="248"/>
    <x v="28"/>
    <x v="11"/>
    <x v="1"/>
    <s v="Arakonam"/>
    <x v="7"/>
    <n v="711"/>
    <n v="200"/>
    <n v="511"/>
    <n v="240"/>
    <n v="271"/>
  </r>
  <r>
    <s v="405-1725458-9561128"/>
    <s v="29/03/2023"/>
    <x v="0"/>
    <x v="134"/>
    <x v="28"/>
    <x v="11"/>
    <x v="1"/>
    <s v="Vishwapriya nagar  Begur  Bangalore"/>
    <x v="5"/>
    <n v="756"/>
    <n v="201"/>
    <n v="555"/>
    <n v="240"/>
    <n v="315"/>
  </r>
  <r>
    <s v="402-2582396-9417922"/>
    <s v="29/03/2023"/>
    <x v="0"/>
    <x v="154"/>
    <x v="28"/>
    <x v="11"/>
    <x v="1"/>
    <s v="BHOGPUR"/>
    <x v="26"/>
    <n v="711"/>
    <n v="200"/>
    <n v="511"/>
    <n v="240"/>
    <n v="271"/>
  </r>
  <r>
    <s v="171-0108094-3772348"/>
    <s v="29/03/2023"/>
    <x v="0"/>
    <x v="154"/>
    <x v="28"/>
    <x v="11"/>
    <x v="1"/>
    <s v="TINSUKIA"/>
    <x v="4"/>
    <n v="711"/>
    <n v="200"/>
    <n v="511"/>
    <n v="240"/>
    <n v="271"/>
  </r>
  <r>
    <s v="407-2727130-4907558"/>
    <s v="29/03/2023"/>
    <x v="0"/>
    <x v="75"/>
    <x v="28"/>
    <x v="11"/>
    <x v="1"/>
    <s v="PUNE"/>
    <x v="6"/>
    <n v="711"/>
    <n v="200"/>
    <n v="511"/>
    <n v="240"/>
    <n v="271"/>
  </r>
  <r>
    <s v="403-0410935-7378721"/>
    <s v="29/03/2023"/>
    <x v="0"/>
    <x v="86"/>
    <x v="28"/>
    <x v="11"/>
    <x v="1"/>
    <s v="CHENNAI"/>
    <x v="7"/>
    <n v="800"/>
    <n v="212"/>
    <n v="588"/>
    <n v="240"/>
    <n v="348"/>
  </r>
  <r>
    <s v="405-4861056-5564332"/>
    <s v="29/03/2023"/>
    <x v="0"/>
    <x v="165"/>
    <x v="28"/>
    <x v="11"/>
    <x v="1"/>
    <s v="KANNUR"/>
    <x v="9"/>
    <n v="711"/>
    <n v="200"/>
    <n v="511"/>
    <n v="240"/>
    <n v="271"/>
  </r>
  <r>
    <s v="406-7355743-5593932"/>
    <s v="29/03/2023"/>
    <x v="0"/>
    <x v="197"/>
    <x v="28"/>
    <x v="11"/>
    <x v="1"/>
    <s v="CHENNAI"/>
    <x v="7"/>
    <n v="756"/>
    <n v="201"/>
    <n v="555"/>
    <n v="240"/>
    <n v="315"/>
  </r>
  <r>
    <s v="405-3548178-0461125"/>
    <s v="29/03/2023"/>
    <x v="0"/>
    <x v="44"/>
    <x v="28"/>
    <x v="11"/>
    <x v="1"/>
    <s v="KANCHEEPURAM"/>
    <x v="7"/>
    <n v="800"/>
    <n v="212"/>
    <n v="588"/>
    <n v="240"/>
    <n v="348"/>
  </r>
  <r>
    <s v="171-4574091-9814767"/>
    <s v="29/03/2023"/>
    <x v="0"/>
    <x v="189"/>
    <x v="28"/>
    <x v="11"/>
    <x v="1"/>
    <s v="NAHARLAGUN"/>
    <x v="34"/>
    <n v="711"/>
    <n v="200"/>
    <n v="511"/>
    <n v="240"/>
    <n v="271"/>
  </r>
  <r>
    <s v="171-4574091-9814767"/>
    <s v="29/03/2023"/>
    <x v="0"/>
    <x v="52"/>
    <x v="28"/>
    <x v="11"/>
    <x v="1"/>
    <s v="NAHARLAGUN"/>
    <x v="34"/>
    <n v="800"/>
    <n v="212"/>
    <n v="588"/>
    <n v="240"/>
    <n v="348"/>
  </r>
  <r>
    <s v="406-8572009-1070753"/>
    <s v="20/03/2023"/>
    <x v="3"/>
    <x v="137"/>
    <x v="19"/>
    <x v="11"/>
    <x v="1"/>
    <s v="MUMBAI"/>
    <x v="6"/>
    <n v="-756"/>
    <n v="320"/>
    <n v="-436"/>
    <n v="240"/>
    <n v="-196"/>
  </r>
  <r>
    <s v="403-6930354-3363503"/>
    <s v="29/03/2023"/>
    <x v="0"/>
    <x v="137"/>
    <x v="28"/>
    <x v="11"/>
    <x v="1"/>
    <s v="VADODARA"/>
    <x v="3"/>
    <n v="756"/>
    <n v="201"/>
    <n v="555"/>
    <n v="240"/>
    <n v="315"/>
  </r>
  <r>
    <s v="404-6835213-3709145"/>
    <s v="29/03/2023"/>
    <x v="0"/>
    <x v="173"/>
    <x v="28"/>
    <x v="11"/>
    <x v="1"/>
    <s v="PALI"/>
    <x v="10"/>
    <n v="711"/>
    <n v="200"/>
    <n v="511"/>
    <n v="240"/>
    <n v="271"/>
  </r>
  <r>
    <s v="406-9986062-3982739"/>
    <s v="29/03/2023"/>
    <x v="0"/>
    <x v="261"/>
    <x v="28"/>
    <x v="11"/>
    <x v="1"/>
    <s v="delhi"/>
    <x v="16"/>
    <n v="889"/>
    <n v="290"/>
    <n v="599"/>
    <n v="240"/>
    <n v="359"/>
  </r>
  <r>
    <s v="403-8789208-8837115"/>
    <s v="29/03/2023"/>
    <x v="0"/>
    <x v="137"/>
    <x v="28"/>
    <x v="11"/>
    <x v="1"/>
    <s v="BHUBANESWAR"/>
    <x v="14"/>
    <n v="756"/>
    <n v="201"/>
    <n v="555"/>
    <n v="240"/>
    <n v="315"/>
  </r>
  <r>
    <s v="403-8163377-8011500"/>
    <s v="24/03/2023"/>
    <x v="3"/>
    <x v="135"/>
    <x v="22"/>
    <x v="11"/>
    <x v="1"/>
    <s v="DABHOI"/>
    <x v="3"/>
    <n v="-756"/>
    <n v="320"/>
    <n v="-436"/>
    <n v="240"/>
    <n v="-196"/>
  </r>
  <r>
    <s v="404-1511339-6101952"/>
    <s v="21/03/2023"/>
    <x v="3"/>
    <x v="158"/>
    <x v="20"/>
    <x v="11"/>
    <x v="1"/>
    <s v="HYDERABAD"/>
    <x v="8"/>
    <n v="-756"/>
    <n v="320"/>
    <n v="-436"/>
    <n v="240"/>
    <n v="-196"/>
  </r>
  <r>
    <s v="408-8674641-3285907"/>
    <s v="31/03/2023"/>
    <x v="2"/>
    <x v="44"/>
    <x v="30"/>
    <x v="11"/>
    <x v="1"/>
    <s v="HYDERABAD"/>
    <x v="8"/>
    <n v="0"/>
    <n v="0"/>
    <n v="0"/>
    <n v="0"/>
    <n v="0"/>
  </r>
  <r>
    <s v="402-3927661-6965163"/>
    <s v="30/03/2023"/>
    <x v="0"/>
    <x v="25"/>
    <x v="29"/>
    <x v="11"/>
    <x v="1"/>
    <s v="FAIZABAD"/>
    <x v="1"/>
    <n v="711"/>
    <n v="200"/>
    <n v="511"/>
    <n v="240"/>
    <n v="271"/>
  </r>
  <r>
    <s v="405-6139115-5921963"/>
    <s v="30/03/2023"/>
    <x v="0"/>
    <x v="136"/>
    <x v="29"/>
    <x v="11"/>
    <x v="1"/>
    <s v="Ahmedabad"/>
    <x v="3"/>
    <n v="756"/>
    <n v="201"/>
    <n v="555"/>
    <n v="240"/>
    <n v="315"/>
  </r>
  <r>
    <s v="407-8195174-0962704"/>
    <s v="30/03/2023"/>
    <x v="0"/>
    <x v="134"/>
    <x v="29"/>
    <x v="11"/>
    <x v="1"/>
    <s v="HYDERABAD"/>
    <x v="8"/>
    <n v="756"/>
    <n v="201"/>
    <n v="555"/>
    <n v="240"/>
    <n v="315"/>
  </r>
  <r>
    <s v="408-9350936-8995544"/>
    <s v="30/03/2023"/>
    <x v="1"/>
    <x v="119"/>
    <x v="29"/>
    <x v="11"/>
    <x v="1"/>
    <s v="VADODARA"/>
    <x v="3"/>
    <n v="0"/>
    <n v="0"/>
    <n v="0"/>
    <n v="0"/>
    <n v="0"/>
  </r>
  <r>
    <s v="171-1478936-0258758"/>
    <s v="30/03/2023"/>
    <x v="0"/>
    <x v="131"/>
    <x v="29"/>
    <x v="11"/>
    <x v="1"/>
    <s v="BENGALURU"/>
    <x v="5"/>
    <n v="711"/>
    <n v="200"/>
    <n v="511"/>
    <n v="240"/>
    <n v="271"/>
  </r>
  <r>
    <s v="402-9202669-9284300"/>
    <s v="30/03/2023"/>
    <x v="0"/>
    <x v="59"/>
    <x v="29"/>
    <x v="11"/>
    <x v="1"/>
    <s v="BENGALURU"/>
    <x v="5"/>
    <n v="800"/>
    <n v="212"/>
    <n v="588"/>
    <n v="240"/>
    <n v="348"/>
  </r>
  <r>
    <s v="407-8802921-7517959"/>
    <s v="30/03/2023"/>
    <x v="0"/>
    <x v="200"/>
    <x v="29"/>
    <x v="11"/>
    <x v="1"/>
    <s v="NOIDA"/>
    <x v="1"/>
    <n v="889"/>
    <n v="290"/>
    <n v="599"/>
    <n v="240"/>
    <n v="359"/>
  </r>
  <r>
    <s v="171-9227104-2928336"/>
    <s v="30/03/2023"/>
    <x v="0"/>
    <x v="184"/>
    <x v="29"/>
    <x v="11"/>
    <x v="1"/>
    <s v="MUMBAI"/>
    <x v="6"/>
    <n v="756"/>
    <n v="201"/>
    <n v="555"/>
    <n v="240"/>
    <n v="315"/>
  </r>
  <r>
    <s v="171-2875026-5297953"/>
    <s v="30/03/2023"/>
    <x v="0"/>
    <x v="290"/>
    <x v="29"/>
    <x v="11"/>
    <x v="1"/>
    <s v="Pratapgarh"/>
    <x v="1"/>
    <n v="711"/>
    <n v="200"/>
    <n v="511"/>
    <n v="240"/>
    <n v="271"/>
  </r>
  <r>
    <s v="402-5966186-6931569"/>
    <s v="30/03/2023"/>
    <x v="0"/>
    <x v="158"/>
    <x v="29"/>
    <x v="11"/>
    <x v="1"/>
    <s v="KHAMMAM"/>
    <x v="8"/>
    <n v="756"/>
    <n v="201"/>
    <n v="555"/>
    <n v="240"/>
    <n v="315"/>
  </r>
  <r>
    <s v="403-2576859-8500327"/>
    <s v="30/03/2023"/>
    <x v="0"/>
    <x v="147"/>
    <x v="29"/>
    <x v="11"/>
    <x v="1"/>
    <s v="HYDERABAD"/>
    <x v="8"/>
    <n v="711"/>
    <n v="200"/>
    <n v="511"/>
    <n v="240"/>
    <n v="271"/>
  </r>
  <r>
    <s v="402-6528274-6653157"/>
    <s v="30/03/2023"/>
    <x v="0"/>
    <x v="204"/>
    <x v="29"/>
    <x v="11"/>
    <x v="1"/>
    <s v="PORT BLAIR  SOUTH ANDAMAN "/>
    <x v="32"/>
    <n v="711"/>
    <n v="200"/>
    <n v="511"/>
    <n v="240"/>
    <n v="271"/>
  </r>
  <r>
    <s v="405-2304852-3825116"/>
    <s v="30/03/2023"/>
    <x v="0"/>
    <x v="147"/>
    <x v="29"/>
    <x v="11"/>
    <x v="1"/>
    <s v="NEW DELHI"/>
    <x v="16"/>
    <n v="711"/>
    <n v="200"/>
    <n v="511"/>
    <n v="240"/>
    <n v="271"/>
  </r>
  <r>
    <s v="405-0180082-1924333"/>
    <s v="31/03/2023"/>
    <x v="0"/>
    <x v="95"/>
    <x v="30"/>
    <x v="11"/>
    <x v="1"/>
    <s v="Thrissur"/>
    <x v="9"/>
    <n v="800"/>
    <n v="212"/>
    <n v="588"/>
    <n v="240"/>
    <n v="348"/>
  </r>
  <r>
    <s v="408-4173211-5064318"/>
    <s v="31/03/2023"/>
    <x v="0"/>
    <x v="12"/>
    <x v="30"/>
    <x v="11"/>
    <x v="1"/>
    <s v="MUVATTUPUZHA"/>
    <x v="9"/>
    <n v="756"/>
    <n v="201"/>
    <n v="555"/>
    <n v="240"/>
    <n v="315"/>
  </r>
  <r>
    <s v="407-9000431-4607545"/>
    <s v="31/03/2023"/>
    <x v="0"/>
    <x v="80"/>
    <x v="30"/>
    <x v="11"/>
    <x v="1"/>
    <s v="BENGALURU"/>
    <x v="5"/>
    <n v="800"/>
    <n v="212"/>
    <n v="588"/>
    <n v="240"/>
    <n v="348"/>
  </r>
  <r>
    <s v="406-5870584-8952321"/>
    <s v="31/03/2023"/>
    <x v="0"/>
    <x v="134"/>
    <x v="30"/>
    <x v="11"/>
    <x v="1"/>
    <s v="MANDYA"/>
    <x v="5"/>
    <n v="756"/>
    <n v="201"/>
    <n v="555"/>
    <n v="240"/>
    <n v="315"/>
  </r>
  <r>
    <s v="171-3962333-3675532"/>
    <s v="31/03/2023"/>
    <x v="0"/>
    <x v="165"/>
    <x v="30"/>
    <x v="11"/>
    <x v="1"/>
    <s v="MUMBAI"/>
    <x v="6"/>
    <n v="711"/>
    <n v="200"/>
    <n v="511"/>
    <n v="240"/>
    <n v="271"/>
  </r>
  <r>
    <s v="408-2852532-6561945"/>
    <s v="31/03/2023"/>
    <x v="0"/>
    <x v="289"/>
    <x v="30"/>
    <x v="11"/>
    <x v="1"/>
    <s v="GREATER NOIDA"/>
    <x v="1"/>
    <n v="711"/>
    <n v="200"/>
    <n v="511"/>
    <n v="240"/>
    <n v="271"/>
  </r>
  <r>
    <s v="405-3460113-1822730"/>
    <s v="31/03/2023"/>
    <x v="0"/>
    <x v="134"/>
    <x v="30"/>
    <x v="11"/>
    <x v="1"/>
    <s v="CHENNAI"/>
    <x v="7"/>
    <n v="756"/>
    <n v="201"/>
    <n v="555"/>
    <n v="240"/>
    <n v="315"/>
  </r>
  <r>
    <s v="406-7263901-1231514"/>
    <s v="31/03/2023"/>
    <x v="0"/>
    <x v="100"/>
    <x v="30"/>
    <x v="11"/>
    <x v="1"/>
    <s v="HYDERABAD"/>
    <x v="8"/>
    <n v="711"/>
    <n v="200"/>
    <n v="511"/>
    <n v="240"/>
    <n v="271"/>
  </r>
  <r>
    <s v="408-9494360-3022703"/>
    <s v="31/03/2023"/>
    <x v="0"/>
    <x v="59"/>
    <x v="30"/>
    <x v="11"/>
    <x v="1"/>
    <s v="NEW DELHI"/>
    <x v="16"/>
    <n v="800"/>
    <n v="212"/>
    <n v="588"/>
    <n v="240"/>
    <n v="348"/>
  </r>
  <r>
    <s v="402-3197244-1281100"/>
    <s v="31/03/2023"/>
    <x v="0"/>
    <x v="74"/>
    <x v="30"/>
    <x v="11"/>
    <x v="1"/>
    <s v="LUDHIANA"/>
    <x v="26"/>
    <n v="800"/>
    <n v="212"/>
    <n v="588"/>
    <n v="240"/>
    <n v="348"/>
  </r>
  <r>
    <s v="403-7718972-2453928"/>
    <s v="31/03/2023"/>
    <x v="0"/>
    <x v="98"/>
    <x v="30"/>
    <x v="11"/>
    <x v="1"/>
    <s v="NABARANGAPUR"/>
    <x v="14"/>
    <n v="800"/>
    <n v="212"/>
    <n v="588"/>
    <n v="240"/>
    <n v="348"/>
  </r>
  <r>
    <s v="405-5707326-2577933"/>
    <s v="31/03/2023"/>
    <x v="0"/>
    <x v="315"/>
    <x v="30"/>
    <x v="11"/>
    <x v="1"/>
    <s v="ARANI TIRUVANNAMALAI DISTRICT"/>
    <x v="7"/>
    <n v="756"/>
    <n v="201"/>
    <n v="555"/>
    <n v="240"/>
    <n v="315"/>
  </r>
  <r>
    <s v="402-7996251-3594749"/>
    <s v="31/03/2023"/>
    <x v="0"/>
    <x v="31"/>
    <x v="30"/>
    <x v="11"/>
    <x v="1"/>
    <s v="HYDERABAD"/>
    <x v="8"/>
    <n v="711"/>
    <n v="200"/>
    <n v="511"/>
    <n v="240"/>
    <n v="271"/>
  </r>
  <r>
    <s v="405-0408159-0364360"/>
    <s v="31/03/2023"/>
    <x v="0"/>
    <x v="250"/>
    <x v="30"/>
    <x v="11"/>
    <x v="1"/>
    <s v="CHENNAI"/>
    <x v="7"/>
    <n v="711"/>
    <n v="200"/>
    <n v="511"/>
    <n v="240"/>
    <n v="271"/>
  </r>
  <r>
    <s v="171-3851578-0693151"/>
    <s v="31/03/2023"/>
    <x v="0"/>
    <x v="165"/>
    <x v="30"/>
    <x v="11"/>
    <x v="1"/>
    <s v="TIRUNELVELI"/>
    <x v="7"/>
    <n v="711"/>
    <n v="200"/>
    <n v="511"/>
    <n v="240"/>
    <n v="271"/>
  </r>
  <r>
    <s v="408-9396306-4641947"/>
    <s v="31/03/2023"/>
    <x v="1"/>
    <x v="181"/>
    <x v="30"/>
    <x v="11"/>
    <x v="1"/>
    <s v="TALIPARAMBA"/>
    <x v="9"/>
    <n v="0"/>
    <n v="0"/>
    <n v="0"/>
    <n v="0"/>
    <n v="0"/>
  </r>
  <r>
    <s v="403-2192293-9635563"/>
    <s v="31/03/2023"/>
    <x v="0"/>
    <x v="80"/>
    <x v="30"/>
    <x v="11"/>
    <x v="1"/>
    <s v="BHUBANESWAR"/>
    <x v="14"/>
    <n v="800"/>
    <n v="212"/>
    <n v="588"/>
    <n v="240"/>
    <n v="348"/>
  </r>
  <r>
    <s v="406-6592518-9601108"/>
    <s v="31/03/2023"/>
    <x v="0"/>
    <x v="128"/>
    <x v="30"/>
    <x v="11"/>
    <x v="1"/>
    <s v="KOLLAM"/>
    <x v="9"/>
    <n v="889"/>
    <n v="290"/>
    <n v="599"/>
    <n v="240"/>
    <n v="3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77654F-8A58-A44B-A1FC-48583492489C}" name="top 5 St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1:H37" firstHeaderRow="1" firstDataRow="1" firstDataCol="1"/>
  <pivotFields count="14">
    <pivotField showAll="0"/>
    <pivotField showAll="0"/>
    <pivotField showAll="0"/>
    <pivotField showAll="0" measureFilter="1" sortType="descending">
      <items count="317">
        <item x="274"/>
        <item x="110"/>
        <item x="170"/>
        <item x="211"/>
        <item x="146"/>
        <item x="287"/>
        <item x="100"/>
        <item x="107"/>
        <item x="268"/>
        <item x="289"/>
        <item x="204"/>
        <item x="34"/>
        <item x="73"/>
        <item x="76"/>
        <item x="210"/>
        <item x="198"/>
        <item x="296"/>
        <item x="213"/>
        <item x="172"/>
        <item x="94"/>
        <item x="2"/>
        <item x="3"/>
        <item x="38"/>
        <item x="11"/>
        <item x="71"/>
        <item x="36"/>
        <item x="91"/>
        <item x="133"/>
        <item x="81"/>
        <item x="25"/>
        <item x="68"/>
        <item x="31"/>
        <item x="69"/>
        <item x="15"/>
        <item x="179"/>
        <item x="121"/>
        <item x="129"/>
        <item x="177"/>
        <item x="239"/>
        <item x="166"/>
        <item x="127"/>
        <item x="237"/>
        <item x="248"/>
        <item x="139"/>
        <item x="180"/>
        <item x="241"/>
        <item x="197"/>
        <item x="164"/>
        <item x="40"/>
        <item x="65"/>
        <item x="156"/>
        <item x="193"/>
        <item x="154"/>
        <item x="165"/>
        <item x="151"/>
        <item x="126"/>
        <item x="137"/>
        <item x="96"/>
        <item x="14"/>
        <item x="29"/>
        <item x="30"/>
        <item x="161"/>
        <item x="149"/>
        <item x="148"/>
        <item x="147"/>
        <item x="168"/>
        <item x="143"/>
        <item x="136"/>
        <item x="195"/>
        <item x="157"/>
        <item x="191"/>
        <item x="181"/>
        <item x="188"/>
        <item x="272"/>
        <item x="155"/>
        <item x="87"/>
        <item x="117"/>
        <item x="89"/>
        <item x="90"/>
        <item x="118"/>
        <item x="66"/>
        <item x="56"/>
        <item x="49"/>
        <item x="174"/>
        <item x="205"/>
        <item x="220"/>
        <item x="252"/>
        <item x="190"/>
        <item x="115"/>
        <item x="75"/>
        <item x="43"/>
        <item x="84"/>
        <item x="280"/>
        <item x="227"/>
        <item x="231"/>
        <item x="201"/>
        <item x="242"/>
        <item x="138"/>
        <item x="145"/>
        <item x="42"/>
        <item x="47"/>
        <item x="266"/>
        <item x="290"/>
        <item x="299"/>
        <item x="178"/>
        <item x="163"/>
        <item x="225"/>
        <item x="229"/>
        <item x="114"/>
        <item x="216"/>
        <item x="207"/>
        <item x="189"/>
        <item x="131"/>
        <item x="150"/>
        <item x="153"/>
        <item x="187"/>
        <item x="46"/>
        <item x="105"/>
        <item x="314"/>
        <item x="246"/>
        <item x="259"/>
        <item x="253"/>
        <item x="238"/>
        <item x="184"/>
        <item x="304"/>
        <item x="258"/>
        <item x="257"/>
        <item x="312"/>
        <item x="244"/>
        <item x="226"/>
        <item x="281"/>
        <item x="278"/>
        <item x="313"/>
        <item x="297"/>
        <item x="302"/>
        <item x="173"/>
        <item x="175"/>
        <item x="240"/>
        <item x="158"/>
        <item x="37"/>
        <item x="53"/>
        <item x="60"/>
        <item x="192"/>
        <item x="251"/>
        <item x="182"/>
        <item x="269"/>
        <item x="62"/>
        <item x="222"/>
        <item x="203"/>
        <item x="142"/>
        <item x="140"/>
        <item x="169"/>
        <item x="132"/>
        <item x="134"/>
        <item x="63"/>
        <item x="116"/>
        <item x="93"/>
        <item x="22"/>
        <item x="219"/>
        <item x="196"/>
        <item x="199"/>
        <item x="298"/>
        <item x="97"/>
        <item x="108"/>
        <item x="113"/>
        <item x="152"/>
        <item x="85"/>
        <item x="50"/>
        <item x="254"/>
        <item x="64"/>
        <item x="122"/>
        <item x="12"/>
        <item x="235"/>
        <item x="277"/>
        <item x="284"/>
        <item x="185"/>
        <item x="301"/>
        <item x="256"/>
        <item x="232"/>
        <item x="217"/>
        <item x="109"/>
        <item x="260"/>
        <item x="315"/>
        <item x="23"/>
        <item x="32"/>
        <item x="13"/>
        <item x="186"/>
        <item x="4"/>
        <item x="282"/>
        <item x="19"/>
        <item x="20"/>
        <item x="18"/>
        <item x="111"/>
        <item x="61"/>
        <item x="41"/>
        <item x="233"/>
        <item x="283"/>
        <item x="223"/>
        <item x="160"/>
        <item x="214"/>
        <item x="308"/>
        <item x="24"/>
        <item x="55"/>
        <item x="10"/>
        <item x="35"/>
        <item x="8"/>
        <item x="16"/>
        <item x="48"/>
        <item x="1"/>
        <item x="39"/>
        <item x="0"/>
        <item x="5"/>
        <item x="33"/>
        <item x="17"/>
        <item x="27"/>
        <item x="7"/>
        <item x="21"/>
        <item x="125"/>
        <item x="123"/>
        <item x="176"/>
        <item x="79"/>
        <item x="95"/>
        <item x="59"/>
        <item x="98"/>
        <item x="124"/>
        <item x="128"/>
        <item x="86"/>
        <item x="44"/>
        <item x="80"/>
        <item x="88"/>
        <item x="83"/>
        <item x="200"/>
        <item x="202"/>
        <item x="6"/>
        <item x="74"/>
        <item x="52"/>
        <item x="206"/>
        <item x="162"/>
        <item x="159"/>
        <item x="45"/>
        <item x="26"/>
        <item x="9"/>
        <item x="300"/>
        <item x="249"/>
        <item x="218"/>
        <item x="228"/>
        <item x="273"/>
        <item x="141"/>
        <item x="135"/>
        <item x="72"/>
        <item x="303"/>
        <item x="250"/>
        <item x="311"/>
        <item x="275"/>
        <item x="307"/>
        <item x="183"/>
        <item x="120"/>
        <item x="106"/>
        <item x="92"/>
        <item x="82"/>
        <item x="99"/>
        <item x="57"/>
        <item x="245"/>
        <item x="234"/>
        <item x="279"/>
        <item x="215"/>
        <item x="306"/>
        <item x="194"/>
        <item x="208"/>
        <item x="28"/>
        <item x="77"/>
        <item x="103"/>
        <item x="293"/>
        <item x="247"/>
        <item x="305"/>
        <item x="271"/>
        <item x="236"/>
        <item x="102"/>
        <item x="78"/>
        <item x="51"/>
        <item x="292"/>
        <item x="167"/>
        <item x="212"/>
        <item x="130"/>
        <item x="285"/>
        <item x="265"/>
        <item x="221"/>
        <item x="286"/>
        <item x="144"/>
        <item x="119"/>
        <item x="171"/>
        <item x="255"/>
        <item x="262"/>
        <item x="230"/>
        <item x="224"/>
        <item x="101"/>
        <item x="58"/>
        <item x="104"/>
        <item x="295"/>
        <item x="294"/>
        <item x="267"/>
        <item x="209"/>
        <item x="291"/>
        <item x="270"/>
        <item x="243"/>
        <item x="276"/>
        <item x="288"/>
        <item x="261"/>
        <item x="263"/>
        <item x="264"/>
        <item x="309"/>
        <item x="310"/>
        <item x="67"/>
        <item x="112"/>
        <item x="54"/>
        <item x="7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38">
        <item x="25"/>
        <item x="32"/>
        <item x="2"/>
        <item x="12"/>
        <item x="34"/>
        <item x="4"/>
        <item x="0"/>
        <item x="33"/>
        <item x="20"/>
        <item x="35"/>
        <item x="16"/>
        <item x="21"/>
        <item x="3"/>
        <item x="15"/>
        <item x="22"/>
        <item x="19"/>
        <item x="31"/>
        <item x="11"/>
        <item x="5"/>
        <item x="9"/>
        <item x="13"/>
        <item x="6"/>
        <item x="29"/>
        <item x="23"/>
        <item x="28"/>
        <item x="17"/>
        <item x="14"/>
        <item x="27"/>
        <item x="26"/>
        <item x="10"/>
        <item x="36"/>
        <item x="7"/>
        <item x="8"/>
        <item x="30"/>
        <item x="1"/>
        <item x="24"/>
        <item x="1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8"/>
  </rowFields>
  <rowItems count="6">
    <i>
      <x v="21"/>
    </i>
    <i>
      <x v="18"/>
    </i>
    <i>
      <x v="31"/>
    </i>
    <i>
      <x v="34"/>
    </i>
    <i>
      <x v="32"/>
    </i>
    <i t="grand">
      <x/>
    </i>
  </rowItems>
  <colItems count="1">
    <i/>
  </colItems>
  <dataFields count="1">
    <dataField name="Sum of Sale Amount"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6" iMeasureFld="0">
      <autoFilter ref="A1">
        <filterColumn colId="0">
          <top10 val="5" filterVal="5"/>
        </filterColumn>
      </autoFilter>
    </filter>
    <filter fld="8"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432730-DCDD-AD40-9EC3-D4D84C349107}" name="Top 5 SKU"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1:E37" firstHeaderRow="1" firstDataRow="1" firstDataCol="1"/>
  <pivotFields count="14">
    <pivotField showAll="0"/>
    <pivotField showAll="0"/>
    <pivotField showAll="0"/>
    <pivotField axis="axisRow" showAll="0" measureFilter="1" sortType="descending">
      <items count="317">
        <item x="274"/>
        <item x="110"/>
        <item x="170"/>
        <item x="211"/>
        <item x="146"/>
        <item x="287"/>
        <item x="100"/>
        <item x="107"/>
        <item x="268"/>
        <item x="289"/>
        <item x="204"/>
        <item x="34"/>
        <item x="73"/>
        <item x="76"/>
        <item x="210"/>
        <item x="198"/>
        <item x="296"/>
        <item x="213"/>
        <item x="172"/>
        <item x="94"/>
        <item x="2"/>
        <item x="3"/>
        <item x="38"/>
        <item x="11"/>
        <item x="71"/>
        <item x="36"/>
        <item x="91"/>
        <item x="133"/>
        <item x="81"/>
        <item x="25"/>
        <item x="68"/>
        <item x="31"/>
        <item x="69"/>
        <item x="15"/>
        <item x="179"/>
        <item x="121"/>
        <item x="129"/>
        <item x="177"/>
        <item x="239"/>
        <item x="166"/>
        <item x="127"/>
        <item x="237"/>
        <item x="248"/>
        <item x="139"/>
        <item x="180"/>
        <item x="241"/>
        <item x="197"/>
        <item x="164"/>
        <item x="40"/>
        <item x="65"/>
        <item x="156"/>
        <item x="193"/>
        <item x="154"/>
        <item x="165"/>
        <item x="151"/>
        <item x="126"/>
        <item x="137"/>
        <item x="96"/>
        <item x="14"/>
        <item x="29"/>
        <item x="30"/>
        <item x="161"/>
        <item x="149"/>
        <item x="148"/>
        <item x="147"/>
        <item x="168"/>
        <item x="143"/>
        <item x="136"/>
        <item x="195"/>
        <item x="157"/>
        <item x="191"/>
        <item x="181"/>
        <item x="188"/>
        <item x="272"/>
        <item x="155"/>
        <item x="87"/>
        <item x="117"/>
        <item x="89"/>
        <item x="90"/>
        <item x="118"/>
        <item x="66"/>
        <item x="56"/>
        <item x="49"/>
        <item x="174"/>
        <item x="205"/>
        <item x="220"/>
        <item x="252"/>
        <item x="190"/>
        <item x="115"/>
        <item x="75"/>
        <item x="43"/>
        <item x="84"/>
        <item x="280"/>
        <item x="227"/>
        <item x="231"/>
        <item x="201"/>
        <item x="242"/>
        <item x="138"/>
        <item x="145"/>
        <item x="42"/>
        <item x="47"/>
        <item x="266"/>
        <item x="290"/>
        <item x="299"/>
        <item x="178"/>
        <item x="163"/>
        <item x="225"/>
        <item x="229"/>
        <item x="114"/>
        <item x="216"/>
        <item x="207"/>
        <item x="189"/>
        <item x="131"/>
        <item x="150"/>
        <item x="153"/>
        <item x="187"/>
        <item x="46"/>
        <item x="105"/>
        <item x="314"/>
        <item x="246"/>
        <item x="259"/>
        <item x="253"/>
        <item x="238"/>
        <item x="184"/>
        <item x="304"/>
        <item x="258"/>
        <item x="257"/>
        <item x="312"/>
        <item x="244"/>
        <item x="226"/>
        <item x="281"/>
        <item x="278"/>
        <item x="313"/>
        <item x="297"/>
        <item x="302"/>
        <item x="173"/>
        <item x="175"/>
        <item x="240"/>
        <item x="158"/>
        <item x="37"/>
        <item x="53"/>
        <item x="60"/>
        <item x="192"/>
        <item x="251"/>
        <item x="182"/>
        <item x="269"/>
        <item x="62"/>
        <item x="222"/>
        <item x="203"/>
        <item x="142"/>
        <item x="140"/>
        <item x="169"/>
        <item x="132"/>
        <item x="134"/>
        <item x="63"/>
        <item x="116"/>
        <item x="93"/>
        <item x="22"/>
        <item x="219"/>
        <item x="196"/>
        <item x="199"/>
        <item x="298"/>
        <item x="97"/>
        <item x="108"/>
        <item x="113"/>
        <item x="152"/>
        <item x="85"/>
        <item x="50"/>
        <item x="254"/>
        <item x="64"/>
        <item x="122"/>
        <item x="12"/>
        <item x="235"/>
        <item x="277"/>
        <item x="284"/>
        <item x="185"/>
        <item x="301"/>
        <item x="256"/>
        <item x="232"/>
        <item x="217"/>
        <item x="109"/>
        <item x="260"/>
        <item x="315"/>
        <item x="23"/>
        <item x="32"/>
        <item x="13"/>
        <item x="186"/>
        <item x="4"/>
        <item x="282"/>
        <item x="19"/>
        <item x="20"/>
        <item x="18"/>
        <item x="111"/>
        <item x="61"/>
        <item x="41"/>
        <item x="233"/>
        <item x="283"/>
        <item x="223"/>
        <item x="160"/>
        <item x="214"/>
        <item x="308"/>
        <item x="24"/>
        <item x="55"/>
        <item x="10"/>
        <item x="35"/>
        <item x="8"/>
        <item x="16"/>
        <item x="48"/>
        <item x="1"/>
        <item x="39"/>
        <item x="0"/>
        <item x="5"/>
        <item x="33"/>
        <item x="17"/>
        <item x="27"/>
        <item x="7"/>
        <item x="21"/>
        <item x="125"/>
        <item x="123"/>
        <item x="176"/>
        <item x="79"/>
        <item x="95"/>
        <item x="59"/>
        <item x="98"/>
        <item x="124"/>
        <item x="128"/>
        <item x="86"/>
        <item x="44"/>
        <item x="80"/>
        <item x="88"/>
        <item x="83"/>
        <item x="200"/>
        <item x="202"/>
        <item x="6"/>
        <item x="74"/>
        <item x="52"/>
        <item x="206"/>
        <item x="162"/>
        <item x="159"/>
        <item x="45"/>
        <item x="26"/>
        <item x="9"/>
        <item x="300"/>
        <item x="249"/>
        <item x="218"/>
        <item x="228"/>
        <item x="273"/>
        <item x="141"/>
        <item x="135"/>
        <item x="72"/>
        <item x="303"/>
        <item x="250"/>
        <item x="311"/>
        <item x="275"/>
        <item x="307"/>
        <item x="183"/>
        <item x="120"/>
        <item x="106"/>
        <item x="92"/>
        <item x="82"/>
        <item x="99"/>
        <item x="57"/>
        <item x="245"/>
        <item x="234"/>
        <item x="279"/>
        <item x="215"/>
        <item x="306"/>
        <item x="194"/>
        <item x="208"/>
        <item x="28"/>
        <item x="77"/>
        <item x="103"/>
        <item x="293"/>
        <item x="247"/>
        <item x="305"/>
        <item x="271"/>
        <item x="236"/>
        <item x="102"/>
        <item x="78"/>
        <item x="51"/>
        <item x="292"/>
        <item x="167"/>
        <item x="212"/>
        <item x="130"/>
        <item x="285"/>
        <item x="265"/>
        <item x="221"/>
        <item x="286"/>
        <item x="144"/>
        <item x="119"/>
        <item x="171"/>
        <item x="255"/>
        <item x="262"/>
        <item x="230"/>
        <item x="224"/>
        <item x="101"/>
        <item x="58"/>
        <item x="104"/>
        <item x="295"/>
        <item x="294"/>
        <item x="267"/>
        <item x="209"/>
        <item x="291"/>
        <item x="270"/>
        <item x="243"/>
        <item x="276"/>
        <item x="288"/>
        <item x="261"/>
        <item x="263"/>
        <item x="264"/>
        <item x="309"/>
        <item x="310"/>
        <item x="67"/>
        <item x="112"/>
        <item x="54"/>
        <item x="7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8">
        <item x="25"/>
        <item x="32"/>
        <item x="2"/>
        <item x="12"/>
        <item x="34"/>
        <item x="4"/>
        <item x="0"/>
        <item x="33"/>
        <item x="20"/>
        <item x="35"/>
        <item x="16"/>
        <item x="21"/>
        <item x="3"/>
        <item x="15"/>
        <item x="22"/>
        <item x="19"/>
        <item x="31"/>
        <item x="11"/>
        <item x="5"/>
        <item x="9"/>
        <item x="13"/>
        <item x="6"/>
        <item x="29"/>
        <item x="23"/>
        <item x="28"/>
        <item x="17"/>
        <item x="14"/>
        <item x="27"/>
        <item x="26"/>
        <item x="10"/>
        <item x="36"/>
        <item x="7"/>
        <item x="8"/>
        <item x="30"/>
        <item x="1"/>
        <item x="24"/>
        <item x="18"/>
        <item t="default"/>
      </items>
    </pivotField>
    <pivotField dataField="1" showAll="0"/>
    <pivotField showAll="0"/>
    <pivotField showAll="0"/>
    <pivotField showAll="0"/>
    <pivotField showAll="0"/>
  </pivotFields>
  <rowFields count="1">
    <field x="3"/>
  </rowFields>
  <rowItems count="6">
    <i>
      <x v="33"/>
    </i>
    <i>
      <x v="228"/>
    </i>
    <i>
      <x v="229"/>
    </i>
    <i>
      <x v="29"/>
    </i>
    <i>
      <x v="30"/>
    </i>
    <i t="grand">
      <x/>
    </i>
  </rowItems>
  <colItems count="1">
    <i/>
  </colItems>
  <dataFields count="1">
    <dataField name="Sum of Sale Amount"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79763C-707D-C84E-938C-3C3945286548}" name="Trend 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1:B46" firstHeaderRow="1" firstDataRow="1" firstDataCol="1"/>
  <pivotFields count="14">
    <pivotField showAll="0"/>
    <pivotField showAll="0"/>
    <pivotField showAll="0"/>
    <pivotField showAll="0"/>
    <pivotField showAll="0">
      <items count="32">
        <item x="0"/>
        <item x="1"/>
        <item x="2"/>
        <item x="3"/>
        <item x="4"/>
        <item x="5"/>
        <item x="7"/>
        <item x="6"/>
        <item x="8"/>
        <item x="10"/>
        <item x="9"/>
        <item x="11"/>
        <item x="12"/>
        <item x="13"/>
        <item x="14"/>
        <item x="15"/>
        <item x="16"/>
        <item x="18"/>
        <item x="17"/>
        <item x="19"/>
        <item x="20"/>
        <item x="21"/>
        <item x="23"/>
        <item x="22"/>
        <item x="24"/>
        <item x="25"/>
        <item x="26"/>
        <item x="27"/>
        <item x="28"/>
        <item x="29"/>
        <item x="30"/>
        <item t="default"/>
      </items>
    </pivotField>
    <pivotField axis="axisRow" showAll="0">
      <items count="13">
        <item x="9"/>
        <item x="10"/>
        <item x="11"/>
        <item x="0"/>
        <item x="1"/>
        <item x="2"/>
        <item x="3"/>
        <item x="4"/>
        <item x="5"/>
        <item x="6"/>
        <item x="7"/>
        <item x="8"/>
        <item t="default"/>
      </items>
    </pivotField>
    <pivotField axis="axisRow" showAll="0">
      <items count="3">
        <item x="0"/>
        <item x="1"/>
        <item t="default"/>
      </items>
    </pivotField>
    <pivotField showAll="0"/>
    <pivotField showAll="0">
      <items count="38">
        <item x="25"/>
        <item x="32"/>
        <item x="2"/>
        <item x="12"/>
        <item x="34"/>
        <item x="4"/>
        <item x="0"/>
        <item x="33"/>
        <item x="20"/>
        <item x="35"/>
        <item x="16"/>
        <item x="21"/>
        <item x="3"/>
        <item x="15"/>
        <item x="22"/>
        <item x="19"/>
        <item x="31"/>
        <item x="11"/>
        <item x="5"/>
        <item x="9"/>
        <item x="13"/>
        <item x="6"/>
        <item x="29"/>
        <item x="23"/>
        <item x="28"/>
        <item x="17"/>
        <item x="14"/>
        <item x="27"/>
        <item x="26"/>
        <item x="10"/>
        <item x="36"/>
        <item x="7"/>
        <item x="8"/>
        <item x="30"/>
        <item x="1"/>
        <item x="24"/>
        <item x="18"/>
        <item t="default"/>
      </items>
    </pivotField>
    <pivotField dataField="1" showAll="0"/>
    <pivotField showAll="0"/>
    <pivotField showAll="0"/>
    <pivotField showAll="0"/>
    <pivotField showAll="0"/>
  </pivotFields>
  <rowFields count="2">
    <field x="6"/>
    <field x="5"/>
  </rowFields>
  <rowItems count="15">
    <i>
      <x/>
    </i>
    <i r="1">
      <x v="3"/>
    </i>
    <i r="1">
      <x v="4"/>
    </i>
    <i r="1">
      <x v="5"/>
    </i>
    <i r="1">
      <x v="6"/>
    </i>
    <i r="1">
      <x v="7"/>
    </i>
    <i r="1">
      <x v="8"/>
    </i>
    <i r="1">
      <x v="9"/>
    </i>
    <i r="1">
      <x v="10"/>
    </i>
    <i r="1">
      <x v="11"/>
    </i>
    <i>
      <x v="1"/>
    </i>
    <i r="1">
      <x/>
    </i>
    <i r="1">
      <x v="1"/>
    </i>
    <i r="1">
      <x v="2"/>
    </i>
    <i t="grand">
      <x/>
    </i>
  </rowItems>
  <colItems count="1">
    <i/>
  </colItems>
  <dataFields count="1">
    <dataField name="Sum of Sale Amount"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89B97C-833D-5F4D-BD26-DF01625E6A34}" name="Final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2" firstHeaderRow="0" firstDataRow="1" firstDataCol="0"/>
  <pivotFields count="14">
    <pivotField showAll="0"/>
    <pivotField showAll="0"/>
    <pivotField showAll="0"/>
    <pivotField showAll="0">
      <items count="317">
        <item x="274"/>
        <item x="110"/>
        <item x="170"/>
        <item x="211"/>
        <item x="146"/>
        <item x="287"/>
        <item x="100"/>
        <item x="107"/>
        <item x="268"/>
        <item x="289"/>
        <item x="204"/>
        <item x="34"/>
        <item x="73"/>
        <item x="76"/>
        <item x="210"/>
        <item x="198"/>
        <item x="296"/>
        <item x="213"/>
        <item x="172"/>
        <item x="94"/>
        <item x="2"/>
        <item x="3"/>
        <item x="38"/>
        <item x="11"/>
        <item x="71"/>
        <item x="36"/>
        <item x="91"/>
        <item x="133"/>
        <item x="81"/>
        <item x="25"/>
        <item x="68"/>
        <item x="31"/>
        <item x="69"/>
        <item x="15"/>
        <item x="179"/>
        <item x="121"/>
        <item x="129"/>
        <item x="177"/>
        <item x="239"/>
        <item x="166"/>
        <item x="127"/>
        <item x="237"/>
        <item x="248"/>
        <item x="139"/>
        <item x="180"/>
        <item x="241"/>
        <item x="197"/>
        <item x="164"/>
        <item x="40"/>
        <item x="65"/>
        <item x="156"/>
        <item x="193"/>
        <item x="154"/>
        <item x="165"/>
        <item x="151"/>
        <item x="126"/>
        <item x="137"/>
        <item x="96"/>
        <item x="14"/>
        <item x="29"/>
        <item x="30"/>
        <item x="161"/>
        <item x="149"/>
        <item x="148"/>
        <item x="147"/>
        <item x="168"/>
        <item x="143"/>
        <item x="136"/>
        <item x="195"/>
        <item x="157"/>
        <item x="191"/>
        <item x="181"/>
        <item x="188"/>
        <item x="272"/>
        <item x="155"/>
        <item x="87"/>
        <item x="117"/>
        <item x="89"/>
        <item x="90"/>
        <item x="118"/>
        <item x="66"/>
        <item x="56"/>
        <item x="49"/>
        <item x="174"/>
        <item x="205"/>
        <item x="220"/>
        <item x="252"/>
        <item x="190"/>
        <item x="115"/>
        <item x="75"/>
        <item x="43"/>
        <item x="84"/>
        <item x="280"/>
        <item x="227"/>
        <item x="231"/>
        <item x="201"/>
        <item x="242"/>
        <item x="138"/>
        <item x="145"/>
        <item x="42"/>
        <item x="47"/>
        <item x="266"/>
        <item x="290"/>
        <item x="299"/>
        <item x="178"/>
        <item x="163"/>
        <item x="225"/>
        <item x="229"/>
        <item x="114"/>
        <item x="216"/>
        <item x="207"/>
        <item x="189"/>
        <item x="131"/>
        <item x="150"/>
        <item x="153"/>
        <item x="187"/>
        <item x="46"/>
        <item x="105"/>
        <item x="314"/>
        <item x="246"/>
        <item x="259"/>
        <item x="253"/>
        <item x="238"/>
        <item x="184"/>
        <item x="304"/>
        <item x="258"/>
        <item x="257"/>
        <item x="312"/>
        <item x="244"/>
        <item x="226"/>
        <item x="281"/>
        <item x="278"/>
        <item x="313"/>
        <item x="297"/>
        <item x="302"/>
        <item x="173"/>
        <item x="175"/>
        <item x="240"/>
        <item x="158"/>
        <item x="37"/>
        <item x="53"/>
        <item x="60"/>
        <item x="192"/>
        <item x="251"/>
        <item x="182"/>
        <item x="269"/>
        <item x="62"/>
        <item x="222"/>
        <item x="203"/>
        <item x="142"/>
        <item x="140"/>
        <item x="169"/>
        <item x="132"/>
        <item x="134"/>
        <item x="63"/>
        <item x="116"/>
        <item x="93"/>
        <item x="22"/>
        <item x="219"/>
        <item x="196"/>
        <item x="199"/>
        <item x="298"/>
        <item x="97"/>
        <item x="108"/>
        <item x="113"/>
        <item x="152"/>
        <item x="85"/>
        <item x="50"/>
        <item x="254"/>
        <item x="64"/>
        <item x="122"/>
        <item x="12"/>
        <item x="235"/>
        <item x="277"/>
        <item x="284"/>
        <item x="185"/>
        <item x="301"/>
        <item x="256"/>
        <item x="232"/>
        <item x="217"/>
        <item x="109"/>
        <item x="260"/>
        <item x="315"/>
        <item x="23"/>
        <item x="32"/>
        <item x="13"/>
        <item x="186"/>
        <item x="4"/>
        <item x="282"/>
        <item x="19"/>
        <item x="20"/>
        <item x="18"/>
        <item x="111"/>
        <item x="61"/>
        <item x="41"/>
        <item x="233"/>
        <item x="283"/>
        <item x="223"/>
        <item x="160"/>
        <item x="214"/>
        <item x="308"/>
        <item x="24"/>
        <item x="55"/>
        <item x="10"/>
        <item x="35"/>
        <item x="8"/>
        <item x="16"/>
        <item x="48"/>
        <item x="1"/>
        <item x="39"/>
        <item x="0"/>
        <item x="5"/>
        <item x="33"/>
        <item x="17"/>
        <item x="27"/>
        <item x="7"/>
        <item x="21"/>
        <item x="125"/>
        <item x="123"/>
        <item x="176"/>
        <item x="79"/>
        <item x="95"/>
        <item x="59"/>
        <item x="98"/>
        <item x="124"/>
        <item x="128"/>
        <item x="86"/>
        <item x="44"/>
        <item x="80"/>
        <item x="88"/>
        <item x="83"/>
        <item x="200"/>
        <item x="202"/>
        <item x="6"/>
        <item x="74"/>
        <item x="52"/>
        <item x="206"/>
        <item x="162"/>
        <item x="159"/>
        <item x="45"/>
        <item x="26"/>
        <item x="9"/>
        <item x="300"/>
        <item x="249"/>
        <item x="218"/>
        <item x="228"/>
        <item x="273"/>
        <item x="141"/>
        <item x="135"/>
        <item x="72"/>
        <item x="303"/>
        <item x="250"/>
        <item x="311"/>
        <item x="275"/>
        <item x="307"/>
        <item x="183"/>
        <item x="120"/>
        <item x="106"/>
        <item x="92"/>
        <item x="82"/>
        <item x="99"/>
        <item x="57"/>
        <item x="245"/>
        <item x="234"/>
        <item x="279"/>
        <item x="215"/>
        <item x="306"/>
        <item x="194"/>
        <item x="208"/>
        <item x="28"/>
        <item x="77"/>
        <item x="103"/>
        <item x="293"/>
        <item x="247"/>
        <item x="305"/>
        <item x="271"/>
        <item x="236"/>
        <item x="102"/>
        <item x="78"/>
        <item x="51"/>
        <item x="292"/>
        <item x="167"/>
        <item x="212"/>
        <item x="130"/>
        <item x="285"/>
        <item x="265"/>
        <item x="221"/>
        <item x="286"/>
        <item x="144"/>
        <item x="119"/>
        <item x="171"/>
        <item x="255"/>
        <item x="262"/>
        <item x="230"/>
        <item x="224"/>
        <item x="101"/>
        <item x="58"/>
        <item x="104"/>
        <item x="295"/>
        <item x="294"/>
        <item x="267"/>
        <item x="209"/>
        <item x="291"/>
        <item x="270"/>
        <item x="243"/>
        <item x="276"/>
        <item x="288"/>
        <item x="261"/>
        <item x="263"/>
        <item x="264"/>
        <item x="309"/>
        <item x="310"/>
        <item x="67"/>
        <item x="112"/>
        <item x="54"/>
        <item x="70"/>
        <item t="default"/>
      </items>
    </pivotField>
    <pivotField showAll="0">
      <items count="32">
        <item x="0"/>
        <item x="1"/>
        <item x="2"/>
        <item x="3"/>
        <item x="4"/>
        <item x="5"/>
        <item x="7"/>
        <item x="6"/>
        <item x="8"/>
        <item x="10"/>
        <item x="9"/>
        <item x="11"/>
        <item x="12"/>
        <item x="13"/>
        <item x="14"/>
        <item x="15"/>
        <item x="16"/>
        <item x="18"/>
        <item x="17"/>
        <item x="19"/>
        <item x="20"/>
        <item x="21"/>
        <item x="23"/>
        <item x="22"/>
        <item x="24"/>
        <item x="25"/>
        <item x="26"/>
        <item x="27"/>
        <item x="28"/>
        <item x="29"/>
        <item x="30"/>
        <item t="default"/>
      </items>
    </pivotField>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items count="38">
        <item x="25"/>
        <item x="32"/>
        <item x="2"/>
        <item x="12"/>
        <item x="34"/>
        <item x="4"/>
        <item x="0"/>
        <item x="33"/>
        <item x="20"/>
        <item x="35"/>
        <item x="16"/>
        <item x="21"/>
        <item x="3"/>
        <item x="15"/>
        <item x="22"/>
        <item x="19"/>
        <item x="31"/>
        <item x="11"/>
        <item x="5"/>
        <item x="9"/>
        <item x="13"/>
        <item x="6"/>
        <item x="29"/>
        <item x="23"/>
        <item x="28"/>
        <item x="17"/>
        <item x="14"/>
        <item x="27"/>
        <item x="26"/>
        <item x="10"/>
        <item x="36"/>
        <item x="7"/>
        <item x="8"/>
        <item x="30"/>
        <item x="1"/>
        <item x="24"/>
        <item x="18"/>
        <item t="default"/>
      </items>
    </pivotField>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Net Amount Received" fld="11" baseField="0" baseItem="0"/>
    <dataField name="Sum of Comission Fee" fld="10" baseField="0" baseItem="0"/>
    <dataField name="Sum of Product Cost" fld="12" baseField="0" baseItem="0"/>
    <dataField name="Sum of Profit &amp; Los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0BD7D3-B5AD-0D4F-8274-C1C4AF79F3D8}" name="Total Retur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7" firstHeaderRow="0" firstDataRow="1" firstDataCol="1"/>
  <pivotFields count="14">
    <pivotField dataField="1" showAll="0"/>
    <pivotField showAll="0"/>
    <pivotField axis="axisRow" showAll="0">
      <items count="5">
        <item x="2"/>
        <item x="1"/>
        <item x="3"/>
        <item h="1" x="0"/>
        <item t="default"/>
      </items>
    </pivotField>
    <pivotField showAll="0">
      <items count="317">
        <item x="274"/>
        <item x="110"/>
        <item x="170"/>
        <item x="211"/>
        <item x="146"/>
        <item x="287"/>
        <item x="100"/>
        <item x="107"/>
        <item x="268"/>
        <item x="289"/>
        <item x="204"/>
        <item x="34"/>
        <item x="73"/>
        <item x="76"/>
        <item x="210"/>
        <item x="198"/>
        <item x="296"/>
        <item x="213"/>
        <item x="172"/>
        <item x="94"/>
        <item x="2"/>
        <item x="3"/>
        <item x="38"/>
        <item x="11"/>
        <item x="71"/>
        <item x="36"/>
        <item x="91"/>
        <item x="133"/>
        <item x="81"/>
        <item x="25"/>
        <item x="68"/>
        <item x="31"/>
        <item x="69"/>
        <item x="15"/>
        <item x="179"/>
        <item x="121"/>
        <item x="129"/>
        <item x="177"/>
        <item x="239"/>
        <item x="166"/>
        <item x="127"/>
        <item x="237"/>
        <item x="248"/>
        <item x="139"/>
        <item x="180"/>
        <item x="241"/>
        <item x="197"/>
        <item x="164"/>
        <item x="40"/>
        <item x="65"/>
        <item x="156"/>
        <item x="193"/>
        <item x="154"/>
        <item x="165"/>
        <item x="151"/>
        <item x="126"/>
        <item x="137"/>
        <item x="96"/>
        <item x="14"/>
        <item x="29"/>
        <item x="30"/>
        <item x="161"/>
        <item x="149"/>
        <item x="148"/>
        <item x="147"/>
        <item x="168"/>
        <item x="143"/>
        <item x="136"/>
        <item x="195"/>
        <item x="157"/>
        <item x="191"/>
        <item x="181"/>
        <item x="188"/>
        <item x="272"/>
        <item x="155"/>
        <item x="87"/>
        <item x="117"/>
        <item x="89"/>
        <item x="90"/>
        <item x="118"/>
        <item x="66"/>
        <item x="56"/>
        <item x="49"/>
        <item x="174"/>
        <item x="205"/>
        <item x="220"/>
        <item x="252"/>
        <item x="190"/>
        <item x="115"/>
        <item x="75"/>
        <item x="43"/>
        <item x="84"/>
        <item x="280"/>
        <item x="227"/>
        <item x="231"/>
        <item x="201"/>
        <item x="242"/>
        <item x="138"/>
        <item x="145"/>
        <item x="42"/>
        <item x="47"/>
        <item x="266"/>
        <item x="290"/>
        <item x="299"/>
        <item x="178"/>
        <item x="163"/>
        <item x="225"/>
        <item x="229"/>
        <item x="114"/>
        <item x="216"/>
        <item x="207"/>
        <item x="189"/>
        <item x="131"/>
        <item x="150"/>
        <item x="153"/>
        <item x="187"/>
        <item x="46"/>
        <item x="105"/>
        <item x="314"/>
        <item x="246"/>
        <item x="259"/>
        <item x="253"/>
        <item x="238"/>
        <item x="184"/>
        <item x="304"/>
        <item x="258"/>
        <item x="257"/>
        <item x="312"/>
        <item x="244"/>
        <item x="226"/>
        <item x="281"/>
        <item x="278"/>
        <item x="313"/>
        <item x="297"/>
        <item x="302"/>
        <item x="173"/>
        <item x="175"/>
        <item x="240"/>
        <item x="158"/>
        <item x="37"/>
        <item x="53"/>
        <item x="60"/>
        <item x="192"/>
        <item x="251"/>
        <item x="182"/>
        <item x="269"/>
        <item x="62"/>
        <item x="222"/>
        <item x="203"/>
        <item x="142"/>
        <item x="140"/>
        <item x="169"/>
        <item x="132"/>
        <item x="134"/>
        <item x="63"/>
        <item x="116"/>
        <item x="93"/>
        <item x="22"/>
        <item x="219"/>
        <item x="196"/>
        <item x="199"/>
        <item x="298"/>
        <item x="97"/>
        <item x="108"/>
        <item x="113"/>
        <item x="152"/>
        <item x="85"/>
        <item x="50"/>
        <item x="254"/>
        <item x="64"/>
        <item x="122"/>
        <item x="12"/>
        <item x="235"/>
        <item x="277"/>
        <item x="284"/>
        <item x="185"/>
        <item x="301"/>
        <item x="256"/>
        <item x="232"/>
        <item x="217"/>
        <item x="109"/>
        <item x="260"/>
        <item x="315"/>
        <item x="23"/>
        <item x="32"/>
        <item x="13"/>
        <item x="186"/>
        <item x="4"/>
        <item x="282"/>
        <item x="19"/>
        <item x="20"/>
        <item x="18"/>
        <item x="111"/>
        <item x="61"/>
        <item x="41"/>
        <item x="233"/>
        <item x="283"/>
        <item x="223"/>
        <item x="160"/>
        <item x="214"/>
        <item x="308"/>
        <item x="24"/>
        <item x="55"/>
        <item x="10"/>
        <item x="35"/>
        <item x="8"/>
        <item x="16"/>
        <item x="48"/>
        <item x="1"/>
        <item x="39"/>
        <item x="0"/>
        <item x="5"/>
        <item x="33"/>
        <item x="17"/>
        <item x="27"/>
        <item x="7"/>
        <item x="21"/>
        <item x="125"/>
        <item x="123"/>
        <item x="176"/>
        <item x="79"/>
        <item x="95"/>
        <item x="59"/>
        <item x="98"/>
        <item x="124"/>
        <item x="128"/>
        <item x="86"/>
        <item x="44"/>
        <item x="80"/>
        <item x="88"/>
        <item x="83"/>
        <item x="200"/>
        <item x="202"/>
        <item x="6"/>
        <item x="74"/>
        <item x="52"/>
        <item x="206"/>
        <item x="162"/>
        <item x="159"/>
        <item x="45"/>
        <item x="26"/>
        <item x="9"/>
        <item x="300"/>
        <item x="249"/>
        <item x="218"/>
        <item x="228"/>
        <item x="273"/>
        <item x="141"/>
        <item x="135"/>
        <item x="72"/>
        <item x="303"/>
        <item x="250"/>
        <item x="311"/>
        <item x="275"/>
        <item x="307"/>
        <item x="183"/>
        <item x="120"/>
        <item x="106"/>
        <item x="92"/>
        <item x="82"/>
        <item x="99"/>
        <item x="57"/>
        <item x="245"/>
        <item x="234"/>
        <item x="279"/>
        <item x="215"/>
        <item x="306"/>
        <item x="194"/>
        <item x="208"/>
        <item x="28"/>
        <item x="77"/>
        <item x="103"/>
        <item x="293"/>
        <item x="247"/>
        <item x="305"/>
        <item x="271"/>
        <item x="236"/>
        <item x="102"/>
        <item x="78"/>
        <item x="51"/>
        <item x="292"/>
        <item x="167"/>
        <item x="212"/>
        <item x="130"/>
        <item x="285"/>
        <item x="265"/>
        <item x="221"/>
        <item x="286"/>
        <item x="144"/>
        <item x="119"/>
        <item x="171"/>
        <item x="255"/>
        <item x="262"/>
        <item x="230"/>
        <item x="224"/>
        <item x="101"/>
        <item x="58"/>
        <item x="104"/>
        <item x="295"/>
        <item x="294"/>
        <item x="267"/>
        <item x="209"/>
        <item x="291"/>
        <item x="270"/>
        <item x="243"/>
        <item x="276"/>
        <item x="288"/>
        <item x="261"/>
        <item x="263"/>
        <item x="264"/>
        <item x="309"/>
        <item x="310"/>
        <item x="67"/>
        <item x="112"/>
        <item x="54"/>
        <item x="70"/>
        <item t="default"/>
      </items>
    </pivotField>
    <pivotField showAll="0">
      <items count="32">
        <item x="0"/>
        <item x="1"/>
        <item x="2"/>
        <item x="3"/>
        <item x="4"/>
        <item x="5"/>
        <item x="7"/>
        <item x="6"/>
        <item x="8"/>
        <item x="10"/>
        <item x="9"/>
        <item x="11"/>
        <item x="12"/>
        <item x="13"/>
        <item x="14"/>
        <item x="15"/>
        <item x="16"/>
        <item x="18"/>
        <item x="17"/>
        <item x="19"/>
        <item x="20"/>
        <item x="21"/>
        <item x="23"/>
        <item x="22"/>
        <item x="24"/>
        <item x="25"/>
        <item x="26"/>
        <item x="27"/>
        <item x="28"/>
        <item x="29"/>
        <item x="30"/>
        <item t="default"/>
      </items>
    </pivotField>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items count="38">
        <item x="25"/>
        <item x="32"/>
        <item x="2"/>
        <item x="12"/>
        <item x="34"/>
        <item x="4"/>
        <item x="0"/>
        <item x="33"/>
        <item x="20"/>
        <item x="35"/>
        <item x="16"/>
        <item x="21"/>
        <item x="3"/>
        <item x="15"/>
        <item x="22"/>
        <item x="19"/>
        <item x="31"/>
        <item x="11"/>
        <item x="5"/>
        <item x="9"/>
        <item x="13"/>
        <item x="6"/>
        <item x="29"/>
        <item x="23"/>
        <item x="28"/>
        <item x="17"/>
        <item x="14"/>
        <item x="27"/>
        <item x="26"/>
        <item x="10"/>
        <item x="36"/>
        <item x="7"/>
        <item x="8"/>
        <item x="30"/>
        <item x="1"/>
        <item x="24"/>
        <item x="18"/>
        <item t="default"/>
      </items>
    </pivotField>
    <pivotField dataField="1"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Sum of Sale Amount" fld="9"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09C49-7629-7040-A9CD-48F0A41E9968}" name="Total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dataField="1" showAll="0"/>
    <pivotField showAll="0"/>
    <pivotField showAll="0"/>
    <pivotField showAll="0">
      <items count="317">
        <item x="274"/>
        <item x="110"/>
        <item x="170"/>
        <item x="211"/>
        <item x="146"/>
        <item x="287"/>
        <item x="100"/>
        <item x="107"/>
        <item x="268"/>
        <item x="289"/>
        <item x="204"/>
        <item x="34"/>
        <item x="73"/>
        <item x="76"/>
        <item x="210"/>
        <item x="198"/>
        <item x="296"/>
        <item x="213"/>
        <item x="172"/>
        <item x="94"/>
        <item x="2"/>
        <item x="3"/>
        <item x="38"/>
        <item x="11"/>
        <item x="71"/>
        <item x="36"/>
        <item x="91"/>
        <item x="133"/>
        <item x="81"/>
        <item x="25"/>
        <item x="68"/>
        <item x="31"/>
        <item x="69"/>
        <item x="15"/>
        <item x="179"/>
        <item x="121"/>
        <item x="129"/>
        <item x="177"/>
        <item x="239"/>
        <item x="166"/>
        <item x="127"/>
        <item x="237"/>
        <item x="248"/>
        <item x="139"/>
        <item x="180"/>
        <item x="241"/>
        <item x="197"/>
        <item x="164"/>
        <item x="40"/>
        <item x="65"/>
        <item x="156"/>
        <item x="193"/>
        <item x="154"/>
        <item x="165"/>
        <item x="151"/>
        <item x="126"/>
        <item x="137"/>
        <item x="96"/>
        <item x="14"/>
        <item x="29"/>
        <item x="30"/>
        <item x="161"/>
        <item x="149"/>
        <item x="148"/>
        <item x="147"/>
        <item x="168"/>
        <item x="143"/>
        <item x="136"/>
        <item x="195"/>
        <item x="157"/>
        <item x="191"/>
        <item x="181"/>
        <item x="188"/>
        <item x="272"/>
        <item x="155"/>
        <item x="87"/>
        <item x="117"/>
        <item x="89"/>
        <item x="90"/>
        <item x="118"/>
        <item x="66"/>
        <item x="56"/>
        <item x="49"/>
        <item x="174"/>
        <item x="205"/>
        <item x="220"/>
        <item x="252"/>
        <item x="190"/>
        <item x="115"/>
        <item x="75"/>
        <item x="43"/>
        <item x="84"/>
        <item x="280"/>
        <item x="227"/>
        <item x="231"/>
        <item x="201"/>
        <item x="242"/>
        <item x="138"/>
        <item x="145"/>
        <item x="42"/>
        <item x="47"/>
        <item x="266"/>
        <item x="290"/>
        <item x="299"/>
        <item x="178"/>
        <item x="163"/>
        <item x="225"/>
        <item x="229"/>
        <item x="114"/>
        <item x="216"/>
        <item x="207"/>
        <item x="189"/>
        <item x="131"/>
        <item x="150"/>
        <item x="153"/>
        <item x="187"/>
        <item x="46"/>
        <item x="105"/>
        <item x="314"/>
        <item x="246"/>
        <item x="259"/>
        <item x="253"/>
        <item x="238"/>
        <item x="184"/>
        <item x="304"/>
        <item x="258"/>
        <item x="257"/>
        <item x="312"/>
        <item x="244"/>
        <item x="226"/>
        <item x="281"/>
        <item x="278"/>
        <item x="313"/>
        <item x="297"/>
        <item x="302"/>
        <item x="173"/>
        <item x="175"/>
        <item x="240"/>
        <item x="158"/>
        <item x="37"/>
        <item x="53"/>
        <item x="60"/>
        <item x="192"/>
        <item x="251"/>
        <item x="182"/>
        <item x="269"/>
        <item x="62"/>
        <item x="222"/>
        <item x="203"/>
        <item x="142"/>
        <item x="140"/>
        <item x="169"/>
        <item x="132"/>
        <item x="134"/>
        <item x="63"/>
        <item x="116"/>
        <item x="93"/>
        <item x="22"/>
        <item x="219"/>
        <item x="196"/>
        <item x="199"/>
        <item x="298"/>
        <item x="97"/>
        <item x="108"/>
        <item x="113"/>
        <item x="152"/>
        <item x="85"/>
        <item x="50"/>
        <item x="254"/>
        <item x="64"/>
        <item x="122"/>
        <item x="12"/>
        <item x="235"/>
        <item x="277"/>
        <item x="284"/>
        <item x="185"/>
        <item x="301"/>
        <item x="256"/>
        <item x="232"/>
        <item x="217"/>
        <item x="109"/>
        <item x="260"/>
        <item x="315"/>
        <item x="23"/>
        <item x="32"/>
        <item x="13"/>
        <item x="186"/>
        <item x="4"/>
        <item x="282"/>
        <item x="19"/>
        <item x="20"/>
        <item x="18"/>
        <item x="111"/>
        <item x="61"/>
        <item x="41"/>
        <item x="233"/>
        <item x="283"/>
        <item x="223"/>
        <item x="160"/>
        <item x="214"/>
        <item x="308"/>
        <item x="24"/>
        <item x="55"/>
        <item x="10"/>
        <item x="35"/>
        <item x="8"/>
        <item x="16"/>
        <item x="48"/>
        <item x="1"/>
        <item x="39"/>
        <item x="0"/>
        <item x="5"/>
        <item x="33"/>
        <item x="17"/>
        <item x="27"/>
        <item x="7"/>
        <item x="21"/>
        <item x="125"/>
        <item x="123"/>
        <item x="176"/>
        <item x="79"/>
        <item x="95"/>
        <item x="59"/>
        <item x="98"/>
        <item x="124"/>
        <item x="128"/>
        <item x="86"/>
        <item x="44"/>
        <item x="80"/>
        <item x="88"/>
        <item x="83"/>
        <item x="200"/>
        <item x="202"/>
        <item x="6"/>
        <item x="74"/>
        <item x="52"/>
        <item x="206"/>
        <item x="162"/>
        <item x="159"/>
        <item x="45"/>
        <item x="26"/>
        <item x="9"/>
        <item x="300"/>
        <item x="249"/>
        <item x="218"/>
        <item x="228"/>
        <item x="273"/>
        <item x="141"/>
        <item x="135"/>
        <item x="72"/>
        <item x="303"/>
        <item x="250"/>
        <item x="311"/>
        <item x="275"/>
        <item x="307"/>
        <item x="183"/>
        <item x="120"/>
        <item x="106"/>
        <item x="92"/>
        <item x="82"/>
        <item x="99"/>
        <item x="57"/>
        <item x="245"/>
        <item x="234"/>
        <item x="279"/>
        <item x="215"/>
        <item x="306"/>
        <item x="194"/>
        <item x="208"/>
        <item x="28"/>
        <item x="77"/>
        <item x="103"/>
        <item x="293"/>
        <item x="247"/>
        <item x="305"/>
        <item x="271"/>
        <item x="236"/>
        <item x="102"/>
        <item x="78"/>
        <item x="51"/>
        <item x="292"/>
        <item x="167"/>
        <item x="212"/>
        <item x="130"/>
        <item x="285"/>
        <item x="265"/>
        <item x="221"/>
        <item x="286"/>
        <item x="144"/>
        <item x="119"/>
        <item x="171"/>
        <item x="255"/>
        <item x="262"/>
        <item x="230"/>
        <item x="224"/>
        <item x="101"/>
        <item x="58"/>
        <item x="104"/>
        <item x="295"/>
        <item x="294"/>
        <item x="267"/>
        <item x="209"/>
        <item x="291"/>
        <item x="270"/>
        <item x="243"/>
        <item x="276"/>
        <item x="288"/>
        <item x="261"/>
        <item x="263"/>
        <item x="264"/>
        <item x="309"/>
        <item x="310"/>
        <item x="67"/>
        <item x="112"/>
        <item x="54"/>
        <item x="70"/>
        <item t="default"/>
      </items>
    </pivotField>
    <pivotField showAll="0">
      <items count="32">
        <item x="0"/>
        <item x="1"/>
        <item x="2"/>
        <item x="3"/>
        <item x="4"/>
        <item x="5"/>
        <item x="7"/>
        <item x="6"/>
        <item x="8"/>
        <item x="10"/>
        <item x="9"/>
        <item x="11"/>
        <item x="12"/>
        <item x="13"/>
        <item x="14"/>
        <item x="15"/>
        <item x="16"/>
        <item x="18"/>
        <item x="17"/>
        <item x="19"/>
        <item x="20"/>
        <item x="21"/>
        <item x="23"/>
        <item x="22"/>
        <item x="24"/>
        <item x="25"/>
        <item x="26"/>
        <item x="27"/>
        <item x="28"/>
        <item x="29"/>
        <item x="30"/>
        <item t="default"/>
      </items>
    </pivotField>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items count="38">
        <item x="25"/>
        <item x="32"/>
        <item x="2"/>
        <item x="12"/>
        <item x="34"/>
        <item x="4"/>
        <item x="0"/>
        <item x="33"/>
        <item x="20"/>
        <item x="35"/>
        <item x="16"/>
        <item x="21"/>
        <item x="3"/>
        <item x="15"/>
        <item x="22"/>
        <item x="19"/>
        <item x="31"/>
        <item x="11"/>
        <item x="5"/>
        <item x="9"/>
        <item x="13"/>
        <item x="6"/>
        <item x="29"/>
        <item x="23"/>
        <item x="28"/>
        <item x="17"/>
        <item x="14"/>
        <item x="27"/>
        <item x="26"/>
        <item x="10"/>
        <item x="36"/>
        <item x="7"/>
        <item x="8"/>
        <item x="30"/>
        <item x="1"/>
        <item x="24"/>
        <item x="18"/>
        <item t="default"/>
      </items>
    </pivotField>
    <pivotField dataField="1" showAll="0"/>
    <pivotField showAll="0"/>
    <pivotField showAll="0"/>
    <pivotField showAll="0"/>
    <pivotField showAll="0"/>
  </pivotFields>
  <rowItems count="1">
    <i/>
  </rowItems>
  <colFields count="1">
    <field x="-2"/>
  </colFields>
  <colItems count="2">
    <i>
      <x/>
    </i>
    <i i="1">
      <x v="1"/>
    </i>
  </colItems>
  <dataFields count="2">
    <dataField name="Sum of Sale Amount" fld="9"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F9119902-E2F7-1F4E-A0D1-EB4E5B8D63B1}" sourceName="Day">
  <pivotTables>
    <pivotTable tabId="2" name="Final Sale"/>
    <pivotTable tabId="2" name="Total Return"/>
    <pivotTable tabId="2" name="Total Sale"/>
    <pivotTable tabId="2" name="Trend Monthly"/>
  </pivotTables>
  <data>
    <tabular pivotCacheId="643666055">
      <items count="31">
        <i x="0" s="1"/>
        <i x="1" s="1"/>
        <i x="2" s="1"/>
        <i x="3" s="1"/>
        <i x="4" s="1"/>
        <i x="5" s="1"/>
        <i x="7" s="1"/>
        <i x="6" s="1"/>
        <i x="8" s="1"/>
        <i x="10" s="1"/>
        <i x="9" s="1"/>
        <i x="11" s="1"/>
        <i x="12" s="1"/>
        <i x="13" s="1"/>
        <i x="14" s="1"/>
        <i x="15" s="1"/>
        <i x="16" s="1"/>
        <i x="18" s="1"/>
        <i x="17" s="1"/>
        <i x="19" s="1"/>
        <i x="20" s="1"/>
        <i x="21" s="1"/>
        <i x="23" s="1"/>
        <i x="22"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84F9D53-5CE5-0C4A-AFDA-24DB02BE3074}" sourceName="Month">
  <pivotTables>
    <pivotTable tabId="2" name="Final Sale"/>
    <pivotTable tabId="2" name="Total Return"/>
    <pivotTable tabId="2" name="Total Sale"/>
    <pivotTable tabId="2" name="Trend Monthly"/>
  </pivotTables>
  <data>
    <tabular pivotCacheId="643666055">
      <items count="12">
        <i x="9" s="1"/>
        <i x="10" s="1"/>
        <i x="11" s="1"/>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714456D-3B80-394D-BBAC-40A72F7F80F5}" sourceName="Year">
  <pivotTables>
    <pivotTable tabId="2" name="Final Sale"/>
    <pivotTable tabId="2" name="Total Return"/>
    <pivotTable tabId="2" name="Total Sale"/>
    <pivotTable tabId="2" name="Trend Monthly"/>
  </pivotTables>
  <data>
    <tabular pivotCacheId="64366605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A56303D2-D4F7-0A4B-9D72-E865BFBE773E}" sourceName="Sku">
  <pivotTables>
    <pivotTable tabId="2" name="Final Sale"/>
    <pivotTable tabId="2" name="Total Return"/>
    <pivotTable tabId="2" name="Total Sale"/>
  </pivotTables>
  <data>
    <tabular pivotCacheId="643666055">
      <items count="316">
        <i x="274" s="1"/>
        <i x="110" s="1"/>
        <i x="170" s="1"/>
        <i x="211" s="1"/>
        <i x="146" s="1"/>
        <i x="287" s="1"/>
        <i x="100" s="1"/>
        <i x="107" s="1"/>
        <i x="268" s="1"/>
        <i x="289" s="1"/>
        <i x="204" s="1"/>
        <i x="34" s="1"/>
        <i x="73" s="1"/>
        <i x="76" s="1"/>
        <i x="210" s="1"/>
        <i x="198" s="1"/>
        <i x="296" s="1"/>
        <i x="213" s="1"/>
        <i x="172" s="1"/>
        <i x="94" s="1"/>
        <i x="2" s="1"/>
        <i x="3" s="1"/>
        <i x="38" s="1"/>
        <i x="11" s="1"/>
        <i x="71" s="1"/>
        <i x="36" s="1"/>
        <i x="91" s="1"/>
        <i x="133" s="1"/>
        <i x="81" s="1"/>
        <i x="25" s="1"/>
        <i x="68" s="1"/>
        <i x="31" s="1"/>
        <i x="69" s="1"/>
        <i x="15" s="1"/>
        <i x="179" s="1"/>
        <i x="121" s="1"/>
        <i x="129" s="1"/>
        <i x="177" s="1"/>
        <i x="239" s="1"/>
        <i x="166" s="1"/>
        <i x="127" s="1"/>
        <i x="237" s="1"/>
        <i x="248" s="1"/>
        <i x="139" s="1"/>
        <i x="180" s="1"/>
        <i x="241" s="1"/>
        <i x="197" s="1"/>
        <i x="164" s="1"/>
        <i x="40" s="1"/>
        <i x="65" s="1"/>
        <i x="156" s="1"/>
        <i x="193" s="1"/>
        <i x="154" s="1"/>
        <i x="165" s="1"/>
        <i x="151" s="1"/>
        <i x="126" s="1"/>
        <i x="137" s="1"/>
        <i x="96" s="1"/>
        <i x="14" s="1"/>
        <i x="29" s="1"/>
        <i x="30" s="1"/>
        <i x="161" s="1"/>
        <i x="149" s="1"/>
        <i x="148" s="1"/>
        <i x="147" s="1"/>
        <i x="168" s="1"/>
        <i x="143" s="1"/>
        <i x="136" s="1"/>
        <i x="195" s="1"/>
        <i x="157" s="1"/>
        <i x="191" s="1"/>
        <i x="181" s="1"/>
        <i x="188" s="1"/>
        <i x="272" s="1"/>
        <i x="155" s="1"/>
        <i x="87" s="1"/>
        <i x="117" s="1"/>
        <i x="89" s="1"/>
        <i x="90" s="1"/>
        <i x="118" s="1"/>
        <i x="66" s="1"/>
        <i x="56" s="1"/>
        <i x="49" s="1"/>
        <i x="174" s="1"/>
        <i x="205" s="1"/>
        <i x="220" s="1"/>
        <i x="252" s="1"/>
        <i x="190" s="1"/>
        <i x="115" s="1"/>
        <i x="75" s="1"/>
        <i x="43" s="1"/>
        <i x="84" s="1"/>
        <i x="280" s="1"/>
        <i x="227" s="1"/>
        <i x="231" s="1"/>
        <i x="201" s="1"/>
        <i x="242" s="1"/>
        <i x="138" s="1"/>
        <i x="145" s="1"/>
        <i x="42" s="1"/>
        <i x="47" s="1"/>
        <i x="266" s="1"/>
        <i x="290" s="1"/>
        <i x="299" s="1"/>
        <i x="178" s="1"/>
        <i x="163" s="1"/>
        <i x="225" s="1"/>
        <i x="229" s="1"/>
        <i x="114" s="1"/>
        <i x="216" s="1"/>
        <i x="207" s="1"/>
        <i x="189" s="1"/>
        <i x="131" s="1"/>
        <i x="150" s="1"/>
        <i x="153" s="1"/>
        <i x="187" s="1"/>
        <i x="46" s="1"/>
        <i x="105" s="1"/>
        <i x="314" s="1"/>
        <i x="246" s="1"/>
        <i x="259" s="1"/>
        <i x="253" s="1"/>
        <i x="238" s="1"/>
        <i x="184" s="1"/>
        <i x="304" s="1"/>
        <i x="258" s="1"/>
        <i x="257" s="1"/>
        <i x="312" s="1"/>
        <i x="244" s="1"/>
        <i x="226" s="1"/>
        <i x="281" s="1"/>
        <i x="278" s="1"/>
        <i x="313" s="1"/>
        <i x="297" s="1"/>
        <i x="302" s="1"/>
        <i x="173" s="1"/>
        <i x="175" s="1"/>
        <i x="240" s="1"/>
        <i x="158" s="1"/>
        <i x="37" s="1"/>
        <i x="53" s="1"/>
        <i x="60" s="1"/>
        <i x="192" s="1"/>
        <i x="251" s="1"/>
        <i x="182" s="1"/>
        <i x="269" s="1"/>
        <i x="62" s="1"/>
        <i x="222" s="1"/>
        <i x="203" s="1"/>
        <i x="142" s="1"/>
        <i x="140" s="1"/>
        <i x="169" s="1"/>
        <i x="132" s="1"/>
        <i x="134" s="1"/>
        <i x="63" s="1"/>
        <i x="116" s="1"/>
        <i x="93" s="1"/>
        <i x="22" s="1"/>
        <i x="219" s="1"/>
        <i x="196" s="1"/>
        <i x="199" s="1"/>
        <i x="298" s="1"/>
        <i x="97" s="1"/>
        <i x="108" s="1"/>
        <i x="113" s="1"/>
        <i x="152" s="1"/>
        <i x="85" s="1"/>
        <i x="50" s="1"/>
        <i x="254" s="1"/>
        <i x="64" s="1"/>
        <i x="122" s="1"/>
        <i x="12" s="1"/>
        <i x="235" s="1"/>
        <i x="277" s="1"/>
        <i x="284" s="1"/>
        <i x="185" s="1"/>
        <i x="301" s="1"/>
        <i x="256" s="1"/>
        <i x="232" s="1"/>
        <i x="217" s="1"/>
        <i x="109" s="1"/>
        <i x="260" s="1"/>
        <i x="315" s="1"/>
        <i x="23" s="1"/>
        <i x="32" s="1"/>
        <i x="13" s="1"/>
        <i x="186" s="1"/>
        <i x="4" s="1"/>
        <i x="282" s="1"/>
        <i x="19" s="1"/>
        <i x="20" s="1"/>
        <i x="18" s="1"/>
        <i x="111" s="1"/>
        <i x="61" s="1"/>
        <i x="41" s="1"/>
        <i x="233" s="1"/>
        <i x="283" s="1"/>
        <i x="223" s="1"/>
        <i x="160" s="1"/>
        <i x="214" s="1"/>
        <i x="308" s="1"/>
        <i x="24" s="1"/>
        <i x="55" s="1"/>
        <i x="10" s="1"/>
        <i x="35" s="1"/>
        <i x="8" s="1"/>
        <i x="16" s="1"/>
        <i x="48" s="1"/>
        <i x="1" s="1"/>
        <i x="39" s="1"/>
        <i x="0" s="1"/>
        <i x="5" s="1"/>
        <i x="33" s="1"/>
        <i x="17" s="1"/>
        <i x="27" s="1"/>
        <i x="7" s="1"/>
        <i x="21" s="1"/>
        <i x="125" s="1"/>
        <i x="123" s="1"/>
        <i x="176" s="1"/>
        <i x="79" s="1"/>
        <i x="95" s="1"/>
        <i x="59" s="1"/>
        <i x="98" s="1"/>
        <i x="124" s="1"/>
        <i x="128" s="1"/>
        <i x="86" s="1"/>
        <i x="44" s="1"/>
        <i x="80" s="1"/>
        <i x="88" s="1"/>
        <i x="83" s="1"/>
        <i x="200" s="1"/>
        <i x="202" s="1"/>
        <i x="6" s="1"/>
        <i x="74" s="1"/>
        <i x="52" s="1"/>
        <i x="206" s="1"/>
        <i x="162" s="1"/>
        <i x="159" s="1"/>
        <i x="45" s="1"/>
        <i x="26" s="1"/>
        <i x="9" s="1"/>
        <i x="300" s="1"/>
        <i x="249" s="1"/>
        <i x="218" s="1"/>
        <i x="228" s="1"/>
        <i x="273" s="1"/>
        <i x="141" s="1"/>
        <i x="135" s="1"/>
        <i x="72" s="1"/>
        <i x="303" s="1"/>
        <i x="250" s="1"/>
        <i x="311" s="1"/>
        <i x="275" s="1"/>
        <i x="307" s="1"/>
        <i x="183" s="1"/>
        <i x="120" s="1"/>
        <i x="106" s="1"/>
        <i x="92" s="1"/>
        <i x="82" s="1"/>
        <i x="99" s="1"/>
        <i x="57" s="1"/>
        <i x="245" s="1"/>
        <i x="234" s="1"/>
        <i x="279" s="1"/>
        <i x="215" s="1"/>
        <i x="306" s="1"/>
        <i x="194" s="1"/>
        <i x="208" s="1"/>
        <i x="28" s="1"/>
        <i x="77" s="1"/>
        <i x="103" s="1"/>
        <i x="293" s="1"/>
        <i x="247" s="1"/>
        <i x="305" s="1"/>
        <i x="271" s="1"/>
        <i x="236" s="1"/>
        <i x="102" s="1"/>
        <i x="78" s="1"/>
        <i x="51" s="1"/>
        <i x="292" s="1"/>
        <i x="167" s="1"/>
        <i x="212" s="1"/>
        <i x="130" s="1"/>
        <i x="285" s="1"/>
        <i x="265" s="1"/>
        <i x="221" s="1"/>
        <i x="286" s="1"/>
        <i x="144" s="1"/>
        <i x="119" s="1"/>
        <i x="171" s="1"/>
        <i x="255" s="1"/>
        <i x="262" s="1"/>
        <i x="230" s="1"/>
        <i x="224" s="1"/>
        <i x="101" s="1"/>
        <i x="58" s="1"/>
        <i x="104" s="1"/>
        <i x="295" s="1"/>
        <i x="294" s="1"/>
        <i x="267" s="1"/>
        <i x="209" s="1"/>
        <i x="291" s="1"/>
        <i x="270" s="1"/>
        <i x="243" s="1"/>
        <i x="276" s="1"/>
        <i x="288" s="1"/>
        <i x="261" s="1"/>
        <i x="263" s="1"/>
        <i x="264" s="1"/>
        <i x="309" s="1"/>
        <i x="310" s="1"/>
        <i x="67" s="1"/>
        <i x="112" s="1"/>
        <i x="54" s="1"/>
        <i x="7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To_State" xr10:uid="{73032B98-6F4E-3743-972E-63C21903E347}" sourceName="Ship To State">
  <pivotTables>
    <pivotTable tabId="2" name="Final Sale"/>
    <pivotTable tabId="2" name="Total Return"/>
    <pivotTable tabId="2" name="Total Sale"/>
  </pivotTables>
  <data>
    <tabular pivotCacheId="643666055">
      <items count="37">
        <i x="25" s="1"/>
        <i x="32" s="1"/>
        <i x="2" s="1"/>
        <i x="12" s="1"/>
        <i x="34" s="1"/>
        <i x="4" s="1"/>
        <i x="0" s="1"/>
        <i x="33" s="1"/>
        <i x="20" s="1"/>
        <i x="35" s="1"/>
        <i x="16" s="1"/>
        <i x="21" s="1"/>
        <i x="3" s="1"/>
        <i x="15" s="1"/>
        <i x="22" s="1"/>
        <i x="19" s="1"/>
        <i x="31" s="1"/>
        <i x="11" s="1"/>
        <i x="5" s="1"/>
        <i x="9" s="1"/>
        <i x="13" s="1"/>
        <i x="6" s="1"/>
        <i x="29" s="1"/>
        <i x="23" s="1"/>
        <i x="28" s="1"/>
        <i x="17" s="1"/>
        <i x="14" s="1"/>
        <i x="27" s="1"/>
        <i x="26" s="1"/>
        <i x="10" s="1"/>
        <i x="36" s="1"/>
        <i x="7" s="1"/>
        <i x="8" s="1"/>
        <i x="30" s="1"/>
        <i x="1" s="1"/>
        <i x="24"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4C23B696-00A5-C04C-9C23-13136EF577E8}" cache="Slicer_Day" caption="Day" columnCount="6" style="SlicerStyleDark1" rowHeight="251883"/>
  <slicer name="Month 1" xr10:uid="{DCC75735-6034-4841-A497-3BA9B1C7C0EC}" cache="Slicer_Month" caption="Month" style="SlicerStyleDark1" rowHeight="251883"/>
  <slicer name="Year" xr10:uid="{E67CF110-A2A2-5448-8C27-7F3B948E1788}" cache="Slicer_Year" caption="Year" columnCount="2" style="SlicerStyleDark1" rowHeight="251883"/>
  <slicer name="Sku" xr10:uid="{D71F245C-C43D-2F4C-A1E0-7216934A0759}" cache="Slicer_Sku" caption="SKU" style="SlicerStyleDark1" rowHeight="251883"/>
  <slicer name="Ship To State" xr10:uid="{E3016254-7DC4-FB40-9CE2-DB0FFC328B0E}" cache="Slicer_Ship_To_State" caption="Ship To State"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6E84A3-ECB7-8D42-94B9-927260EB7689}" name="Dataset" displayName="Dataset" ref="A1:N4040" totalsRowShown="0">
  <autoFilter ref="A1:N4040" xr:uid="{766E84A3-ECB7-8D42-94B9-927260EB7689}"/>
  <tableColumns count="14">
    <tableColumn id="1" xr3:uid="{6612523F-919F-D94D-B0D1-7D12A855A03C}" name="Order Id"/>
    <tableColumn id="2" xr3:uid="{A9A09525-D2A9-F44D-A694-4BF382846735}" name="Order Date" dataDxfId="0"/>
    <tableColumn id="3" xr3:uid="{C38E4339-4EB4-264D-8D08-A90B3B492C90}" name="Transaction Type"/>
    <tableColumn id="4" xr3:uid="{F698330B-E208-E34C-A711-60B1CFBE57DF}" name="Sku"/>
    <tableColumn id="5" xr3:uid="{1A4C97D8-DFFB-6448-A207-233D808E6F04}" name="Day"/>
    <tableColumn id="6" xr3:uid="{A4CEB9FF-F929-7649-AE76-68D2F7AEF340}" name="Month"/>
    <tableColumn id="7" xr3:uid="{7494885C-441B-8544-AEBA-E1960837370B}" name="Year"/>
    <tableColumn id="8" xr3:uid="{DE49D7EC-3738-BC47-ACC1-752D57922EE2}" name="Ship To City"/>
    <tableColumn id="9" xr3:uid="{2FE5F9E8-3A9A-FC4C-8325-A70E21D2A05E}" name="Ship To State"/>
    <tableColumn id="10" xr3:uid="{F6DB2DA6-6500-764D-9E41-FBDD4730D058}" name="Sale Amount"/>
    <tableColumn id="11" xr3:uid="{A91C7DBD-4DA2-5942-99AF-435BBEE18B74}" name="Comission Fee"/>
    <tableColumn id="12" xr3:uid="{C7D2A22A-9C4C-B34E-9A73-420C276B1955}" name="Net Amount Received">
      <calculatedColumnFormula>J2-K2</calculatedColumnFormula>
    </tableColumn>
    <tableColumn id="13" xr3:uid="{5D276EA8-36A1-E240-B08C-9F30D47BC6D3}" name="Product Cost"/>
    <tableColumn id="14" xr3:uid="{2EE031D2-CD11-814F-B8B2-A915B8DEE69D}" name="Profit &amp; Loss">
      <calculatedColumnFormula>L2-M2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3160B-45EC-F140-8927-7F41DBB90464}">
  <dimension ref="S14:U17"/>
  <sheetViews>
    <sheetView showGridLines="0" tabSelected="1" zoomScaleNormal="100" workbookViewId="0">
      <selection activeCell="V15" sqref="V15"/>
    </sheetView>
  </sheetViews>
  <sheetFormatPr baseColWidth="10" defaultRowHeight="16" x14ac:dyDescent="0.2"/>
  <cols>
    <col min="1" max="1" width="6.5" bestFit="1" customWidth="1"/>
    <col min="2" max="2" width="7.1640625" bestFit="1" customWidth="1"/>
    <col min="3" max="3" width="11.1640625" customWidth="1"/>
    <col min="18" max="18" width="4.5" customWidth="1"/>
    <col min="21" max="21" width="14.1640625" customWidth="1"/>
  </cols>
  <sheetData>
    <row r="14" spans="19:21" x14ac:dyDescent="0.2">
      <c r="S14" s="6" t="s">
        <v>258</v>
      </c>
      <c r="T14" s="7"/>
      <c r="U14" s="8"/>
    </row>
    <row r="15" spans="19:21" x14ac:dyDescent="0.2">
      <c r="S15" s="9"/>
      <c r="T15" s="10"/>
      <c r="U15" s="11"/>
    </row>
    <row r="16" spans="19:21" x14ac:dyDescent="0.2">
      <c r="S16" s="12"/>
      <c r="T16" s="12"/>
      <c r="U16" s="12"/>
    </row>
    <row r="17" spans="19:21" x14ac:dyDescent="0.2">
      <c r="S17" s="12"/>
      <c r="T17" s="12"/>
      <c r="U17" s="12"/>
    </row>
  </sheetData>
  <mergeCells count="1">
    <mergeCell ref="S14:U1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5D41-EB64-DE47-A677-F8EF118B45E7}">
  <dimension ref="A3:H46"/>
  <sheetViews>
    <sheetView topLeftCell="A14" workbookViewId="0">
      <selection activeCell="A31" sqref="A31"/>
    </sheetView>
  </sheetViews>
  <sheetFormatPr baseColWidth="10" defaultRowHeight="16" x14ac:dyDescent="0.2"/>
  <cols>
    <col min="1" max="1" width="18.1640625" bestFit="1" customWidth="1"/>
    <col min="2" max="2" width="15.1640625" bestFit="1" customWidth="1"/>
    <col min="3" max="3" width="17.83203125" bestFit="1" customWidth="1"/>
    <col min="4" max="4" width="15.6640625" bestFit="1" customWidth="1"/>
    <col min="5" max="5" width="18.1640625" bestFit="1" customWidth="1"/>
    <col min="6" max="6" width="15.1640625" bestFit="1" customWidth="1"/>
    <col min="7" max="7" width="15" bestFit="1" customWidth="1"/>
    <col min="8" max="8" width="18.1640625" bestFit="1" customWidth="1"/>
  </cols>
  <sheetData>
    <row r="3" spans="1:6" x14ac:dyDescent="0.2">
      <c r="A3" t="s">
        <v>4845</v>
      </c>
      <c r="B3" t="s">
        <v>4849</v>
      </c>
      <c r="D3" s="2" t="s">
        <v>4847</v>
      </c>
      <c r="E3" t="s">
        <v>4845</v>
      </c>
      <c r="F3" t="s">
        <v>4849</v>
      </c>
    </row>
    <row r="4" spans="1:6" x14ac:dyDescent="0.2">
      <c r="A4" s="5">
        <v>1799361.0300000065</v>
      </c>
      <c r="B4" s="5">
        <v>4039</v>
      </c>
      <c r="D4" s="3" t="s">
        <v>43</v>
      </c>
      <c r="E4" s="5">
        <v>0</v>
      </c>
      <c r="F4" s="5">
        <v>300</v>
      </c>
    </row>
    <row r="5" spans="1:6" x14ac:dyDescent="0.2">
      <c r="A5">
        <f>GETPIVOTDATA("Sum of Sale Amount",$A$3)</f>
        <v>1799361.0300000065</v>
      </c>
      <c r="B5">
        <f>GETPIVOTDATA("Count of Order Id",$A$3)</f>
        <v>4039</v>
      </c>
      <c r="D5" s="3" t="s">
        <v>20</v>
      </c>
      <c r="E5" s="5">
        <v>0</v>
      </c>
      <c r="F5" s="5">
        <v>111</v>
      </c>
    </row>
    <row r="6" spans="1:6" x14ac:dyDescent="0.2">
      <c r="D6" s="3" t="s">
        <v>106</v>
      </c>
      <c r="E6" s="5">
        <v>-649455.16999999958</v>
      </c>
      <c r="F6" s="5">
        <v>756</v>
      </c>
    </row>
    <row r="7" spans="1:6" x14ac:dyDescent="0.2">
      <c r="D7" s="3" t="s">
        <v>4848</v>
      </c>
      <c r="E7" s="5">
        <v>-649455.16999999958</v>
      </c>
      <c r="F7" s="5">
        <v>1167</v>
      </c>
    </row>
    <row r="8" spans="1:6" x14ac:dyDescent="0.2">
      <c r="E8">
        <f>GETPIVOTDATA("Sum of Sale Amount",$D$3)</f>
        <v>-649455.16999999958</v>
      </c>
      <c r="F8">
        <f>GETPIVOTDATA("Count of Order Id",$D$3)</f>
        <v>1167</v>
      </c>
    </row>
    <row r="11" spans="1:6" x14ac:dyDescent="0.2">
      <c r="A11" t="s">
        <v>4846</v>
      </c>
      <c r="B11" t="s">
        <v>4850</v>
      </c>
      <c r="C11" t="s">
        <v>4851</v>
      </c>
      <c r="D11" t="s">
        <v>4852</v>
      </c>
    </row>
    <row r="12" spans="1:6" x14ac:dyDescent="0.2">
      <c r="A12" s="5">
        <v>1350637.0300000061</v>
      </c>
      <c r="B12" s="5">
        <v>973258</v>
      </c>
      <c r="C12" s="5">
        <v>870720</v>
      </c>
      <c r="D12" s="5">
        <v>842797.0299999984</v>
      </c>
    </row>
    <row r="13" spans="1:6" x14ac:dyDescent="0.2">
      <c r="A13">
        <f>GETPIVOTDATA("Sum of Net Amount Received",$A$11)</f>
        <v>1350637.0300000061</v>
      </c>
      <c r="B13">
        <f>GETPIVOTDATA("Sum of Comission Fee",$A$11)</f>
        <v>973258</v>
      </c>
      <c r="C13">
        <f>GETPIVOTDATA("Sum of Product Cost",$A$11)</f>
        <v>870720</v>
      </c>
      <c r="D13">
        <f>GETPIVOTDATA("Sum of Profit &amp; Loss",$A$11)</f>
        <v>842797.0299999984</v>
      </c>
    </row>
    <row r="31" spans="1:8" x14ac:dyDescent="0.2">
      <c r="A31" s="2" t="s">
        <v>4847</v>
      </c>
      <c r="B31" t="s">
        <v>4845</v>
      </c>
      <c r="D31" s="2" t="s">
        <v>4847</v>
      </c>
      <c r="E31" t="s">
        <v>4845</v>
      </c>
      <c r="G31" s="2" t="s">
        <v>4847</v>
      </c>
      <c r="H31" t="s">
        <v>4845</v>
      </c>
    </row>
    <row r="32" spans="1:8" x14ac:dyDescent="0.2">
      <c r="A32" s="3">
        <v>2022</v>
      </c>
      <c r="B32" s="5">
        <v>1128746.0299999993</v>
      </c>
      <c r="D32" s="3" t="s">
        <v>81</v>
      </c>
      <c r="E32" s="5">
        <v>159484.65000000008</v>
      </c>
      <c r="G32" s="3" t="s">
        <v>62</v>
      </c>
      <c r="H32" s="5">
        <v>318597.64999999973</v>
      </c>
    </row>
    <row r="33" spans="1:8" x14ac:dyDescent="0.2">
      <c r="A33" s="4" t="s">
        <v>17</v>
      </c>
      <c r="B33" s="5">
        <v>80761</v>
      </c>
      <c r="D33" s="3" t="s">
        <v>448</v>
      </c>
      <c r="E33" s="5">
        <v>78407.350000000006</v>
      </c>
      <c r="G33" s="3" t="s">
        <v>58</v>
      </c>
      <c r="H33" s="5">
        <v>192867.68000000005</v>
      </c>
    </row>
    <row r="34" spans="1:8" x14ac:dyDescent="0.2">
      <c r="A34" s="4" t="s">
        <v>385</v>
      </c>
      <c r="B34" s="5">
        <v>73616</v>
      </c>
      <c r="D34" s="3" t="s">
        <v>504</v>
      </c>
      <c r="E34" s="5">
        <v>53616.25</v>
      </c>
      <c r="G34" s="3" t="s">
        <v>85</v>
      </c>
      <c r="H34" s="5">
        <v>191614.80000000005</v>
      </c>
    </row>
    <row r="35" spans="1:8" x14ac:dyDescent="0.2">
      <c r="A35" s="4" t="s">
        <v>646</v>
      </c>
      <c r="B35" s="5">
        <v>68720</v>
      </c>
      <c r="D35" s="3" t="s">
        <v>133</v>
      </c>
      <c r="E35" s="5">
        <v>52398.45</v>
      </c>
      <c r="G35" s="3" t="s">
        <v>23</v>
      </c>
      <c r="H35" s="5">
        <v>140754.50000000003</v>
      </c>
    </row>
    <row r="36" spans="1:8" x14ac:dyDescent="0.2">
      <c r="A36" s="4" t="s">
        <v>857</v>
      </c>
      <c r="B36" s="5">
        <v>124205</v>
      </c>
      <c r="D36" s="3" t="s">
        <v>379</v>
      </c>
      <c r="E36" s="5">
        <v>48140.25</v>
      </c>
      <c r="G36" s="3" t="s">
        <v>97</v>
      </c>
      <c r="H36" s="5">
        <v>119704.95000000003</v>
      </c>
    </row>
    <row r="37" spans="1:8" x14ac:dyDescent="0.2">
      <c r="A37" s="4" t="s">
        <v>1255</v>
      </c>
      <c r="B37" s="5">
        <v>121357</v>
      </c>
      <c r="D37" s="3" t="s">
        <v>4848</v>
      </c>
      <c r="E37" s="5">
        <v>392046.95000000007</v>
      </c>
      <c r="G37" s="3" t="s">
        <v>4848</v>
      </c>
      <c r="H37" s="5">
        <v>963539.58</v>
      </c>
    </row>
    <row r="38" spans="1:8" x14ac:dyDescent="0.2">
      <c r="A38" s="4" t="s">
        <v>1605</v>
      </c>
      <c r="B38" s="5">
        <v>112765</v>
      </c>
    </row>
    <row r="39" spans="1:8" x14ac:dyDescent="0.2">
      <c r="A39" s="4" t="s">
        <v>1901</v>
      </c>
      <c r="B39" s="5">
        <v>105433.50000000003</v>
      </c>
    </row>
    <row r="40" spans="1:8" x14ac:dyDescent="0.2">
      <c r="A40" s="4" t="s">
        <v>2198</v>
      </c>
      <c r="B40" s="5">
        <v>197654.49999999983</v>
      </c>
    </row>
    <row r="41" spans="1:8" x14ac:dyDescent="0.2">
      <c r="A41" s="4" t="s">
        <v>2703</v>
      </c>
      <c r="B41" s="5">
        <v>244234.02999999962</v>
      </c>
    </row>
    <row r="42" spans="1:8" x14ac:dyDescent="0.2">
      <c r="A42" s="3">
        <v>2023</v>
      </c>
      <c r="B42" s="5">
        <v>670615</v>
      </c>
    </row>
    <row r="43" spans="1:8" x14ac:dyDescent="0.2">
      <c r="A43" s="4" t="s">
        <v>3249</v>
      </c>
      <c r="B43" s="5">
        <v>269635</v>
      </c>
    </row>
    <row r="44" spans="1:8" x14ac:dyDescent="0.2">
      <c r="A44" s="4" t="s">
        <v>3891</v>
      </c>
      <c r="B44" s="5">
        <v>269584</v>
      </c>
    </row>
    <row r="45" spans="1:8" x14ac:dyDescent="0.2">
      <c r="A45" s="4" t="s">
        <v>4536</v>
      </c>
      <c r="B45" s="5">
        <v>131396</v>
      </c>
    </row>
    <row r="46" spans="1:8" x14ac:dyDescent="0.2">
      <c r="A46" s="3" t="s">
        <v>4848</v>
      </c>
      <c r="B46" s="5">
        <v>1799361.0299999993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E298-A992-DD44-ADEF-DE1DC62AD7AD}">
  <dimension ref="A1:Z4040"/>
  <sheetViews>
    <sheetView topLeftCell="K1" workbookViewId="0">
      <selection activeCell="Z1" sqref="Z1"/>
    </sheetView>
  </sheetViews>
  <sheetFormatPr baseColWidth="10" defaultRowHeight="16" x14ac:dyDescent="0.2"/>
  <cols>
    <col min="1" max="1" width="19.6640625" bestFit="1" customWidth="1"/>
    <col min="2" max="2" width="12.6640625" customWidth="1"/>
    <col min="3" max="3" width="17.5" customWidth="1"/>
    <col min="4" max="4" width="19.5" bestFit="1" customWidth="1"/>
    <col min="8" max="8" width="13.1640625" customWidth="1"/>
    <col min="9" max="9" width="44" bestFit="1" customWidth="1"/>
    <col min="10" max="10" width="14" customWidth="1"/>
    <col min="11" max="11" width="15.33203125" customWidth="1"/>
    <col min="12" max="12" width="21.5" customWidth="1"/>
    <col min="13" max="13" width="13.6640625" customWidth="1"/>
    <col min="14" max="14" width="14" customWidth="1"/>
    <col min="16" max="16" width="19.6640625" bestFit="1" customWidth="1"/>
    <col min="19" max="19" width="13.1640625" customWidth="1"/>
  </cols>
  <sheetData>
    <row r="1" spans="1:26" x14ac:dyDescent="0.2">
      <c r="A1" t="s">
        <v>2</v>
      </c>
      <c r="B1" t="s">
        <v>0</v>
      </c>
      <c r="C1" t="s">
        <v>1</v>
      </c>
      <c r="D1" t="s">
        <v>3</v>
      </c>
      <c r="E1" t="s">
        <v>4</v>
      </c>
      <c r="F1" t="s">
        <v>5</v>
      </c>
      <c r="G1" t="s">
        <v>4853</v>
      </c>
      <c r="H1" t="s">
        <v>6</v>
      </c>
      <c r="I1" t="s">
        <v>7</v>
      </c>
      <c r="J1" t="s">
        <v>8</v>
      </c>
      <c r="K1" t="s">
        <v>9</v>
      </c>
      <c r="L1" t="s">
        <v>10</v>
      </c>
      <c r="M1" t="s">
        <v>11</v>
      </c>
      <c r="N1" t="s">
        <v>12</v>
      </c>
      <c r="P1" t="s">
        <v>2</v>
      </c>
      <c r="Q1" t="s">
        <v>0</v>
      </c>
      <c r="R1" t="s">
        <v>1</v>
      </c>
      <c r="S1" t="s">
        <v>3</v>
      </c>
      <c r="T1" t="s">
        <v>6</v>
      </c>
      <c r="U1" t="s">
        <v>7</v>
      </c>
      <c r="V1" t="s">
        <v>8</v>
      </c>
      <c r="W1" t="s">
        <v>9</v>
      </c>
      <c r="X1" t="s">
        <v>10</v>
      </c>
      <c r="Y1" t="s">
        <v>11</v>
      </c>
      <c r="Z1" t="s">
        <v>12</v>
      </c>
    </row>
    <row r="2" spans="1:26" x14ac:dyDescent="0.2">
      <c r="A2" t="s">
        <v>15</v>
      </c>
      <c r="B2" s="1" t="s">
        <v>13</v>
      </c>
      <c r="C2" t="s">
        <v>14</v>
      </c>
      <c r="D2" t="s">
        <v>16</v>
      </c>
      <c r="E2">
        <v>1</v>
      </c>
      <c r="F2" t="s">
        <v>17</v>
      </c>
      <c r="G2">
        <v>2022</v>
      </c>
      <c r="H2" t="s">
        <v>18</v>
      </c>
      <c r="I2" t="s">
        <v>19</v>
      </c>
      <c r="J2">
        <v>999</v>
      </c>
      <c r="K2">
        <v>325</v>
      </c>
      <c r="L2">
        <f>J2-K2</f>
        <v>674</v>
      </c>
      <c r="M2">
        <v>240</v>
      </c>
      <c r="N2">
        <f>L2-M2</f>
        <v>434</v>
      </c>
      <c r="P2" t="str">
        <f>Dashboard!S14</f>
        <v>405-1783725-5410751</v>
      </c>
      <c r="Q2" t="str" cm="1">
        <f t="array" ref="Q2:Z2">IFERROR(VLOOKUP(P2,Dataset[#All],{2,3,4,8,9,10,11,12,13,14},0)," ")</f>
        <v>16/04/2022</v>
      </c>
      <c r="R2" t="str">
        <v>Shipment</v>
      </c>
      <c r="S2" t="str">
        <v>305_BLACK_11</v>
      </c>
      <c r="T2" t="str">
        <v>VISAKHAPATNAM</v>
      </c>
      <c r="U2" t="str">
        <v>ANDHRA PRADESH</v>
      </c>
      <c r="V2">
        <v>849</v>
      </c>
      <c r="W2">
        <v>250</v>
      </c>
      <c r="X2">
        <v>599</v>
      </c>
      <c r="Y2">
        <v>240</v>
      </c>
      <c r="Z2">
        <v>359</v>
      </c>
    </row>
    <row r="3" spans="1:26" x14ac:dyDescent="0.2">
      <c r="A3" t="s">
        <v>21</v>
      </c>
      <c r="B3" s="1" t="s">
        <v>13</v>
      </c>
      <c r="C3" t="s">
        <v>20</v>
      </c>
      <c r="D3" t="s">
        <v>16</v>
      </c>
      <c r="E3">
        <v>1</v>
      </c>
      <c r="F3" t="s">
        <v>17</v>
      </c>
      <c r="G3">
        <v>2022</v>
      </c>
      <c r="H3" t="s">
        <v>22</v>
      </c>
      <c r="I3" t="s">
        <v>23</v>
      </c>
      <c r="J3">
        <v>0</v>
      </c>
      <c r="K3">
        <v>0</v>
      </c>
      <c r="L3">
        <v>0</v>
      </c>
      <c r="M3">
        <v>0</v>
      </c>
      <c r="N3">
        <v>0</v>
      </c>
    </row>
    <row r="4" spans="1:26" x14ac:dyDescent="0.2">
      <c r="A4" t="s">
        <v>25</v>
      </c>
      <c r="B4" s="1" t="s">
        <v>24</v>
      </c>
      <c r="C4" t="s">
        <v>14</v>
      </c>
      <c r="D4" t="s">
        <v>26</v>
      </c>
      <c r="E4">
        <v>2</v>
      </c>
      <c r="F4" t="s">
        <v>17</v>
      </c>
      <c r="G4">
        <v>2022</v>
      </c>
      <c r="H4" t="s">
        <v>27</v>
      </c>
      <c r="I4" t="s">
        <v>28</v>
      </c>
      <c r="J4">
        <v>799</v>
      </c>
      <c r="K4">
        <v>205</v>
      </c>
      <c r="L4">
        <f t="shared" ref="L4:L7" si="0">J4-K4</f>
        <v>594</v>
      </c>
      <c r="M4">
        <v>240</v>
      </c>
      <c r="N4">
        <f t="shared" ref="N4:N7" si="1">L4-M4</f>
        <v>354</v>
      </c>
    </row>
    <row r="5" spans="1:26" x14ac:dyDescent="0.2">
      <c r="A5" t="s">
        <v>29</v>
      </c>
      <c r="B5" s="1" t="s">
        <v>24</v>
      </c>
      <c r="C5" t="s">
        <v>14</v>
      </c>
      <c r="D5" t="s">
        <v>30</v>
      </c>
      <c r="E5">
        <v>2</v>
      </c>
      <c r="F5" t="s">
        <v>17</v>
      </c>
      <c r="G5">
        <v>2022</v>
      </c>
      <c r="H5" t="s">
        <v>31</v>
      </c>
      <c r="I5" t="s">
        <v>32</v>
      </c>
      <c r="J5">
        <v>849</v>
      </c>
      <c r="K5">
        <v>250</v>
      </c>
      <c r="L5">
        <f t="shared" si="0"/>
        <v>599</v>
      </c>
      <c r="M5">
        <v>240</v>
      </c>
      <c r="N5">
        <f t="shared" si="1"/>
        <v>359</v>
      </c>
    </row>
    <row r="6" spans="1:26" x14ac:dyDescent="0.2">
      <c r="A6" t="s">
        <v>29</v>
      </c>
      <c r="B6" s="1" t="s">
        <v>24</v>
      </c>
      <c r="C6" t="s">
        <v>14</v>
      </c>
      <c r="D6" t="s">
        <v>33</v>
      </c>
      <c r="E6">
        <v>2</v>
      </c>
      <c r="F6" t="s">
        <v>17</v>
      </c>
      <c r="G6">
        <v>2022</v>
      </c>
      <c r="H6" t="s">
        <v>31</v>
      </c>
      <c r="I6" t="s">
        <v>32</v>
      </c>
      <c r="J6">
        <v>849</v>
      </c>
      <c r="K6">
        <v>250</v>
      </c>
      <c r="L6">
        <f t="shared" si="0"/>
        <v>599</v>
      </c>
      <c r="M6">
        <v>240</v>
      </c>
      <c r="N6">
        <f t="shared" si="1"/>
        <v>359</v>
      </c>
    </row>
    <row r="7" spans="1:26" x14ac:dyDescent="0.2">
      <c r="A7" t="s">
        <v>34</v>
      </c>
      <c r="B7" s="1" t="s">
        <v>24</v>
      </c>
      <c r="C7" t="s">
        <v>14</v>
      </c>
      <c r="D7" t="s">
        <v>35</v>
      </c>
      <c r="E7">
        <v>2</v>
      </c>
      <c r="F7" t="s">
        <v>17</v>
      </c>
      <c r="G7">
        <v>2022</v>
      </c>
      <c r="H7" t="s">
        <v>36</v>
      </c>
      <c r="I7" t="s">
        <v>37</v>
      </c>
      <c r="J7">
        <v>849</v>
      </c>
      <c r="K7">
        <v>250</v>
      </c>
      <c r="L7">
        <f t="shared" si="0"/>
        <v>599</v>
      </c>
      <c r="M7">
        <v>240</v>
      </c>
      <c r="N7">
        <f t="shared" si="1"/>
        <v>359</v>
      </c>
    </row>
    <row r="8" spans="1:26" x14ac:dyDescent="0.2">
      <c r="A8" t="s">
        <v>38</v>
      </c>
      <c r="B8" s="1" t="s">
        <v>13</v>
      </c>
      <c r="C8" t="s">
        <v>20</v>
      </c>
      <c r="D8" t="s">
        <v>39</v>
      </c>
      <c r="E8">
        <v>1</v>
      </c>
      <c r="F8" t="s">
        <v>17</v>
      </c>
      <c r="G8">
        <v>2022</v>
      </c>
      <c r="H8" t="s">
        <v>40</v>
      </c>
      <c r="I8" t="s">
        <v>41</v>
      </c>
      <c r="J8">
        <v>0</v>
      </c>
      <c r="K8">
        <v>0</v>
      </c>
      <c r="L8">
        <v>0</v>
      </c>
      <c r="M8">
        <v>0</v>
      </c>
      <c r="N8">
        <v>0</v>
      </c>
    </row>
    <row r="9" spans="1:26" x14ac:dyDescent="0.2">
      <c r="A9" t="s">
        <v>44</v>
      </c>
      <c r="B9" s="1" t="s">
        <v>42</v>
      </c>
      <c r="C9" t="s">
        <v>43</v>
      </c>
      <c r="D9" t="s">
        <v>45</v>
      </c>
      <c r="E9">
        <v>3</v>
      </c>
      <c r="F9" t="s">
        <v>17</v>
      </c>
      <c r="G9">
        <v>2022</v>
      </c>
      <c r="H9" t="s">
        <v>46</v>
      </c>
      <c r="I9" t="s">
        <v>23</v>
      </c>
      <c r="J9">
        <v>0</v>
      </c>
      <c r="K9">
        <v>0</v>
      </c>
      <c r="L9">
        <v>0</v>
      </c>
      <c r="M9">
        <v>0</v>
      </c>
      <c r="N9">
        <v>0</v>
      </c>
    </row>
    <row r="10" spans="1:26" x14ac:dyDescent="0.2">
      <c r="A10" t="s">
        <v>47</v>
      </c>
      <c r="B10" s="1" t="s">
        <v>42</v>
      </c>
      <c r="C10" t="s">
        <v>14</v>
      </c>
      <c r="D10" t="s">
        <v>48</v>
      </c>
      <c r="E10">
        <v>3</v>
      </c>
      <c r="F10" t="s">
        <v>17</v>
      </c>
      <c r="G10">
        <v>2022</v>
      </c>
      <c r="H10" t="s">
        <v>49</v>
      </c>
      <c r="I10" t="s">
        <v>32</v>
      </c>
      <c r="J10">
        <v>799</v>
      </c>
      <c r="K10">
        <v>205</v>
      </c>
      <c r="L10">
        <f t="shared" ref="L10:L20" si="2">J10-K10</f>
        <v>594</v>
      </c>
      <c r="M10">
        <v>240</v>
      </c>
      <c r="N10">
        <f t="shared" ref="N10:N20" si="3">L10-M10</f>
        <v>354</v>
      </c>
    </row>
    <row r="11" spans="1:26" x14ac:dyDescent="0.2">
      <c r="A11" t="s">
        <v>50</v>
      </c>
      <c r="B11" s="1" t="s">
        <v>42</v>
      </c>
      <c r="C11" t="s">
        <v>14</v>
      </c>
      <c r="D11" t="s">
        <v>51</v>
      </c>
      <c r="E11">
        <v>3</v>
      </c>
      <c r="F11" t="s">
        <v>17</v>
      </c>
      <c r="G11">
        <v>2022</v>
      </c>
      <c r="H11" t="s">
        <v>52</v>
      </c>
      <c r="I11" t="s">
        <v>32</v>
      </c>
      <c r="J11">
        <v>999</v>
      </c>
      <c r="K11">
        <v>325</v>
      </c>
      <c r="L11">
        <f t="shared" si="2"/>
        <v>674</v>
      </c>
      <c r="M11">
        <v>240</v>
      </c>
      <c r="N11">
        <f t="shared" si="3"/>
        <v>434</v>
      </c>
    </row>
    <row r="12" spans="1:26" x14ac:dyDescent="0.2">
      <c r="A12" t="s">
        <v>53</v>
      </c>
      <c r="B12" s="1" t="s">
        <v>24</v>
      </c>
      <c r="C12" t="s">
        <v>14</v>
      </c>
      <c r="D12" t="s">
        <v>16</v>
      </c>
      <c r="E12">
        <v>2</v>
      </c>
      <c r="F12" t="s">
        <v>17</v>
      </c>
      <c r="G12">
        <v>2022</v>
      </c>
      <c r="H12" t="s">
        <v>54</v>
      </c>
      <c r="I12" t="s">
        <v>23</v>
      </c>
      <c r="J12">
        <v>799</v>
      </c>
      <c r="K12">
        <v>205</v>
      </c>
      <c r="L12">
        <f t="shared" si="2"/>
        <v>594</v>
      </c>
      <c r="M12">
        <v>240</v>
      </c>
      <c r="N12">
        <f t="shared" si="3"/>
        <v>354</v>
      </c>
    </row>
    <row r="13" spans="1:26" x14ac:dyDescent="0.2">
      <c r="A13" t="s">
        <v>55</v>
      </c>
      <c r="B13" s="1" t="s">
        <v>42</v>
      </c>
      <c r="C13" t="s">
        <v>14</v>
      </c>
      <c r="D13" t="s">
        <v>56</v>
      </c>
      <c r="E13">
        <v>3</v>
      </c>
      <c r="F13" t="s">
        <v>17</v>
      </c>
      <c r="G13">
        <v>2022</v>
      </c>
      <c r="H13" t="s">
        <v>57</v>
      </c>
      <c r="I13" t="s">
        <v>58</v>
      </c>
      <c r="J13">
        <v>849</v>
      </c>
      <c r="K13">
        <v>250</v>
      </c>
      <c r="L13">
        <f t="shared" si="2"/>
        <v>599</v>
      </c>
      <c r="M13">
        <v>240</v>
      </c>
      <c r="N13">
        <f t="shared" si="3"/>
        <v>359</v>
      </c>
    </row>
    <row r="14" spans="1:26" x14ac:dyDescent="0.2">
      <c r="A14" t="s">
        <v>60</v>
      </c>
      <c r="B14" s="1" t="s">
        <v>59</v>
      </c>
      <c r="C14" t="s">
        <v>14</v>
      </c>
      <c r="D14" t="s">
        <v>33</v>
      </c>
      <c r="E14">
        <v>4</v>
      </c>
      <c r="F14" t="s">
        <v>17</v>
      </c>
      <c r="G14">
        <v>2022</v>
      </c>
      <c r="H14" t="s">
        <v>61</v>
      </c>
      <c r="I14" t="s">
        <v>62</v>
      </c>
      <c r="J14">
        <v>849</v>
      </c>
      <c r="K14">
        <v>250</v>
      </c>
      <c r="L14">
        <f t="shared" si="2"/>
        <v>599</v>
      </c>
      <c r="M14">
        <v>240</v>
      </c>
      <c r="N14">
        <f t="shared" si="3"/>
        <v>359</v>
      </c>
    </row>
    <row r="15" spans="1:26" x14ac:dyDescent="0.2">
      <c r="A15" t="s">
        <v>63</v>
      </c>
      <c r="B15" s="1" t="s">
        <v>42</v>
      </c>
      <c r="C15" t="s">
        <v>14</v>
      </c>
      <c r="D15" t="s">
        <v>64</v>
      </c>
      <c r="E15">
        <v>3</v>
      </c>
      <c r="F15" t="s">
        <v>17</v>
      </c>
      <c r="G15">
        <v>2022</v>
      </c>
      <c r="H15" t="s">
        <v>65</v>
      </c>
      <c r="I15" t="s">
        <v>37</v>
      </c>
      <c r="J15">
        <v>999</v>
      </c>
      <c r="K15">
        <v>325</v>
      </c>
      <c r="L15">
        <f t="shared" si="2"/>
        <v>674</v>
      </c>
      <c r="M15">
        <v>240</v>
      </c>
      <c r="N15">
        <f t="shared" si="3"/>
        <v>434</v>
      </c>
    </row>
    <row r="16" spans="1:26" x14ac:dyDescent="0.2">
      <c r="A16" t="s">
        <v>66</v>
      </c>
      <c r="B16" s="1" t="s">
        <v>24</v>
      </c>
      <c r="C16" t="s">
        <v>14</v>
      </c>
      <c r="D16" t="s">
        <v>67</v>
      </c>
      <c r="E16">
        <v>2</v>
      </c>
      <c r="F16" t="s">
        <v>17</v>
      </c>
      <c r="G16">
        <v>2022</v>
      </c>
      <c r="H16" t="s">
        <v>68</v>
      </c>
      <c r="I16" t="s">
        <v>62</v>
      </c>
      <c r="J16">
        <v>899</v>
      </c>
      <c r="K16">
        <v>295</v>
      </c>
      <c r="L16">
        <f t="shared" si="2"/>
        <v>604</v>
      </c>
      <c r="M16">
        <v>240</v>
      </c>
      <c r="N16">
        <f t="shared" si="3"/>
        <v>364</v>
      </c>
    </row>
    <row r="17" spans="1:14" x14ac:dyDescent="0.2">
      <c r="A17" t="s">
        <v>69</v>
      </c>
      <c r="B17" s="1" t="s">
        <v>24</v>
      </c>
      <c r="C17" t="s">
        <v>14</v>
      </c>
      <c r="D17" t="s">
        <v>70</v>
      </c>
      <c r="E17">
        <v>2</v>
      </c>
      <c r="F17" t="s">
        <v>17</v>
      </c>
      <c r="G17">
        <v>2022</v>
      </c>
      <c r="H17" t="s">
        <v>71</v>
      </c>
      <c r="I17" t="s">
        <v>62</v>
      </c>
      <c r="J17">
        <v>849</v>
      </c>
      <c r="K17">
        <v>250</v>
      </c>
      <c r="L17">
        <f t="shared" si="2"/>
        <v>599</v>
      </c>
      <c r="M17">
        <v>240</v>
      </c>
      <c r="N17">
        <f t="shared" si="3"/>
        <v>359</v>
      </c>
    </row>
    <row r="18" spans="1:14" x14ac:dyDescent="0.2">
      <c r="A18" t="s">
        <v>72</v>
      </c>
      <c r="B18" s="1" t="s">
        <v>59</v>
      </c>
      <c r="C18" t="s">
        <v>14</v>
      </c>
      <c r="D18" t="s">
        <v>73</v>
      </c>
      <c r="E18">
        <v>4</v>
      </c>
      <c r="F18" t="s">
        <v>17</v>
      </c>
      <c r="G18">
        <v>2022</v>
      </c>
      <c r="H18" t="s">
        <v>74</v>
      </c>
      <c r="I18" t="s">
        <v>28</v>
      </c>
      <c r="J18">
        <v>849</v>
      </c>
      <c r="K18">
        <v>250</v>
      </c>
      <c r="L18">
        <f t="shared" si="2"/>
        <v>599</v>
      </c>
      <c r="M18">
        <v>240</v>
      </c>
      <c r="N18">
        <f t="shared" si="3"/>
        <v>359</v>
      </c>
    </row>
    <row r="19" spans="1:14" x14ac:dyDescent="0.2">
      <c r="A19" t="s">
        <v>75</v>
      </c>
      <c r="B19" s="1" t="s">
        <v>42</v>
      </c>
      <c r="C19" t="s">
        <v>14</v>
      </c>
      <c r="D19" t="s">
        <v>76</v>
      </c>
      <c r="E19">
        <v>3</v>
      </c>
      <c r="F19" t="s">
        <v>17</v>
      </c>
      <c r="G19">
        <v>2022</v>
      </c>
      <c r="H19" t="s">
        <v>77</v>
      </c>
      <c r="I19" t="s">
        <v>62</v>
      </c>
      <c r="J19">
        <v>799</v>
      </c>
      <c r="K19">
        <v>205</v>
      </c>
      <c r="L19">
        <f t="shared" si="2"/>
        <v>594</v>
      </c>
      <c r="M19">
        <v>240</v>
      </c>
      <c r="N19">
        <f t="shared" si="3"/>
        <v>354</v>
      </c>
    </row>
    <row r="20" spans="1:14" x14ac:dyDescent="0.2">
      <c r="A20" t="s">
        <v>78</v>
      </c>
      <c r="B20" s="1" t="s">
        <v>42</v>
      </c>
      <c r="C20" t="s">
        <v>14</v>
      </c>
      <c r="D20" t="s">
        <v>16</v>
      </c>
      <c r="E20">
        <v>3</v>
      </c>
      <c r="F20" t="s">
        <v>17</v>
      </c>
      <c r="G20">
        <v>2022</v>
      </c>
      <c r="H20" t="s">
        <v>79</v>
      </c>
      <c r="I20" t="s">
        <v>23</v>
      </c>
      <c r="J20">
        <v>999</v>
      </c>
      <c r="K20">
        <v>325</v>
      </c>
      <c r="L20">
        <f t="shared" si="2"/>
        <v>674</v>
      </c>
      <c r="M20">
        <v>240</v>
      </c>
      <c r="N20">
        <f t="shared" si="3"/>
        <v>434</v>
      </c>
    </row>
    <row r="21" spans="1:14" x14ac:dyDescent="0.2">
      <c r="A21" t="s">
        <v>80</v>
      </c>
      <c r="B21" s="1" t="s">
        <v>59</v>
      </c>
      <c r="C21" t="s">
        <v>43</v>
      </c>
      <c r="D21" t="s">
        <v>81</v>
      </c>
      <c r="E21">
        <v>4</v>
      </c>
      <c r="F21" t="s">
        <v>17</v>
      </c>
      <c r="G21">
        <v>2022</v>
      </c>
      <c r="H21" t="s">
        <v>82</v>
      </c>
      <c r="I21" t="s">
        <v>58</v>
      </c>
      <c r="J21">
        <v>0</v>
      </c>
      <c r="K21">
        <v>0</v>
      </c>
      <c r="L21">
        <v>0</v>
      </c>
      <c r="M21">
        <v>0</v>
      </c>
      <c r="N21">
        <v>0</v>
      </c>
    </row>
    <row r="22" spans="1:14" x14ac:dyDescent="0.2">
      <c r="A22" t="s">
        <v>83</v>
      </c>
      <c r="B22" s="1" t="s">
        <v>59</v>
      </c>
      <c r="C22" t="s">
        <v>14</v>
      </c>
      <c r="D22" t="s">
        <v>67</v>
      </c>
      <c r="E22">
        <v>4</v>
      </c>
      <c r="F22" t="s">
        <v>17</v>
      </c>
      <c r="G22">
        <v>2022</v>
      </c>
      <c r="H22" t="s">
        <v>84</v>
      </c>
      <c r="I22" t="s">
        <v>85</v>
      </c>
      <c r="J22">
        <v>899</v>
      </c>
      <c r="K22">
        <v>295</v>
      </c>
      <c r="L22">
        <f t="shared" ref="L22:L30" si="4">J22-K22</f>
        <v>604</v>
      </c>
      <c r="M22">
        <v>240</v>
      </c>
      <c r="N22">
        <f t="shared" ref="N22:N30" si="5">L22-M22</f>
        <v>364</v>
      </c>
    </row>
    <row r="23" spans="1:14" x14ac:dyDescent="0.2">
      <c r="A23" t="s">
        <v>87</v>
      </c>
      <c r="B23" s="1" t="s">
        <v>86</v>
      </c>
      <c r="C23" t="s">
        <v>14</v>
      </c>
      <c r="D23" t="s">
        <v>88</v>
      </c>
      <c r="E23">
        <v>5</v>
      </c>
      <c r="F23" t="s">
        <v>17</v>
      </c>
      <c r="G23">
        <v>2022</v>
      </c>
      <c r="H23" t="s">
        <v>89</v>
      </c>
      <c r="I23" t="s">
        <v>62</v>
      </c>
      <c r="J23">
        <v>999</v>
      </c>
      <c r="K23">
        <v>325</v>
      </c>
      <c r="L23">
        <f t="shared" si="4"/>
        <v>674</v>
      </c>
      <c r="M23">
        <v>240</v>
      </c>
      <c r="N23">
        <f t="shared" si="5"/>
        <v>434</v>
      </c>
    </row>
    <row r="24" spans="1:14" x14ac:dyDescent="0.2">
      <c r="A24" t="s">
        <v>90</v>
      </c>
      <c r="B24" s="1" t="s">
        <v>86</v>
      </c>
      <c r="C24" t="s">
        <v>14</v>
      </c>
      <c r="D24" t="s">
        <v>56</v>
      </c>
      <c r="E24">
        <v>5</v>
      </c>
      <c r="F24" t="s">
        <v>17</v>
      </c>
      <c r="G24">
        <v>2022</v>
      </c>
      <c r="H24" t="s">
        <v>91</v>
      </c>
      <c r="I24" t="s">
        <v>23</v>
      </c>
      <c r="J24">
        <v>849</v>
      </c>
      <c r="K24">
        <v>250</v>
      </c>
      <c r="L24">
        <f t="shared" si="4"/>
        <v>599</v>
      </c>
      <c r="M24">
        <v>240</v>
      </c>
      <c r="N24">
        <f t="shared" si="5"/>
        <v>359</v>
      </c>
    </row>
    <row r="25" spans="1:14" x14ac:dyDescent="0.2">
      <c r="A25" t="s">
        <v>92</v>
      </c>
      <c r="B25" s="1" t="s">
        <v>86</v>
      </c>
      <c r="C25" t="s">
        <v>14</v>
      </c>
      <c r="D25" t="s">
        <v>93</v>
      </c>
      <c r="E25">
        <v>5</v>
      </c>
      <c r="F25" t="s">
        <v>17</v>
      </c>
      <c r="G25">
        <v>2022</v>
      </c>
      <c r="H25" t="s">
        <v>94</v>
      </c>
      <c r="I25" t="s">
        <v>85</v>
      </c>
      <c r="J25">
        <v>999</v>
      </c>
      <c r="K25">
        <v>325</v>
      </c>
      <c r="L25">
        <f t="shared" si="4"/>
        <v>674</v>
      </c>
      <c r="M25">
        <v>240</v>
      </c>
      <c r="N25">
        <f t="shared" si="5"/>
        <v>434</v>
      </c>
    </row>
    <row r="26" spans="1:14" x14ac:dyDescent="0.2">
      <c r="A26" t="s">
        <v>95</v>
      </c>
      <c r="B26" s="1" t="s">
        <v>86</v>
      </c>
      <c r="C26" t="s">
        <v>14</v>
      </c>
      <c r="D26" t="s">
        <v>67</v>
      </c>
      <c r="E26">
        <v>5</v>
      </c>
      <c r="F26" t="s">
        <v>17</v>
      </c>
      <c r="G26">
        <v>2022</v>
      </c>
      <c r="H26" t="s">
        <v>96</v>
      </c>
      <c r="I26" t="s">
        <v>97</v>
      </c>
      <c r="J26">
        <v>899</v>
      </c>
      <c r="K26">
        <v>295</v>
      </c>
      <c r="L26">
        <f t="shared" si="4"/>
        <v>604</v>
      </c>
      <c r="M26">
        <v>240</v>
      </c>
      <c r="N26">
        <f t="shared" si="5"/>
        <v>364</v>
      </c>
    </row>
    <row r="27" spans="1:14" x14ac:dyDescent="0.2">
      <c r="A27" t="s">
        <v>98</v>
      </c>
      <c r="B27" s="1" t="s">
        <v>86</v>
      </c>
      <c r="C27" t="s">
        <v>14</v>
      </c>
      <c r="D27" t="s">
        <v>67</v>
      </c>
      <c r="E27">
        <v>5</v>
      </c>
      <c r="F27" t="s">
        <v>17</v>
      </c>
      <c r="G27">
        <v>2022</v>
      </c>
      <c r="H27" t="s">
        <v>82</v>
      </c>
      <c r="I27" t="s">
        <v>58</v>
      </c>
      <c r="J27">
        <v>899</v>
      </c>
      <c r="K27">
        <v>295</v>
      </c>
      <c r="L27">
        <f t="shared" si="4"/>
        <v>604</v>
      </c>
      <c r="M27">
        <v>240</v>
      </c>
      <c r="N27">
        <f t="shared" si="5"/>
        <v>364</v>
      </c>
    </row>
    <row r="28" spans="1:14" x14ac:dyDescent="0.2">
      <c r="A28" t="s">
        <v>100</v>
      </c>
      <c r="B28" s="1" t="s">
        <v>99</v>
      </c>
      <c r="C28" t="s">
        <v>14</v>
      </c>
      <c r="D28" t="s">
        <v>51</v>
      </c>
      <c r="E28">
        <v>6</v>
      </c>
      <c r="F28" t="s">
        <v>17</v>
      </c>
      <c r="G28">
        <v>2022</v>
      </c>
      <c r="H28" t="s">
        <v>101</v>
      </c>
      <c r="I28" t="s">
        <v>62</v>
      </c>
      <c r="J28">
        <v>999</v>
      </c>
      <c r="K28">
        <v>325</v>
      </c>
      <c r="L28">
        <f t="shared" si="4"/>
        <v>674</v>
      </c>
      <c r="M28">
        <v>240</v>
      </c>
      <c r="N28">
        <f t="shared" si="5"/>
        <v>434</v>
      </c>
    </row>
    <row r="29" spans="1:14" x14ac:dyDescent="0.2">
      <c r="A29" t="s">
        <v>102</v>
      </c>
      <c r="B29" s="1" t="s">
        <v>99</v>
      </c>
      <c r="C29" t="s">
        <v>14</v>
      </c>
      <c r="D29" t="s">
        <v>103</v>
      </c>
      <c r="E29">
        <v>6</v>
      </c>
      <c r="F29" t="s">
        <v>17</v>
      </c>
      <c r="G29">
        <v>2022</v>
      </c>
      <c r="H29" t="s">
        <v>104</v>
      </c>
      <c r="I29" t="s">
        <v>62</v>
      </c>
      <c r="J29">
        <v>849</v>
      </c>
      <c r="K29">
        <v>250</v>
      </c>
      <c r="L29">
        <f t="shared" si="4"/>
        <v>599</v>
      </c>
      <c r="M29">
        <v>240</v>
      </c>
      <c r="N29">
        <f t="shared" si="5"/>
        <v>359</v>
      </c>
    </row>
    <row r="30" spans="1:14" x14ac:dyDescent="0.2">
      <c r="A30" t="s">
        <v>105</v>
      </c>
      <c r="B30" s="1" t="s">
        <v>99</v>
      </c>
      <c r="C30" t="s">
        <v>14</v>
      </c>
      <c r="D30" t="s">
        <v>70</v>
      </c>
      <c r="E30">
        <v>6</v>
      </c>
      <c r="F30" t="s">
        <v>17</v>
      </c>
      <c r="G30">
        <v>2022</v>
      </c>
      <c r="H30" t="s">
        <v>84</v>
      </c>
      <c r="I30" t="s">
        <v>85</v>
      </c>
      <c r="J30">
        <v>849</v>
      </c>
      <c r="K30">
        <v>250</v>
      </c>
      <c r="L30">
        <f t="shared" si="4"/>
        <v>599</v>
      </c>
      <c r="M30">
        <v>240</v>
      </c>
      <c r="N30">
        <f t="shared" si="5"/>
        <v>359</v>
      </c>
    </row>
    <row r="31" spans="1:14" x14ac:dyDescent="0.2">
      <c r="A31" t="s">
        <v>29</v>
      </c>
      <c r="B31" s="1" t="s">
        <v>24</v>
      </c>
      <c r="C31" t="s">
        <v>106</v>
      </c>
      <c r="D31" t="s">
        <v>30</v>
      </c>
      <c r="E31">
        <v>2</v>
      </c>
      <c r="F31" t="s">
        <v>17</v>
      </c>
      <c r="G31">
        <v>2022</v>
      </c>
      <c r="H31" t="s">
        <v>31</v>
      </c>
      <c r="I31" t="s">
        <v>32</v>
      </c>
      <c r="J31">
        <v>-849</v>
      </c>
      <c r="K31">
        <v>345</v>
      </c>
      <c r="L31">
        <f>J31+K31</f>
        <v>-504</v>
      </c>
      <c r="M31">
        <v>240</v>
      </c>
      <c r="N31">
        <f>L31+M31</f>
        <v>-264</v>
      </c>
    </row>
    <row r="32" spans="1:14" x14ac:dyDescent="0.2">
      <c r="A32" t="s">
        <v>15</v>
      </c>
      <c r="B32" s="1" t="s">
        <v>13</v>
      </c>
      <c r="C32" t="s">
        <v>106</v>
      </c>
      <c r="D32" t="s">
        <v>16</v>
      </c>
      <c r="E32">
        <v>1</v>
      </c>
      <c r="F32" t="s">
        <v>17</v>
      </c>
      <c r="G32">
        <v>2022</v>
      </c>
      <c r="H32" t="s">
        <v>18</v>
      </c>
      <c r="I32" t="s">
        <v>19</v>
      </c>
      <c r="J32">
        <v>-999</v>
      </c>
      <c r="K32">
        <v>395</v>
      </c>
      <c r="L32">
        <f>J32+K32</f>
        <v>-604</v>
      </c>
      <c r="M32">
        <v>240</v>
      </c>
      <c r="N32">
        <f>L32+M32</f>
        <v>-364</v>
      </c>
    </row>
    <row r="33" spans="1:14" x14ac:dyDescent="0.2">
      <c r="A33" t="s">
        <v>108</v>
      </c>
      <c r="B33" s="1" t="s">
        <v>107</v>
      </c>
      <c r="C33" t="s">
        <v>14</v>
      </c>
      <c r="D33" t="s">
        <v>109</v>
      </c>
      <c r="E33">
        <v>8</v>
      </c>
      <c r="F33" t="s">
        <v>17</v>
      </c>
      <c r="G33">
        <v>2022</v>
      </c>
      <c r="H33" t="s">
        <v>110</v>
      </c>
      <c r="I33" t="s">
        <v>23</v>
      </c>
      <c r="J33">
        <v>849</v>
      </c>
      <c r="K33">
        <v>250</v>
      </c>
      <c r="L33">
        <f t="shared" ref="L33:L35" si="6">J33-K33</f>
        <v>599</v>
      </c>
      <c r="M33">
        <v>240</v>
      </c>
      <c r="N33">
        <f t="shared" ref="N33:N35" si="7">L33-M33</f>
        <v>359</v>
      </c>
    </row>
    <row r="34" spans="1:14" x14ac:dyDescent="0.2">
      <c r="A34" t="s">
        <v>111</v>
      </c>
      <c r="B34" s="1" t="s">
        <v>107</v>
      </c>
      <c r="C34" t="s">
        <v>14</v>
      </c>
      <c r="D34" t="s">
        <v>112</v>
      </c>
      <c r="E34">
        <v>8</v>
      </c>
      <c r="F34" t="s">
        <v>17</v>
      </c>
      <c r="G34">
        <v>2022</v>
      </c>
      <c r="H34" t="s">
        <v>31</v>
      </c>
      <c r="I34" t="s">
        <v>32</v>
      </c>
      <c r="J34">
        <v>849</v>
      </c>
      <c r="K34">
        <v>250</v>
      </c>
      <c r="L34">
        <f t="shared" si="6"/>
        <v>599</v>
      </c>
      <c r="M34">
        <v>240</v>
      </c>
      <c r="N34">
        <f t="shared" si="7"/>
        <v>359</v>
      </c>
    </row>
    <row r="35" spans="1:14" x14ac:dyDescent="0.2">
      <c r="A35" t="s">
        <v>114</v>
      </c>
      <c r="B35" s="1" t="s">
        <v>113</v>
      </c>
      <c r="C35" t="s">
        <v>14</v>
      </c>
      <c r="D35" t="s">
        <v>51</v>
      </c>
      <c r="E35">
        <v>7</v>
      </c>
      <c r="F35" t="s">
        <v>17</v>
      </c>
      <c r="G35">
        <v>2022</v>
      </c>
      <c r="H35" t="s">
        <v>104</v>
      </c>
      <c r="I35" t="s">
        <v>62</v>
      </c>
      <c r="J35">
        <v>999</v>
      </c>
      <c r="K35">
        <v>325</v>
      </c>
      <c r="L35">
        <f t="shared" si="6"/>
        <v>674</v>
      </c>
      <c r="M35">
        <v>240</v>
      </c>
      <c r="N35">
        <f t="shared" si="7"/>
        <v>434</v>
      </c>
    </row>
    <row r="36" spans="1:14" x14ac:dyDescent="0.2">
      <c r="A36" t="s">
        <v>116</v>
      </c>
      <c r="B36" s="1" t="s">
        <v>115</v>
      </c>
      <c r="C36" t="s">
        <v>43</v>
      </c>
      <c r="D36" t="s">
        <v>117</v>
      </c>
      <c r="E36">
        <v>9</v>
      </c>
      <c r="F36" t="s">
        <v>17</v>
      </c>
      <c r="G36">
        <v>2022</v>
      </c>
      <c r="H36" t="s">
        <v>118</v>
      </c>
      <c r="I36" t="s">
        <v>28</v>
      </c>
      <c r="J36">
        <v>0</v>
      </c>
      <c r="K36">
        <v>0</v>
      </c>
      <c r="L36">
        <v>0</v>
      </c>
      <c r="M36">
        <v>0</v>
      </c>
      <c r="N36">
        <v>0</v>
      </c>
    </row>
    <row r="37" spans="1:14" x14ac:dyDescent="0.2">
      <c r="A37" t="s">
        <v>119</v>
      </c>
      <c r="B37" s="1" t="s">
        <v>113</v>
      </c>
      <c r="C37" t="s">
        <v>14</v>
      </c>
      <c r="D37" t="s">
        <v>120</v>
      </c>
      <c r="E37">
        <v>7</v>
      </c>
      <c r="F37" t="s">
        <v>17</v>
      </c>
      <c r="G37">
        <v>2022</v>
      </c>
      <c r="H37" t="s">
        <v>121</v>
      </c>
      <c r="I37" t="s">
        <v>122</v>
      </c>
      <c r="J37">
        <v>849</v>
      </c>
      <c r="K37">
        <v>250</v>
      </c>
      <c r="L37">
        <f t="shared" ref="L37:L39" si="8">J37-K37</f>
        <v>599</v>
      </c>
      <c r="M37">
        <v>240</v>
      </c>
      <c r="N37">
        <f t="shared" ref="N37:N39" si="9">L37-M37</f>
        <v>359</v>
      </c>
    </row>
    <row r="38" spans="1:14" x14ac:dyDescent="0.2">
      <c r="A38" t="s">
        <v>123</v>
      </c>
      <c r="B38" s="1" t="s">
        <v>107</v>
      </c>
      <c r="C38" t="s">
        <v>14</v>
      </c>
      <c r="D38" t="s">
        <v>51</v>
      </c>
      <c r="E38">
        <v>8</v>
      </c>
      <c r="F38" t="s">
        <v>17</v>
      </c>
      <c r="G38">
        <v>2022</v>
      </c>
      <c r="H38" t="s">
        <v>124</v>
      </c>
      <c r="I38" t="s">
        <v>85</v>
      </c>
      <c r="J38">
        <v>999</v>
      </c>
      <c r="K38">
        <v>325</v>
      </c>
      <c r="L38">
        <f t="shared" si="8"/>
        <v>674</v>
      </c>
      <c r="M38">
        <v>240</v>
      </c>
      <c r="N38">
        <f t="shared" si="9"/>
        <v>434</v>
      </c>
    </row>
    <row r="39" spans="1:14" x14ac:dyDescent="0.2">
      <c r="A39" t="s">
        <v>125</v>
      </c>
      <c r="B39" s="1" t="s">
        <v>99</v>
      </c>
      <c r="C39" t="s">
        <v>14</v>
      </c>
      <c r="D39" t="s">
        <v>67</v>
      </c>
      <c r="E39">
        <v>6</v>
      </c>
      <c r="F39" t="s">
        <v>17</v>
      </c>
      <c r="G39">
        <v>2022</v>
      </c>
      <c r="H39" t="s">
        <v>126</v>
      </c>
      <c r="I39" t="s">
        <v>122</v>
      </c>
      <c r="J39">
        <v>899</v>
      </c>
      <c r="K39">
        <v>295</v>
      </c>
      <c r="L39">
        <f t="shared" si="8"/>
        <v>604</v>
      </c>
      <c r="M39">
        <v>240</v>
      </c>
      <c r="N39">
        <f t="shared" si="9"/>
        <v>364</v>
      </c>
    </row>
    <row r="40" spans="1:14" x14ac:dyDescent="0.2">
      <c r="A40" t="s">
        <v>127</v>
      </c>
      <c r="B40" s="1" t="s">
        <v>107</v>
      </c>
      <c r="C40" t="s">
        <v>20</v>
      </c>
      <c r="D40" t="s">
        <v>128</v>
      </c>
      <c r="E40">
        <v>8</v>
      </c>
      <c r="F40" t="s">
        <v>17</v>
      </c>
      <c r="G40">
        <v>2022</v>
      </c>
      <c r="H40" t="s">
        <v>129</v>
      </c>
      <c r="I40" t="s">
        <v>28</v>
      </c>
      <c r="J40">
        <v>0</v>
      </c>
      <c r="K40">
        <v>0</v>
      </c>
      <c r="L40">
        <v>0</v>
      </c>
      <c r="M40">
        <v>0</v>
      </c>
      <c r="N40">
        <v>0</v>
      </c>
    </row>
    <row r="41" spans="1:14" x14ac:dyDescent="0.2">
      <c r="A41" t="s">
        <v>116</v>
      </c>
      <c r="B41" s="1" t="s">
        <v>115</v>
      </c>
      <c r="C41" t="s">
        <v>14</v>
      </c>
      <c r="D41" t="s">
        <v>130</v>
      </c>
      <c r="E41">
        <v>9</v>
      </c>
      <c r="F41" t="s">
        <v>17</v>
      </c>
      <c r="G41">
        <v>2022</v>
      </c>
      <c r="H41" t="s">
        <v>118</v>
      </c>
      <c r="I41" t="s">
        <v>28</v>
      </c>
      <c r="J41">
        <v>999</v>
      </c>
      <c r="K41">
        <v>325</v>
      </c>
      <c r="L41">
        <f>J41-K41</f>
        <v>674</v>
      </c>
      <c r="M41">
        <v>240</v>
      </c>
      <c r="N41">
        <f>L41-M41</f>
        <v>434</v>
      </c>
    </row>
    <row r="42" spans="1:14" x14ac:dyDescent="0.2">
      <c r="A42" t="s">
        <v>132</v>
      </c>
      <c r="B42" s="1" t="s">
        <v>131</v>
      </c>
      <c r="C42" t="s">
        <v>43</v>
      </c>
      <c r="D42" t="s">
        <v>133</v>
      </c>
      <c r="E42">
        <v>11</v>
      </c>
      <c r="F42" t="s">
        <v>17</v>
      </c>
      <c r="G42">
        <v>2022</v>
      </c>
      <c r="H42" t="s">
        <v>134</v>
      </c>
      <c r="I42" t="s">
        <v>135</v>
      </c>
      <c r="J42">
        <v>0</v>
      </c>
      <c r="K42">
        <v>0</v>
      </c>
      <c r="L42">
        <v>0</v>
      </c>
      <c r="M42">
        <v>0</v>
      </c>
      <c r="N42">
        <v>0</v>
      </c>
    </row>
    <row r="43" spans="1:14" x14ac:dyDescent="0.2">
      <c r="A43" t="s">
        <v>136</v>
      </c>
      <c r="B43" s="1" t="s">
        <v>131</v>
      </c>
      <c r="C43" t="s">
        <v>20</v>
      </c>
      <c r="D43" t="s">
        <v>93</v>
      </c>
      <c r="E43">
        <v>11</v>
      </c>
      <c r="F43" t="s">
        <v>17</v>
      </c>
      <c r="G43">
        <v>2022</v>
      </c>
      <c r="H43" t="s">
        <v>94</v>
      </c>
      <c r="I43" t="s">
        <v>85</v>
      </c>
      <c r="J43">
        <v>0</v>
      </c>
      <c r="K43">
        <v>0</v>
      </c>
      <c r="L43">
        <v>0</v>
      </c>
      <c r="M43">
        <v>0</v>
      </c>
      <c r="N43">
        <v>0</v>
      </c>
    </row>
    <row r="44" spans="1:14" x14ac:dyDescent="0.2">
      <c r="A44" t="s">
        <v>138</v>
      </c>
      <c r="B44" s="1" t="s">
        <v>137</v>
      </c>
      <c r="C44" t="s">
        <v>14</v>
      </c>
      <c r="D44" t="s">
        <v>139</v>
      </c>
      <c r="E44">
        <v>10</v>
      </c>
      <c r="F44" t="s">
        <v>17</v>
      </c>
      <c r="G44">
        <v>2022</v>
      </c>
      <c r="H44" t="s">
        <v>140</v>
      </c>
      <c r="I44" t="s">
        <v>97</v>
      </c>
      <c r="J44">
        <v>849</v>
      </c>
      <c r="K44">
        <v>250</v>
      </c>
      <c r="L44">
        <f t="shared" ref="L44:L55" si="10">J44-K44</f>
        <v>599</v>
      </c>
      <c r="M44">
        <v>240</v>
      </c>
      <c r="N44">
        <f t="shared" ref="N44:N55" si="11">L44-M44</f>
        <v>359</v>
      </c>
    </row>
    <row r="45" spans="1:14" x14ac:dyDescent="0.2">
      <c r="A45" t="s">
        <v>141</v>
      </c>
      <c r="B45" s="1" t="s">
        <v>137</v>
      </c>
      <c r="C45" t="s">
        <v>14</v>
      </c>
      <c r="D45" t="s">
        <v>142</v>
      </c>
      <c r="E45">
        <v>10</v>
      </c>
      <c r="F45" t="s">
        <v>17</v>
      </c>
      <c r="G45">
        <v>2022</v>
      </c>
      <c r="H45" t="s">
        <v>143</v>
      </c>
      <c r="I45" t="s">
        <v>144</v>
      </c>
      <c r="J45">
        <v>999</v>
      </c>
      <c r="K45">
        <v>325</v>
      </c>
      <c r="L45">
        <f t="shared" si="10"/>
        <v>674</v>
      </c>
      <c r="M45">
        <v>240</v>
      </c>
      <c r="N45">
        <f t="shared" si="11"/>
        <v>434</v>
      </c>
    </row>
    <row r="46" spans="1:14" x14ac:dyDescent="0.2">
      <c r="A46" t="s">
        <v>145</v>
      </c>
      <c r="B46" s="1" t="s">
        <v>115</v>
      </c>
      <c r="C46" t="s">
        <v>14</v>
      </c>
      <c r="D46" t="s">
        <v>146</v>
      </c>
      <c r="E46">
        <v>9</v>
      </c>
      <c r="F46" t="s">
        <v>17</v>
      </c>
      <c r="G46">
        <v>2022</v>
      </c>
      <c r="H46" t="s">
        <v>147</v>
      </c>
      <c r="I46" t="s">
        <v>148</v>
      </c>
      <c r="J46">
        <v>799</v>
      </c>
      <c r="K46">
        <v>205</v>
      </c>
      <c r="L46">
        <f t="shared" si="10"/>
        <v>594</v>
      </c>
      <c r="M46">
        <v>240</v>
      </c>
      <c r="N46">
        <f t="shared" si="11"/>
        <v>354</v>
      </c>
    </row>
    <row r="47" spans="1:14" x14ac:dyDescent="0.2">
      <c r="A47" t="s">
        <v>149</v>
      </c>
      <c r="B47" s="1" t="s">
        <v>131</v>
      </c>
      <c r="C47" t="s">
        <v>14</v>
      </c>
      <c r="D47" t="s">
        <v>16</v>
      </c>
      <c r="E47">
        <v>11</v>
      </c>
      <c r="F47" t="s">
        <v>17</v>
      </c>
      <c r="G47">
        <v>2022</v>
      </c>
      <c r="H47" t="s">
        <v>150</v>
      </c>
      <c r="I47" t="s">
        <v>62</v>
      </c>
      <c r="J47">
        <v>999</v>
      </c>
      <c r="K47">
        <v>325</v>
      </c>
      <c r="L47">
        <f t="shared" si="10"/>
        <v>674</v>
      </c>
      <c r="M47">
        <v>240</v>
      </c>
      <c r="N47">
        <f t="shared" si="11"/>
        <v>434</v>
      </c>
    </row>
    <row r="48" spans="1:14" x14ac:dyDescent="0.2">
      <c r="A48" t="s">
        <v>132</v>
      </c>
      <c r="B48" s="1" t="s">
        <v>131</v>
      </c>
      <c r="C48" t="s">
        <v>14</v>
      </c>
      <c r="D48" t="s">
        <v>30</v>
      </c>
      <c r="E48">
        <v>11</v>
      </c>
      <c r="F48" t="s">
        <v>17</v>
      </c>
      <c r="G48">
        <v>2022</v>
      </c>
      <c r="H48" t="s">
        <v>134</v>
      </c>
      <c r="I48" t="s">
        <v>135</v>
      </c>
      <c r="J48">
        <v>849</v>
      </c>
      <c r="K48">
        <v>250</v>
      </c>
      <c r="L48">
        <f t="shared" si="10"/>
        <v>599</v>
      </c>
      <c r="M48">
        <v>240</v>
      </c>
      <c r="N48">
        <f t="shared" si="11"/>
        <v>359</v>
      </c>
    </row>
    <row r="49" spans="1:14" x14ac:dyDescent="0.2">
      <c r="A49" t="s">
        <v>151</v>
      </c>
      <c r="B49" s="1" t="s">
        <v>115</v>
      </c>
      <c r="C49" t="s">
        <v>14</v>
      </c>
      <c r="D49" t="s">
        <v>67</v>
      </c>
      <c r="E49">
        <v>9</v>
      </c>
      <c r="F49" t="s">
        <v>17</v>
      </c>
      <c r="G49">
        <v>2022</v>
      </c>
      <c r="H49" t="s">
        <v>152</v>
      </c>
      <c r="I49" t="s">
        <v>153</v>
      </c>
      <c r="J49">
        <v>899</v>
      </c>
      <c r="K49">
        <v>295</v>
      </c>
      <c r="L49">
        <f t="shared" si="10"/>
        <v>604</v>
      </c>
      <c r="M49">
        <v>240</v>
      </c>
      <c r="N49">
        <f t="shared" si="11"/>
        <v>364</v>
      </c>
    </row>
    <row r="50" spans="1:14" x14ac:dyDescent="0.2">
      <c r="A50" t="s">
        <v>154</v>
      </c>
      <c r="B50" s="1" t="s">
        <v>115</v>
      </c>
      <c r="C50" t="s">
        <v>14</v>
      </c>
      <c r="D50" t="s">
        <v>155</v>
      </c>
      <c r="E50">
        <v>9</v>
      </c>
      <c r="F50" t="s">
        <v>17</v>
      </c>
      <c r="G50">
        <v>2022</v>
      </c>
      <c r="H50" t="s">
        <v>84</v>
      </c>
      <c r="I50" t="s">
        <v>85</v>
      </c>
      <c r="J50">
        <v>849</v>
      </c>
      <c r="K50">
        <v>250</v>
      </c>
      <c r="L50">
        <f t="shared" si="10"/>
        <v>599</v>
      </c>
      <c r="M50">
        <v>240</v>
      </c>
      <c r="N50">
        <f t="shared" si="11"/>
        <v>359</v>
      </c>
    </row>
    <row r="51" spans="1:14" x14ac:dyDescent="0.2">
      <c r="A51" t="s">
        <v>156</v>
      </c>
      <c r="B51" s="1" t="s">
        <v>137</v>
      </c>
      <c r="C51" t="s">
        <v>14</v>
      </c>
      <c r="D51" t="s">
        <v>16</v>
      </c>
      <c r="E51">
        <v>10</v>
      </c>
      <c r="F51" t="s">
        <v>17</v>
      </c>
      <c r="G51">
        <v>2022</v>
      </c>
      <c r="H51" t="s">
        <v>157</v>
      </c>
      <c r="I51" t="s">
        <v>97</v>
      </c>
      <c r="J51">
        <v>999</v>
      </c>
      <c r="K51">
        <v>325</v>
      </c>
      <c r="L51">
        <f t="shared" si="10"/>
        <v>674</v>
      </c>
      <c r="M51">
        <v>240</v>
      </c>
      <c r="N51">
        <f t="shared" si="11"/>
        <v>434</v>
      </c>
    </row>
    <row r="52" spans="1:14" x14ac:dyDescent="0.2">
      <c r="A52" t="s">
        <v>158</v>
      </c>
      <c r="B52" s="1" t="s">
        <v>131</v>
      </c>
      <c r="C52" t="s">
        <v>14</v>
      </c>
      <c r="D52" t="s">
        <v>51</v>
      </c>
      <c r="E52">
        <v>11</v>
      </c>
      <c r="F52" t="s">
        <v>17</v>
      </c>
      <c r="G52">
        <v>2022</v>
      </c>
      <c r="H52" t="s">
        <v>159</v>
      </c>
      <c r="I52" t="s">
        <v>160</v>
      </c>
      <c r="J52">
        <v>999</v>
      </c>
      <c r="K52">
        <v>325</v>
      </c>
      <c r="L52">
        <f t="shared" si="10"/>
        <v>674</v>
      </c>
      <c r="M52">
        <v>240</v>
      </c>
      <c r="N52">
        <f t="shared" si="11"/>
        <v>434</v>
      </c>
    </row>
    <row r="53" spans="1:14" x14ac:dyDescent="0.2">
      <c r="A53" t="s">
        <v>161</v>
      </c>
      <c r="B53" s="1" t="s">
        <v>115</v>
      </c>
      <c r="C53" t="s">
        <v>14</v>
      </c>
      <c r="D53" t="s">
        <v>64</v>
      </c>
      <c r="E53">
        <v>9</v>
      </c>
      <c r="F53" t="s">
        <v>17</v>
      </c>
      <c r="G53">
        <v>2022</v>
      </c>
      <c r="H53" t="s">
        <v>162</v>
      </c>
      <c r="I53" t="s">
        <v>163</v>
      </c>
      <c r="J53">
        <v>999</v>
      </c>
      <c r="K53">
        <v>325</v>
      </c>
      <c r="L53">
        <f t="shared" si="10"/>
        <v>674</v>
      </c>
      <c r="M53">
        <v>240</v>
      </c>
      <c r="N53">
        <f t="shared" si="11"/>
        <v>434</v>
      </c>
    </row>
    <row r="54" spans="1:14" x14ac:dyDescent="0.2">
      <c r="A54" t="s">
        <v>164</v>
      </c>
      <c r="B54" s="1" t="s">
        <v>137</v>
      </c>
      <c r="C54" t="s">
        <v>14</v>
      </c>
      <c r="D54" t="s">
        <v>16</v>
      </c>
      <c r="E54">
        <v>10</v>
      </c>
      <c r="F54" t="s">
        <v>17</v>
      </c>
      <c r="G54">
        <v>2022</v>
      </c>
      <c r="H54" t="s">
        <v>101</v>
      </c>
      <c r="I54" t="s">
        <v>62</v>
      </c>
      <c r="J54">
        <v>999</v>
      </c>
      <c r="K54">
        <v>325</v>
      </c>
      <c r="L54">
        <f t="shared" si="10"/>
        <v>674</v>
      </c>
      <c r="M54">
        <v>240</v>
      </c>
      <c r="N54">
        <f t="shared" si="11"/>
        <v>434</v>
      </c>
    </row>
    <row r="55" spans="1:14" x14ac:dyDescent="0.2">
      <c r="A55" t="s">
        <v>165</v>
      </c>
      <c r="B55" s="1" t="s">
        <v>137</v>
      </c>
      <c r="C55" t="s">
        <v>14</v>
      </c>
      <c r="D55" t="s">
        <v>166</v>
      </c>
      <c r="E55">
        <v>10</v>
      </c>
      <c r="F55" t="s">
        <v>17</v>
      </c>
      <c r="G55">
        <v>2022</v>
      </c>
      <c r="H55" t="s">
        <v>84</v>
      </c>
      <c r="I55" t="s">
        <v>85</v>
      </c>
      <c r="J55">
        <v>849</v>
      </c>
      <c r="K55">
        <v>250</v>
      </c>
      <c r="L55">
        <f t="shared" si="10"/>
        <v>599</v>
      </c>
      <c r="M55">
        <v>240</v>
      </c>
      <c r="N55">
        <f t="shared" si="11"/>
        <v>359</v>
      </c>
    </row>
    <row r="56" spans="1:14" x14ac:dyDescent="0.2">
      <c r="A56" t="s">
        <v>98</v>
      </c>
      <c r="B56" s="1" t="s">
        <v>86</v>
      </c>
      <c r="C56" t="s">
        <v>106</v>
      </c>
      <c r="D56" t="s">
        <v>67</v>
      </c>
      <c r="E56">
        <v>5</v>
      </c>
      <c r="F56" t="s">
        <v>17</v>
      </c>
      <c r="G56">
        <v>2022</v>
      </c>
      <c r="H56" t="s">
        <v>82</v>
      </c>
      <c r="I56" t="s">
        <v>58</v>
      </c>
      <c r="J56">
        <v>-899</v>
      </c>
      <c r="K56">
        <v>375</v>
      </c>
      <c r="L56">
        <f>J56+K56</f>
        <v>-524</v>
      </c>
      <c r="M56">
        <v>240</v>
      </c>
      <c r="N56">
        <f>L56+M56</f>
        <v>-284</v>
      </c>
    </row>
    <row r="57" spans="1:14" x14ac:dyDescent="0.2">
      <c r="A57" t="s">
        <v>168</v>
      </c>
      <c r="B57" s="1" t="s">
        <v>167</v>
      </c>
      <c r="C57" t="s">
        <v>43</v>
      </c>
      <c r="D57" t="s">
        <v>169</v>
      </c>
      <c r="E57">
        <v>12</v>
      </c>
      <c r="F57" t="s">
        <v>17</v>
      </c>
      <c r="G57">
        <v>2022</v>
      </c>
      <c r="H57" t="s">
        <v>170</v>
      </c>
      <c r="I57" t="s">
        <v>171</v>
      </c>
      <c r="J57">
        <v>0</v>
      </c>
      <c r="K57">
        <v>0</v>
      </c>
      <c r="L57">
        <v>0</v>
      </c>
      <c r="M57">
        <v>0</v>
      </c>
      <c r="N57">
        <v>0</v>
      </c>
    </row>
    <row r="58" spans="1:14" x14ac:dyDescent="0.2">
      <c r="A58" t="s">
        <v>172</v>
      </c>
      <c r="B58" s="1" t="s">
        <v>167</v>
      </c>
      <c r="C58" t="s">
        <v>43</v>
      </c>
      <c r="D58" t="s">
        <v>117</v>
      </c>
      <c r="E58">
        <v>12</v>
      </c>
      <c r="F58" t="s">
        <v>17</v>
      </c>
      <c r="G58">
        <v>2022</v>
      </c>
      <c r="H58" t="s">
        <v>173</v>
      </c>
      <c r="I58" t="s">
        <v>62</v>
      </c>
      <c r="J58">
        <v>0</v>
      </c>
      <c r="K58">
        <v>0</v>
      </c>
      <c r="L58">
        <v>0</v>
      </c>
      <c r="M58">
        <v>0</v>
      </c>
      <c r="N58">
        <v>0</v>
      </c>
    </row>
    <row r="59" spans="1:14" x14ac:dyDescent="0.2">
      <c r="A59" t="s">
        <v>174</v>
      </c>
      <c r="B59" s="1" t="s">
        <v>131</v>
      </c>
      <c r="C59" t="s">
        <v>14</v>
      </c>
      <c r="D59" t="s">
        <v>175</v>
      </c>
      <c r="E59">
        <v>11</v>
      </c>
      <c r="F59" t="s">
        <v>17</v>
      </c>
      <c r="G59">
        <v>2022</v>
      </c>
      <c r="H59" t="s">
        <v>176</v>
      </c>
      <c r="I59" t="s">
        <v>23</v>
      </c>
      <c r="J59">
        <v>849</v>
      </c>
      <c r="K59">
        <v>250</v>
      </c>
      <c r="L59">
        <f t="shared" ref="L59:L63" si="12">J59-K59</f>
        <v>599</v>
      </c>
      <c r="M59">
        <v>240</v>
      </c>
      <c r="N59">
        <f t="shared" ref="N59:N63" si="13">L59-M59</f>
        <v>359</v>
      </c>
    </row>
    <row r="60" spans="1:14" x14ac:dyDescent="0.2">
      <c r="A60" t="s">
        <v>177</v>
      </c>
      <c r="B60" s="1" t="s">
        <v>167</v>
      </c>
      <c r="C60" t="s">
        <v>14</v>
      </c>
      <c r="D60" t="s">
        <v>178</v>
      </c>
      <c r="E60">
        <v>12</v>
      </c>
      <c r="F60" t="s">
        <v>17</v>
      </c>
      <c r="G60">
        <v>2022</v>
      </c>
      <c r="H60" t="s">
        <v>179</v>
      </c>
      <c r="I60" t="s">
        <v>180</v>
      </c>
      <c r="J60">
        <v>999</v>
      </c>
      <c r="K60">
        <v>325</v>
      </c>
      <c r="L60">
        <f t="shared" si="12"/>
        <v>674</v>
      </c>
      <c r="M60">
        <v>240</v>
      </c>
      <c r="N60">
        <f t="shared" si="13"/>
        <v>434</v>
      </c>
    </row>
    <row r="61" spans="1:14" x14ac:dyDescent="0.2">
      <c r="A61" t="s">
        <v>181</v>
      </c>
      <c r="B61" s="1" t="s">
        <v>131</v>
      </c>
      <c r="C61" t="s">
        <v>14</v>
      </c>
      <c r="D61" t="s">
        <v>182</v>
      </c>
      <c r="E61">
        <v>11</v>
      </c>
      <c r="F61" t="s">
        <v>17</v>
      </c>
      <c r="G61">
        <v>2022</v>
      </c>
      <c r="H61" t="s">
        <v>183</v>
      </c>
      <c r="I61" t="s">
        <v>62</v>
      </c>
      <c r="J61">
        <v>799</v>
      </c>
      <c r="K61">
        <v>205</v>
      </c>
      <c r="L61">
        <f t="shared" si="12"/>
        <v>594</v>
      </c>
      <c r="M61">
        <v>240</v>
      </c>
      <c r="N61">
        <f t="shared" si="13"/>
        <v>354</v>
      </c>
    </row>
    <row r="62" spans="1:14" x14ac:dyDescent="0.2">
      <c r="A62" t="s">
        <v>184</v>
      </c>
      <c r="B62" s="1" t="s">
        <v>131</v>
      </c>
      <c r="C62" t="s">
        <v>14</v>
      </c>
      <c r="D62" t="s">
        <v>178</v>
      </c>
      <c r="E62">
        <v>11</v>
      </c>
      <c r="F62" t="s">
        <v>17</v>
      </c>
      <c r="G62">
        <v>2022</v>
      </c>
      <c r="H62" t="s">
        <v>185</v>
      </c>
      <c r="I62" t="s">
        <v>186</v>
      </c>
      <c r="J62">
        <v>999</v>
      </c>
      <c r="K62">
        <v>325</v>
      </c>
      <c r="L62">
        <f t="shared" si="12"/>
        <v>674</v>
      </c>
      <c r="M62">
        <v>240</v>
      </c>
      <c r="N62">
        <f t="shared" si="13"/>
        <v>434</v>
      </c>
    </row>
    <row r="63" spans="1:14" x14ac:dyDescent="0.2">
      <c r="A63" t="s">
        <v>172</v>
      </c>
      <c r="B63" s="1" t="s">
        <v>167</v>
      </c>
      <c r="C63" t="s">
        <v>14</v>
      </c>
      <c r="D63" t="s">
        <v>130</v>
      </c>
      <c r="E63">
        <v>12</v>
      </c>
      <c r="F63" t="s">
        <v>17</v>
      </c>
      <c r="G63">
        <v>2022</v>
      </c>
      <c r="H63" t="s">
        <v>173</v>
      </c>
      <c r="I63" t="s">
        <v>62</v>
      </c>
      <c r="J63">
        <v>999</v>
      </c>
      <c r="K63">
        <v>325</v>
      </c>
      <c r="L63">
        <f t="shared" si="12"/>
        <v>674</v>
      </c>
      <c r="M63">
        <v>240</v>
      </c>
      <c r="N63">
        <f t="shared" si="13"/>
        <v>434</v>
      </c>
    </row>
    <row r="64" spans="1:14" x14ac:dyDescent="0.2">
      <c r="A64" t="s">
        <v>105</v>
      </c>
      <c r="B64" s="1" t="s">
        <v>99</v>
      </c>
      <c r="C64" t="s">
        <v>106</v>
      </c>
      <c r="D64" t="s">
        <v>70</v>
      </c>
      <c r="E64">
        <v>6</v>
      </c>
      <c r="F64" t="s">
        <v>17</v>
      </c>
      <c r="G64">
        <v>2022</v>
      </c>
      <c r="H64" t="s">
        <v>84</v>
      </c>
      <c r="I64" t="s">
        <v>85</v>
      </c>
      <c r="J64">
        <v>-849</v>
      </c>
      <c r="K64">
        <v>345</v>
      </c>
      <c r="L64">
        <f t="shared" ref="L64:L66" si="14">J64+K64</f>
        <v>-504</v>
      </c>
      <c r="M64">
        <v>240</v>
      </c>
      <c r="N64">
        <f t="shared" ref="N64:N66" si="15">L64+M64</f>
        <v>-264</v>
      </c>
    </row>
    <row r="65" spans="1:14" x14ac:dyDescent="0.2">
      <c r="A65" t="s">
        <v>102</v>
      </c>
      <c r="B65" s="1" t="s">
        <v>99</v>
      </c>
      <c r="C65" t="s">
        <v>106</v>
      </c>
      <c r="D65" t="s">
        <v>103</v>
      </c>
      <c r="E65">
        <v>6</v>
      </c>
      <c r="F65" t="s">
        <v>17</v>
      </c>
      <c r="G65">
        <v>2022</v>
      </c>
      <c r="H65" t="s">
        <v>104</v>
      </c>
      <c r="I65" t="s">
        <v>62</v>
      </c>
      <c r="J65">
        <v>-849</v>
      </c>
      <c r="K65">
        <v>345</v>
      </c>
      <c r="L65">
        <f t="shared" si="14"/>
        <v>-504</v>
      </c>
      <c r="M65">
        <v>240</v>
      </c>
      <c r="N65">
        <f t="shared" si="15"/>
        <v>-264</v>
      </c>
    </row>
    <row r="66" spans="1:14" x14ac:dyDescent="0.2">
      <c r="A66" t="s">
        <v>55</v>
      </c>
      <c r="B66" s="1" t="s">
        <v>42</v>
      </c>
      <c r="C66" t="s">
        <v>106</v>
      </c>
      <c r="D66" t="s">
        <v>56</v>
      </c>
      <c r="E66">
        <v>3</v>
      </c>
      <c r="F66" t="s">
        <v>17</v>
      </c>
      <c r="G66">
        <v>2022</v>
      </c>
      <c r="H66" t="s">
        <v>57</v>
      </c>
      <c r="I66" t="s">
        <v>58</v>
      </c>
      <c r="J66">
        <v>-849</v>
      </c>
      <c r="K66">
        <v>345</v>
      </c>
      <c r="L66">
        <f t="shared" si="14"/>
        <v>-504</v>
      </c>
      <c r="M66">
        <v>240</v>
      </c>
      <c r="N66">
        <f t="shared" si="15"/>
        <v>-264</v>
      </c>
    </row>
    <row r="67" spans="1:14" x14ac:dyDescent="0.2">
      <c r="A67" t="s">
        <v>188</v>
      </c>
      <c r="B67" s="1" t="s">
        <v>187</v>
      </c>
      <c r="C67" t="s">
        <v>14</v>
      </c>
      <c r="D67" t="s">
        <v>189</v>
      </c>
      <c r="E67">
        <v>13</v>
      </c>
      <c r="F67" t="s">
        <v>17</v>
      </c>
      <c r="G67">
        <v>2022</v>
      </c>
      <c r="H67" t="s">
        <v>190</v>
      </c>
      <c r="I67" t="s">
        <v>23</v>
      </c>
      <c r="J67">
        <v>999</v>
      </c>
      <c r="K67">
        <v>325</v>
      </c>
      <c r="L67">
        <f t="shared" ref="L67:L79" si="16">J67-K67</f>
        <v>674</v>
      </c>
      <c r="M67">
        <v>240</v>
      </c>
      <c r="N67">
        <f t="shared" ref="N67:N79" si="17">L67-M67</f>
        <v>434</v>
      </c>
    </row>
    <row r="68" spans="1:14" x14ac:dyDescent="0.2">
      <c r="A68" t="s">
        <v>191</v>
      </c>
      <c r="B68" s="1" t="s">
        <v>187</v>
      </c>
      <c r="C68" t="s">
        <v>14</v>
      </c>
      <c r="D68" t="s">
        <v>192</v>
      </c>
      <c r="E68">
        <v>13</v>
      </c>
      <c r="F68" t="s">
        <v>17</v>
      </c>
      <c r="G68">
        <v>2022</v>
      </c>
      <c r="H68" t="s">
        <v>193</v>
      </c>
      <c r="I68" t="s">
        <v>62</v>
      </c>
      <c r="J68">
        <v>799</v>
      </c>
      <c r="K68">
        <v>205</v>
      </c>
      <c r="L68">
        <f t="shared" si="16"/>
        <v>594</v>
      </c>
      <c r="M68">
        <v>240</v>
      </c>
      <c r="N68">
        <f t="shared" si="17"/>
        <v>354</v>
      </c>
    </row>
    <row r="69" spans="1:14" x14ac:dyDescent="0.2">
      <c r="A69" t="s">
        <v>194</v>
      </c>
      <c r="B69" s="1" t="s">
        <v>187</v>
      </c>
      <c r="C69" t="s">
        <v>14</v>
      </c>
      <c r="D69" t="s">
        <v>195</v>
      </c>
      <c r="E69">
        <v>13</v>
      </c>
      <c r="F69" t="s">
        <v>17</v>
      </c>
      <c r="G69">
        <v>2022</v>
      </c>
      <c r="H69" t="s">
        <v>196</v>
      </c>
      <c r="I69" t="s">
        <v>62</v>
      </c>
      <c r="J69">
        <v>799</v>
      </c>
      <c r="K69">
        <v>205</v>
      </c>
      <c r="L69">
        <f t="shared" si="16"/>
        <v>594</v>
      </c>
      <c r="M69">
        <v>240</v>
      </c>
      <c r="N69">
        <f t="shared" si="17"/>
        <v>354</v>
      </c>
    </row>
    <row r="70" spans="1:14" x14ac:dyDescent="0.2">
      <c r="A70" t="s">
        <v>197</v>
      </c>
      <c r="B70" s="1" t="s">
        <v>187</v>
      </c>
      <c r="C70" t="s">
        <v>14</v>
      </c>
      <c r="D70" t="s">
        <v>16</v>
      </c>
      <c r="E70">
        <v>13</v>
      </c>
      <c r="F70" t="s">
        <v>17</v>
      </c>
      <c r="G70">
        <v>2022</v>
      </c>
      <c r="H70" t="s">
        <v>198</v>
      </c>
      <c r="I70" t="s">
        <v>32</v>
      </c>
      <c r="J70">
        <v>999</v>
      </c>
      <c r="K70">
        <v>325</v>
      </c>
      <c r="L70">
        <f t="shared" si="16"/>
        <v>674</v>
      </c>
      <c r="M70">
        <v>240</v>
      </c>
      <c r="N70">
        <f t="shared" si="17"/>
        <v>434</v>
      </c>
    </row>
    <row r="71" spans="1:14" x14ac:dyDescent="0.2">
      <c r="A71" t="s">
        <v>200</v>
      </c>
      <c r="B71" s="1" t="s">
        <v>199</v>
      </c>
      <c r="C71" t="s">
        <v>14</v>
      </c>
      <c r="D71" t="s">
        <v>201</v>
      </c>
      <c r="E71">
        <v>14</v>
      </c>
      <c r="F71" t="s">
        <v>17</v>
      </c>
      <c r="G71">
        <v>2022</v>
      </c>
      <c r="H71" t="s">
        <v>202</v>
      </c>
      <c r="I71" t="s">
        <v>203</v>
      </c>
      <c r="J71">
        <v>899</v>
      </c>
      <c r="K71">
        <v>295</v>
      </c>
      <c r="L71">
        <f t="shared" si="16"/>
        <v>604</v>
      </c>
      <c r="M71">
        <v>240</v>
      </c>
      <c r="N71">
        <f t="shared" si="17"/>
        <v>364</v>
      </c>
    </row>
    <row r="72" spans="1:14" x14ac:dyDescent="0.2">
      <c r="A72" t="s">
        <v>204</v>
      </c>
      <c r="B72" s="1" t="s">
        <v>187</v>
      </c>
      <c r="C72" t="s">
        <v>14</v>
      </c>
      <c r="D72" t="s">
        <v>88</v>
      </c>
      <c r="E72">
        <v>13</v>
      </c>
      <c r="F72" t="s">
        <v>17</v>
      </c>
      <c r="G72">
        <v>2022</v>
      </c>
      <c r="H72" t="s">
        <v>205</v>
      </c>
      <c r="I72" t="s">
        <v>23</v>
      </c>
      <c r="J72">
        <v>999</v>
      </c>
      <c r="K72">
        <v>325</v>
      </c>
      <c r="L72">
        <f t="shared" si="16"/>
        <v>674</v>
      </c>
      <c r="M72">
        <v>240</v>
      </c>
      <c r="N72">
        <f t="shared" si="17"/>
        <v>434</v>
      </c>
    </row>
    <row r="73" spans="1:14" x14ac:dyDescent="0.2">
      <c r="A73" t="s">
        <v>206</v>
      </c>
      <c r="B73" s="1" t="s">
        <v>187</v>
      </c>
      <c r="C73" t="s">
        <v>14</v>
      </c>
      <c r="D73" t="s">
        <v>207</v>
      </c>
      <c r="E73">
        <v>13</v>
      </c>
      <c r="F73" t="s">
        <v>17</v>
      </c>
      <c r="G73">
        <v>2022</v>
      </c>
      <c r="H73" t="s">
        <v>208</v>
      </c>
      <c r="I73" t="s">
        <v>209</v>
      </c>
      <c r="J73">
        <v>999</v>
      </c>
      <c r="K73">
        <v>325</v>
      </c>
      <c r="L73">
        <f t="shared" si="16"/>
        <v>674</v>
      </c>
      <c r="M73">
        <v>240</v>
      </c>
      <c r="N73">
        <f t="shared" si="17"/>
        <v>434</v>
      </c>
    </row>
    <row r="74" spans="1:14" x14ac:dyDescent="0.2">
      <c r="A74" t="s">
        <v>210</v>
      </c>
      <c r="B74" s="1" t="s">
        <v>187</v>
      </c>
      <c r="C74" t="s">
        <v>14</v>
      </c>
      <c r="D74" t="s">
        <v>67</v>
      </c>
      <c r="E74">
        <v>13</v>
      </c>
      <c r="F74" t="s">
        <v>17</v>
      </c>
      <c r="G74">
        <v>2022</v>
      </c>
      <c r="H74" t="s">
        <v>211</v>
      </c>
      <c r="I74" t="s">
        <v>212</v>
      </c>
      <c r="J74">
        <v>899</v>
      </c>
      <c r="K74">
        <v>295</v>
      </c>
      <c r="L74">
        <f t="shared" si="16"/>
        <v>604</v>
      </c>
      <c r="M74">
        <v>240</v>
      </c>
      <c r="N74">
        <f t="shared" si="17"/>
        <v>364</v>
      </c>
    </row>
    <row r="75" spans="1:14" x14ac:dyDescent="0.2">
      <c r="A75" t="s">
        <v>213</v>
      </c>
      <c r="B75" s="1" t="s">
        <v>187</v>
      </c>
      <c r="C75" t="s">
        <v>14</v>
      </c>
      <c r="D75" t="s">
        <v>214</v>
      </c>
      <c r="E75">
        <v>13</v>
      </c>
      <c r="F75" t="s">
        <v>17</v>
      </c>
      <c r="G75">
        <v>2022</v>
      </c>
      <c r="H75" t="s">
        <v>215</v>
      </c>
      <c r="I75" t="s">
        <v>135</v>
      </c>
      <c r="J75">
        <v>799</v>
      </c>
      <c r="K75">
        <v>205</v>
      </c>
      <c r="L75">
        <f t="shared" si="16"/>
        <v>594</v>
      </c>
      <c r="M75">
        <v>240</v>
      </c>
      <c r="N75">
        <f t="shared" si="17"/>
        <v>354</v>
      </c>
    </row>
    <row r="76" spans="1:14" x14ac:dyDescent="0.2">
      <c r="A76" t="s">
        <v>216</v>
      </c>
      <c r="B76" s="1" t="s">
        <v>187</v>
      </c>
      <c r="C76" t="s">
        <v>14</v>
      </c>
      <c r="D76" t="s">
        <v>67</v>
      </c>
      <c r="E76">
        <v>13</v>
      </c>
      <c r="F76" t="s">
        <v>17</v>
      </c>
      <c r="G76">
        <v>2022</v>
      </c>
      <c r="H76" t="s">
        <v>217</v>
      </c>
      <c r="I76" t="s">
        <v>135</v>
      </c>
      <c r="J76">
        <v>899</v>
      </c>
      <c r="K76">
        <v>295</v>
      </c>
      <c r="L76">
        <f t="shared" si="16"/>
        <v>604</v>
      </c>
      <c r="M76">
        <v>240</v>
      </c>
      <c r="N76">
        <f t="shared" si="17"/>
        <v>364</v>
      </c>
    </row>
    <row r="77" spans="1:14" x14ac:dyDescent="0.2">
      <c r="A77" t="s">
        <v>218</v>
      </c>
      <c r="B77" s="1" t="s">
        <v>199</v>
      </c>
      <c r="C77" t="s">
        <v>14</v>
      </c>
      <c r="D77" t="s">
        <v>67</v>
      </c>
      <c r="E77">
        <v>14</v>
      </c>
      <c r="F77" t="s">
        <v>17</v>
      </c>
      <c r="G77">
        <v>2022</v>
      </c>
      <c r="H77" t="s">
        <v>101</v>
      </c>
      <c r="I77" t="s">
        <v>62</v>
      </c>
      <c r="J77">
        <v>899</v>
      </c>
      <c r="K77">
        <v>295</v>
      </c>
      <c r="L77">
        <f t="shared" si="16"/>
        <v>604</v>
      </c>
      <c r="M77">
        <v>240</v>
      </c>
      <c r="N77">
        <f t="shared" si="17"/>
        <v>364</v>
      </c>
    </row>
    <row r="78" spans="1:14" x14ac:dyDescent="0.2">
      <c r="A78" t="s">
        <v>220</v>
      </c>
      <c r="B78" s="1" t="s">
        <v>219</v>
      </c>
      <c r="C78" t="s">
        <v>14</v>
      </c>
      <c r="D78" t="s">
        <v>221</v>
      </c>
      <c r="E78">
        <v>15</v>
      </c>
      <c r="F78" t="s">
        <v>17</v>
      </c>
      <c r="G78">
        <v>2022</v>
      </c>
      <c r="H78" t="s">
        <v>157</v>
      </c>
      <c r="I78" t="s">
        <v>97</v>
      </c>
      <c r="J78">
        <v>849</v>
      </c>
      <c r="K78">
        <v>250</v>
      </c>
      <c r="L78">
        <f t="shared" si="16"/>
        <v>599</v>
      </c>
      <c r="M78">
        <v>240</v>
      </c>
      <c r="N78">
        <f t="shared" si="17"/>
        <v>359</v>
      </c>
    </row>
    <row r="79" spans="1:14" x14ac:dyDescent="0.2">
      <c r="A79" t="s">
        <v>222</v>
      </c>
      <c r="B79" s="1" t="s">
        <v>199</v>
      </c>
      <c r="C79" t="s">
        <v>14</v>
      </c>
      <c r="D79" t="s">
        <v>33</v>
      </c>
      <c r="E79">
        <v>14</v>
      </c>
      <c r="F79" t="s">
        <v>17</v>
      </c>
      <c r="G79">
        <v>2022</v>
      </c>
      <c r="H79" t="s">
        <v>223</v>
      </c>
      <c r="I79" t="s">
        <v>32</v>
      </c>
      <c r="J79">
        <v>849</v>
      </c>
      <c r="K79">
        <v>250</v>
      </c>
      <c r="L79">
        <f t="shared" si="16"/>
        <v>599</v>
      </c>
      <c r="M79">
        <v>240</v>
      </c>
      <c r="N79">
        <f t="shared" si="17"/>
        <v>359</v>
      </c>
    </row>
    <row r="80" spans="1:14" x14ac:dyDescent="0.2">
      <c r="A80" t="s">
        <v>138</v>
      </c>
      <c r="B80" s="1" t="s">
        <v>137</v>
      </c>
      <c r="C80" t="s">
        <v>106</v>
      </c>
      <c r="D80" t="s">
        <v>139</v>
      </c>
      <c r="E80">
        <v>10</v>
      </c>
      <c r="F80" t="s">
        <v>17</v>
      </c>
      <c r="G80">
        <v>2022</v>
      </c>
      <c r="H80" t="s">
        <v>140</v>
      </c>
      <c r="I80" t="s">
        <v>97</v>
      </c>
      <c r="J80">
        <v>-849</v>
      </c>
      <c r="K80">
        <v>345</v>
      </c>
      <c r="L80">
        <f>J80+K80</f>
        <v>-504</v>
      </c>
      <c r="M80">
        <v>240</v>
      </c>
      <c r="N80">
        <f>L80+M80</f>
        <v>-264</v>
      </c>
    </row>
    <row r="81" spans="1:14" x14ac:dyDescent="0.2">
      <c r="A81" t="s">
        <v>225</v>
      </c>
      <c r="B81" s="1" t="s">
        <v>224</v>
      </c>
      <c r="C81" t="s">
        <v>14</v>
      </c>
      <c r="D81" t="s">
        <v>26</v>
      </c>
      <c r="E81">
        <v>16</v>
      </c>
      <c r="F81" t="s">
        <v>17</v>
      </c>
      <c r="G81">
        <v>2022</v>
      </c>
      <c r="H81" t="s">
        <v>173</v>
      </c>
      <c r="I81" t="s">
        <v>62</v>
      </c>
      <c r="J81">
        <v>999</v>
      </c>
      <c r="K81">
        <v>325</v>
      </c>
      <c r="L81">
        <f t="shared" ref="L81:L88" si="18">J81-K81</f>
        <v>674</v>
      </c>
      <c r="M81">
        <v>240</v>
      </c>
      <c r="N81">
        <f t="shared" ref="N81:N88" si="19">L81-M81</f>
        <v>434</v>
      </c>
    </row>
    <row r="82" spans="1:14" x14ac:dyDescent="0.2">
      <c r="A82" t="s">
        <v>226</v>
      </c>
      <c r="B82" s="1" t="s">
        <v>219</v>
      </c>
      <c r="C82" t="s">
        <v>14</v>
      </c>
      <c r="D82" t="s">
        <v>88</v>
      </c>
      <c r="E82">
        <v>15</v>
      </c>
      <c r="F82" t="s">
        <v>17</v>
      </c>
      <c r="G82">
        <v>2022</v>
      </c>
      <c r="H82" t="s">
        <v>227</v>
      </c>
      <c r="I82" t="s">
        <v>122</v>
      </c>
      <c r="J82">
        <v>999</v>
      </c>
      <c r="K82">
        <v>325</v>
      </c>
      <c r="L82">
        <f t="shared" si="18"/>
        <v>674</v>
      </c>
      <c r="M82">
        <v>240</v>
      </c>
      <c r="N82">
        <f t="shared" si="19"/>
        <v>434</v>
      </c>
    </row>
    <row r="83" spans="1:14" x14ac:dyDescent="0.2">
      <c r="A83" t="s">
        <v>228</v>
      </c>
      <c r="B83" s="1" t="s">
        <v>219</v>
      </c>
      <c r="C83" t="s">
        <v>14</v>
      </c>
      <c r="D83" t="s">
        <v>67</v>
      </c>
      <c r="E83">
        <v>15</v>
      </c>
      <c r="F83" t="s">
        <v>17</v>
      </c>
      <c r="G83">
        <v>2022</v>
      </c>
      <c r="H83" t="s">
        <v>104</v>
      </c>
      <c r="I83" t="s">
        <v>62</v>
      </c>
      <c r="J83">
        <v>899</v>
      </c>
      <c r="K83">
        <v>295</v>
      </c>
      <c r="L83">
        <f t="shared" si="18"/>
        <v>604</v>
      </c>
      <c r="M83">
        <v>240</v>
      </c>
      <c r="N83">
        <f t="shared" si="19"/>
        <v>364</v>
      </c>
    </row>
    <row r="84" spans="1:14" x14ac:dyDescent="0.2">
      <c r="A84" t="s">
        <v>229</v>
      </c>
      <c r="B84" s="1" t="s">
        <v>219</v>
      </c>
      <c r="C84" t="s">
        <v>14</v>
      </c>
      <c r="D84" t="s">
        <v>103</v>
      </c>
      <c r="E84">
        <v>15</v>
      </c>
      <c r="F84" t="s">
        <v>17</v>
      </c>
      <c r="G84">
        <v>2022</v>
      </c>
      <c r="H84" t="s">
        <v>104</v>
      </c>
      <c r="I84" t="s">
        <v>62</v>
      </c>
      <c r="J84">
        <v>849</v>
      </c>
      <c r="K84">
        <v>250</v>
      </c>
      <c r="L84">
        <f t="shared" si="18"/>
        <v>599</v>
      </c>
      <c r="M84">
        <v>240</v>
      </c>
      <c r="N84">
        <f t="shared" si="19"/>
        <v>359</v>
      </c>
    </row>
    <row r="85" spans="1:14" x14ac:dyDescent="0.2">
      <c r="A85" t="s">
        <v>230</v>
      </c>
      <c r="B85" s="1" t="s">
        <v>219</v>
      </c>
      <c r="C85" t="s">
        <v>14</v>
      </c>
      <c r="D85" t="s">
        <v>207</v>
      </c>
      <c r="E85">
        <v>15</v>
      </c>
      <c r="F85" t="s">
        <v>17</v>
      </c>
      <c r="G85">
        <v>2022</v>
      </c>
      <c r="H85" t="s">
        <v>231</v>
      </c>
      <c r="I85" t="s">
        <v>232</v>
      </c>
      <c r="J85">
        <v>999</v>
      </c>
      <c r="K85">
        <v>325</v>
      </c>
      <c r="L85">
        <f t="shared" si="18"/>
        <v>674</v>
      </c>
      <c r="M85">
        <v>240</v>
      </c>
      <c r="N85">
        <f t="shared" si="19"/>
        <v>434</v>
      </c>
    </row>
    <row r="86" spans="1:14" x14ac:dyDescent="0.2">
      <c r="A86" t="s">
        <v>233</v>
      </c>
      <c r="B86" s="1" t="s">
        <v>219</v>
      </c>
      <c r="C86" t="s">
        <v>14</v>
      </c>
      <c r="D86" t="s">
        <v>234</v>
      </c>
      <c r="E86">
        <v>15</v>
      </c>
      <c r="F86" t="s">
        <v>17</v>
      </c>
      <c r="G86">
        <v>2022</v>
      </c>
      <c r="H86" t="s">
        <v>235</v>
      </c>
      <c r="I86" t="s">
        <v>62</v>
      </c>
      <c r="J86">
        <v>799</v>
      </c>
      <c r="K86">
        <v>205</v>
      </c>
      <c r="L86">
        <f t="shared" si="18"/>
        <v>594</v>
      </c>
      <c r="M86">
        <v>240</v>
      </c>
      <c r="N86">
        <f t="shared" si="19"/>
        <v>354</v>
      </c>
    </row>
    <row r="87" spans="1:14" x14ac:dyDescent="0.2">
      <c r="A87" t="s">
        <v>236</v>
      </c>
      <c r="B87" s="1" t="s">
        <v>219</v>
      </c>
      <c r="C87" t="s">
        <v>14</v>
      </c>
      <c r="D87" t="s">
        <v>67</v>
      </c>
      <c r="E87">
        <v>15</v>
      </c>
      <c r="F87" t="s">
        <v>17</v>
      </c>
      <c r="G87">
        <v>2022</v>
      </c>
      <c r="H87" t="s">
        <v>49</v>
      </c>
      <c r="I87" t="s">
        <v>32</v>
      </c>
      <c r="J87">
        <v>899</v>
      </c>
      <c r="K87">
        <v>295</v>
      </c>
      <c r="L87">
        <f t="shared" si="18"/>
        <v>604</v>
      </c>
      <c r="M87">
        <v>240</v>
      </c>
      <c r="N87">
        <f t="shared" si="19"/>
        <v>364</v>
      </c>
    </row>
    <row r="88" spans="1:14" x14ac:dyDescent="0.2">
      <c r="A88" t="s">
        <v>237</v>
      </c>
      <c r="B88" s="1" t="s">
        <v>224</v>
      </c>
      <c r="C88" t="s">
        <v>14</v>
      </c>
      <c r="D88" t="s">
        <v>238</v>
      </c>
      <c r="E88">
        <v>16</v>
      </c>
      <c r="F88" t="s">
        <v>17</v>
      </c>
      <c r="G88">
        <v>2022</v>
      </c>
      <c r="H88" t="s">
        <v>104</v>
      </c>
      <c r="I88" t="s">
        <v>62</v>
      </c>
      <c r="J88">
        <v>799</v>
      </c>
      <c r="K88">
        <v>205</v>
      </c>
      <c r="L88">
        <f t="shared" si="18"/>
        <v>594</v>
      </c>
      <c r="M88">
        <v>240</v>
      </c>
      <c r="N88">
        <f t="shared" si="19"/>
        <v>354</v>
      </c>
    </row>
    <row r="89" spans="1:14" x14ac:dyDescent="0.2">
      <c r="A89" t="s">
        <v>239</v>
      </c>
      <c r="B89" s="1" t="s">
        <v>224</v>
      </c>
      <c r="C89" t="s">
        <v>43</v>
      </c>
      <c r="D89" t="s">
        <v>81</v>
      </c>
      <c r="E89">
        <v>16</v>
      </c>
      <c r="F89" t="s">
        <v>17</v>
      </c>
      <c r="G89">
        <v>2022</v>
      </c>
      <c r="H89" t="s">
        <v>240</v>
      </c>
      <c r="I89" t="s">
        <v>62</v>
      </c>
      <c r="J89">
        <v>0</v>
      </c>
      <c r="K89">
        <v>0</v>
      </c>
      <c r="L89">
        <v>0</v>
      </c>
      <c r="M89">
        <v>0</v>
      </c>
      <c r="N89">
        <v>0</v>
      </c>
    </row>
    <row r="90" spans="1:14" x14ac:dyDescent="0.2">
      <c r="A90" t="s">
        <v>241</v>
      </c>
      <c r="B90" s="1" t="s">
        <v>224</v>
      </c>
      <c r="C90" t="s">
        <v>43</v>
      </c>
      <c r="D90" t="s">
        <v>242</v>
      </c>
      <c r="E90">
        <v>16</v>
      </c>
      <c r="F90" t="s">
        <v>17</v>
      </c>
      <c r="G90">
        <v>2022</v>
      </c>
      <c r="H90" t="s">
        <v>243</v>
      </c>
      <c r="I90" t="s">
        <v>122</v>
      </c>
      <c r="J90">
        <v>0</v>
      </c>
      <c r="K90">
        <v>0</v>
      </c>
      <c r="L90">
        <v>0</v>
      </c>
      <c r="M90">
        <v>0</v>
      </c>
      <c r="N90">
        <v>0</v>
      </c>
    </row>
    <row r="91" spans="1:14" x14ac:dyDescent="0.2">
      <c r="A91" t="s">
        <v>213</v>
      </c>
      <c r="B91" s="1" t="s">
        <v>187</v>
      </c>
      <c r="C91" t="s">
        <v>106</v>
      </c>
      <c r="D91" t="s">
        <v>214</v>
      </c>
      <c r="E91">
        <v>13</v>
      </c>
      <c r="F91" t="s">
        <v>17</v>
      </c>
      <c r="G91">
        <v>2022</v>
      </c>
      <c r="H91" t="s">
        <v>215</v>
      </c>
      <c r="I91" t="s">
        <v>135</v>
      </c>
      <c r="J91">
        <v>-799</v>
      </c>
      <c r="K91">
        <v>320</v>
      </c>
      <c r="L91">
        <f t="shared" ref="L91:L95" si="20">J91+K91</f>
        <v>-479</v>
      </c>
      <c r="M91">
        <v>240</v>
      </c>
      <c r="N91">
        <f t="shared" ref="N91:N95" si="21">L91+M91</f>
        <v>-239</v>
      </c>
    </row>
    <row r="92" spans="1:14" x14ac:dyDescent="0.2">
      <c r="A92" t="s">
        <v>200</v>
      </c>
      <c r="B92" s="1" t="s">
        <v>199</v>
      </c>
      <c r="C92" t="s">
        <v>106</v>
      </c>
      <c r="D92" t="s">
        <v>201</v>
      </c>
      <c r="E92">
        <v>14</v>
      </c>
      <c r="F92" t="s">
        <v>17</v>
      </c>
      <c r="G92">
        <v>2022</v>
      </c>
      <c r="H92" t="s">
        <v>202</v>
      </c>
      <c r="I92" t="s">
        <v>203</v>
      </c>
      <c r="J92">
        <v>-899</v>
      </c>
      <c r="K92">
        <v>375</v>
      </c>
      <c r="L92">
        <f t="shared" si="20"/>
        <v>-524</v>
      </c>
      <c r="M92">
        <v>240</v>
      </c>
      <c r="N92">
        <f t="shared" si="21"/>
        <v>-284</v>
      </c>
    </row>
    <row r="93" spans="1:14" x14ac:dyDescent="0.2">
      <c r="A93" t="s">
        <v>204</v>
      </c>
      <c r="B93" s="1" t="s">
        <v>187</v>
      </c>
      <c r="C93" t="s">
        <v>106</v>
      </c>
      <c r="D93" t="s">
        <v>88</v>
      </c>
      <c r="E93">
        <v>13</v>
      </c>
      <c r="F93" t="s">
        <v>17</v>
      </c>
      <c r="G93">
        <v>2022</v>
      </c>
      <c r="H93" t="s">
        <v>205</v>
      </c>
      <c r="I93" t="s">
        <v>23</v>
      </c>
      <c r="J93">
        <v>-999</v>
      </c>
      <c r="K93">
        <v>395</v>
      </c>
      <c r="L93">
        <f t="shared" si="20"/>
        <v>-604</v>
      </c>
      <c r="M93">
        <v>240</v>
      </c>
      <c r="N93">
        <f t="shared" si="21"/>
        <v>-364</v>
      </c>
    </row>
    <row r="94" spans="1:14" x14ac:dyDescent="0.2">
      <c r="A94" t="s">
        <v>165</v>
      </c>
      <c r="B94" s="1" t="s">
        <v>137</v>
      </c>
      <c r="C94" t="s">
        <v>106</v>
      </c>
      <c r="D94" t="s">
        <v>166</v>
      </c>
      <c r="E94">
        <v>10</v>
      </c>
      <c r="F94" t="s">
        <v>17</v>
      </c>
      <c r="G94">
        <v>2022</v>
      </c>
      <c r="H94" t="s">
        <v>84</v>
      </c>
      <c r="I94" t="s">
        <v>85</v>
      </c>
      <c r="J94">
        <v>-849</v>
      </c>
      <c r="K94">
        <v>345</v>
      </c>
      <c r="L94">
        <f t="shared" si="20"/>
        <v>-504</v>
      </c>
      <c r="M94">
        <v>240</v>
      </c>
      <c r="N94">
        <f t="shared" si="21"/>
        <v>-264</v>
      </c>
    </row>
    <row r="95" spans="1:14" x14ac:dyDescent="0.2">
      <c r="A95" t="s">
        <v>119</v>
      </c>
      <c r="B95" s="1" t="s">
        <v>113</v>
      </c>
      <c r="C95" t="s">
        <v>106</v>
      </c>
      <c r="D95" t="s">
        <v>120</v>
      </c>
      <c r="E95">
        <v>7</v>
      </c>
      <c r="F95" t="s">
        <v>17</v>
      </c>
      <c r="G95">
        <v>2022</v>
      </c>
      <c r="H95" t="s">
        <v>121</v>
      </c>
      <c r="I95" t="s">
        <v>122</v>
      </c>
      <c r="J95">
        <v>-849</v>
      </c>
      <c r="K95">
        <v>345</v>
      </c>
      <c r="L95">
        <f t="shared" si="20"/>
        <v>-504</v>
      </c>
      <c r="M95">
        <v>240</v>
      </c>
      <c r="N95">
        <f t="shared" si="21"/>
        <v>-264</v>
      </c>
    </row>
    <row r="96" spans="1:14" x14ac:dyDescent="0.2">
      <c r="A96" t="s">
        <v>245</v>
      </c>
      <c r="B96" s="1" t="s">
        <v>244</v>
      </c>
      <c r="C96" t="s">
        <v>14</v>
      </c>
      <c r="D96" t="s">
        <v>207</v>
      </c>
      <c r="E96">
        <v>17</v>
      </c>
      <c r="F96" t="s">
        <v>17</v>
      </c>
      <c r="G96">
        <v>2022</v>
      </c>
      <c r="H96" t="s">
        <v>246</v>
      </c>
      <c r="I96" t="s">
        <v>58</v>
      </c>
      <c r="J96">
        <v>999</v>
      </c>
      <c r="K96">
        <v>325</v>
      </c>
      <c r="L96">
        <f t="shared" ref="L96:L104" si="22">J96-K96</f>
        <v>674</v>
      </c>
      <c r="M96">
        <v>240</v>
      </c>
      <c r="N96">
        <f t="shared" ref="N96:N104" si="23">L96-M96</f>
        <v>434</v>
      </c>
    </row>
    <row r="97" spans="1:14" x14ac:dyDescent="0.2">
      <c r="A97" t="s">
        <v>247</v>
      </c>
      <c r="B97" s="1" t="s">
        <v>244</v>
      </c>
      <c r="C97" t="s">
        <v>14</v>
      </c>
      <c r="D97" t="s">
        <v>248</v>
      </c>
      <c r="E97">
        <v>17</v>
      </c>
      <c r="F97" t="s">
        <v>17</v>
      </c>
      <c r="G97">
        <v>2022</v>
      </c>
      <c r="H97" t="s">
        <v>249</v>
      </c>
      <c r="I97" t="s">
        <v>250</v>
      </c>
      <c r="J97">
        <v>799</v>
      </c>
      <c r="K97">
        <v>205</v>
      </c>
      <c r="L97">
        <f t="shared" si="22"/>
        <v>594</v>
      </c>
      <c r="M97">
        <v>240</v>
      </c>
      <c r="N97">
        <f t="shared" si="23"/>
        <v>354</v>
      </c>
    </row>
    <row r="98" spans="1:14" x14ac:dyDescent="0.2">
      <c r="A98" t="s">
        <v>251</v>
      </c>
      <c r="B98" s="1" t="s">
        <v>224</v>
      </c>
      <c r="C98" t="s">
        <v>14</v>
      </c>
      <c r="D98" t="s">
        <v>142</v>
      </c>
      <c r="E98">
        <v>16</v>
      </c>
      <c r="F98" t="s">
        <v>17</v>
      </c>
      <c r="G98">
        <v>2022</v>
      </c>
      <c r="H98" t="s">
        <v>252</v>
      </c>
      <c r="I98" t="s">
        <v>253</v>
      </c>
      <c r="J98">
        <v>999</v>
      </c>
      <c r="K98">
        <v>325</v>
      </c>
      <c r="L98">
        <f t="shared" si="22"/>
        <v>674</v>
      </c>
      <c r="M98">
        <v>240</v>
      </c>
      <c r="N98">
        <f t="shared" si="23"/>
        <v>434</v>
      </c>
    </row>
    <row r="99" spans="1:14" x14ac:dyDescent="0.2">
      <c r="A99" t="s">
        <v>254</v>
      </c>
      <c r="B99" s="1" t="s">
        <v>224</v>
      </c>
      <c r="C99" t="s">
        <v>14</v>
      </c>
      <c r="D99" t="s">
        <v>67</v>
      </c>
      <c r="E99">
        <v>16</v>
      </c>
      <c r="F99" t="s">
        <v>17</v>
      </c>
      <c r="G99">
        <v>2022</v>
      </c>
      <c r="H99" t="s">
        <v>235</v>
      </c>
      <c r="I99" t="s">
        <v>62</v>
      </c>
      <c r="J99">
        <v>899</v>
      </c>
      <c r="K99">
        <v>295</v>
      </c>
      <c r="L99">
        <f t="shared" si="22"/>
        <v>604</v>
      </c>
      <c r="M99">
        <v>240</v>
      </c>
      <c r="N99">
        <f t="shared" si="23"/>
        <v>364</v>
      </c>
    </row>
    <row r="100" spans="1:14" x14ac:dyDescent="0.2">
      <c r="A100" t="s">
        <v>255</v>
      </c>
      <c r="B100" s="1" t="s">
        <v>224</v>
      </c>
      <c r="C100" t="s">
        <v>14</v>
      </c>
      <c r="D100" t="s">
        <v>67</v>
      </c>
      <c r="E100">
        <v>16</v>
      </c>
      <c r="F100" t="s">
        <v>17</v>
      </c>
      <c r="G100">
        <v>2022</v>
      </c>
      <c r="H100" t="s">
        <v>256</v>
      </c>
      <c r="I100" t="s">
        <v>257</v>
      </c>
      <c r="J100">
        <v>899</v>
      </c>
      <c r="K100">
        <v>295</v>
      </c>
      <c r="L100">
        <f t="shared" si="22"/>
        <v>604</v>
      </c>
      <c r="M100">
        <v>240</v>
      </c>
      <c r="N100">
        <f t="shared" si="23"/>
        <v>364</v>
      </c>
    </row>
    <row r="101" spans="1:14" x14ac:dyDescent="0.2">
      <c r="A101" t="s">
        <v>258</v>
      </c>
      <c r="B101" s="1" t="s">
        <v>224</v>
      </c>
      <c r="C101" t="s">
        <v>14</v>
      </c>
      <c r="D101" t="s">
        <v>259</v>
      </c>
      <c r="E101">
        <v>16</v>
      </c>
      <c r="F101" t="s">
        <v>17</v>
      </c>
      <c r="G101">
        <v>2022</v>
      </c>
      <c r="H101" t="s">
        <v>260</v>
      </c>
      <c r="I101" t="s">
        <v>28</v>
      </c>
      <c r="J101">
        <v>849</v>
      </c>
      <c r="K101">
        <v>250</v>
      </c>
      <c r="L101">
        <f t="shared" si="22"/>
        <v>599</v>
      </c>
      <c r="M101">
        <v>240</v>
      </c>
      <c r="N101">
        <f t="shared" si="23"/>
        <v>359</v>
      </c>
    </row>
    <row r="102" spans="1:14" x14ac:dyDescent="0.2">
      <c r="A102" t="s">
        <v>239</v>
      </c>
      <c r="B102" s="1" t="s">
        <v>224</v>
      </c>
      <c r="C102" t="s">
        <v>14</v>
      </c>
      <c r="D102" t="s">
        <v>67</v>
      </c>
      <c r="E102">
        <v>16</v>
      </c>
      <c r="F102" t="s">
        <v>17</v>
      </c>
      <c r="G102">
        <v>2022</v>
      </c>
      <c r="H102" t="s">
        <v>240</v>
      </c>
      <c r="I102" t="s">
        <v>62</v>
      </c>
      <c r="J102">
        <v>899</v>
      </c>
      <c r="K102">
        <v>295</v>
      </c>
      <c r="L102">
        <f t="shared" si="22"/>
        <v>604</v>
      </c>
      <c r="M102">
        <v>240</v>
      </c>
      <c r="N102">
        <f t="shared" si="23"/>
        <v>364</v>
      </c>
    </row>
    <row r="103" spans="1:14" x14ac:dyDescent="0.2">
      <c r="A103" t="s">
        <v>261</v>
      </c>
      <c r="B103" s="1" t="s">
        <v>224</v>
      </c>
      <c r="C103" t="s">
        <v>14</v>
      </c>
      <c r="D103" t="s">
        <v>67</v>
      </c>
      <c r="E103">
        <v>16</v>
      </c>
      <c r="F103" t="s">
        <v>17</v>
      </c>
      <c r="G103">
        <v>2022</v>
      </c>
      <c r="H103" t="s">
        <v>157</v>
      </c>
      <c r="I103" t="s">
        <v>97</v>
      </c>
      <c r="J103">
        <v>899</v>
      </c>
      <c r="K103">
        <v>295</v>
      </c>
      <c r="L103">
        <f t="shared" si="22"/>
        <v>604</v>
      </c>
      <c r="M103">
        <v>240</v>
      </c>
      <c r="N103">
        <f t="shared" si="23"/>
        <v>364</v>
      </c>
    </row>
    <row r="104" spans="1:14" x14ac:dyDescent="0.2">
      <c r="A104" t="s">
        <v>262</v>
      </c>
      <c r="B104" s="1" t="s">
        <v>244</v>
      </c>
      <c r="C104" t="s">
        <v>14</v>
      </c>
      <c r="D104" t="s">
        <v>67</v>
      </c>
      <c r="E104">
        <v>17</v>
      </c>
      <c r="F104" t="s">
        <v>17</v>
      </c>
      <c r="G104">
        <v>2022</v>
      </c>
      <c r="H104" t="s">
        <v>263</v>
      </c>
      <c r="I104" t="s">
        <v>144</v>
      </c>
      <c r="J104">
        <v>899</v>
      </c>
      <c r="K104">
        <v>295</v>
      </c>
      <c r="L104">
        <f t="shared" si="22"/>
        <v>604</v>
      </c>
      <c r="M104">
        <v>240</v>
      </c>
      <c r="N104">
        <f t="shared" si="23"/>
        <v>364</v>
      </c>
    </row>
    <row r="105" spans="1:14" x14ac:dyDescent="0.2">
      <c r="A105" t="s">
        <v>265</v>
      </c>
      <c r="B105" s="1" t="s">
        <v>264</v>
      </c>
      <c r="C105" t="s">
        <v>43</v>
      </c>
      <c r="D105" t="s">
        <v>266</v>
      </c>
      <c r="E105">
        <v>19</v>
      </c>
      <c r="F105" t="s">
        <v>17</v>
      </c>
      <c r="G105">
        <v>2022</v>
      </c>
      <c r="H105" t="s">
        <v>198</v>
      </c>
      <c r="I105" t="s">
        <v>32</v>
      </c>
      <c r="J105">
        <v>0</v>
      </c>
      <c r="K105">
        <v>0</v>
      </c>
      <c r="L105">
        <v>0</v>
      </c>
      <c r="M105">
        <v>0</v>
      </c>
      <c r="N105">
        <v>0</v>
      </c>
    </row>
    <row r="106" spans="1:14" x14ac:dyDescent="0.2">
      <c r="A106" t="s">
        <v>268</v>
      </c>
      <c r="B106" s="1" t="s">
        <v>267</v>
      </c>
      <c r="C106" t="s">
        <v>14</v>
      </c>
      <c r="D106" t="s">
        <v>269</v>
      </c>
      <c r="E106">
        <v>18</v>
      </c>
      <c r="F106" t="s">
        <v>17</v>
      </c>
      <c r="G106">
        <v>2022</v>
      </c>
      <c r="H106" t="s">
        <v>150</v>
      </c>
      <c r="I106" t="s">
        <v>62</v>
      </c>
      <c r="J106">
        <v>999</v>
      </c>
      <c r="K106">
        <v>325</v>
      </c>
      <c r="L106">
        <f t="shared" ref="L106:L112" si="24">J106-K106</f>
        <v>674</v>
      </c>
      <c r="M106">
        <v>240</v>
      </c>
      <c r="N106">
        <f t="shared" ref="N106:N112" si="25">L106-M106</f>
        <v>434</v>
      </c>
    </row>
    <row r="107" spans="1:14" x14ac:dyDescent="0.2">
      <c r="A107" t="s">
        <v>270</v>
      </c>
      <c r="B107" s="1" t="s">
        <v>267</v>
      </c>
      <c r="C107" t="s">
        <v>14</v>
      </c>
      <c r="D107" t="s">
        <v>271</v>
      </c>
      <c r="E107">
        <v>18</v>
      </c>
      <c r="F107" t="s">
        <v>17</v>
      </c>
      <c r="G107">
        <v>2022</v>
      </c>
      <c r="H107" t="s">
        <v>272</v>
      </c>
      <c r="I107" t="s">
        <v>23</v>
      </c>
      <c r="J107">
        <v>799</v>
      </c>
      <c r="K107">
        <v>205</v>
      </c>
      <c r="L107">
        <f t="shared" si="24"/>
        <v>594</v>
      </c>
      <c r="M107">
        <v>240</v>
      </c>
      <c r="N107">
        <f t="shared" si="25"/>
        <v>354</v>
      </c>
    </row>
    <row r="108" spans="1:14" x14ac:dyDescent="0.2">
      <c r="A108" t="s">
        <v>273</v>
      </c>
      <c r="B108" s="1" t="s">
        <v>267</v>
      </c>
      <c r="C108" t="s">
        <v>14</v>
      </c>
      <c r="D108" t="s">
        <v>274</v>
      </c>
      <c r="E108">
        <v>18</v>
      </c>
      <c r="F108" t="s">
        <v>17</v>
      </c>
      <c r="G108">
        <v>2022</v>
      </c>
      <c r="H108" t="s">
        <v>275</v>
      </c>
      <c r="I108" t="s">
        <v>62</v>
      </c>
      <c r="J108">
        <v>799</v>
      </c>
      <c r="K108">
        <v>205</v>
      </c>
      <c r="L108">
        <f t="shared" si="24"/>
        <v>594</v>
      </c>
      <c r="M108">
        <v>240</v>
      </c>
      <c r="N108">
        <f t="shared" si="25"/>
        <v>354</v>
      </c>
    </row>
    <row r="109" spans="1:14" x14ac:dyDescent="0.2">
      <c r="A109" t="s">
        <v>265</v>
      </c>
      <c r="B109" s="1" t="s">
        <v>264</v>
      </c>
      <c r="C109" t="s">
        <v>14</v>
      </c>
      <c r="D109" t="s">
        <v>266</v>
      </c>
      <c r="E109">
        <v>19</v>
      </c>
      <c r="F109" t="s">
        <v>17</v>
      </c>
      <c r="G109">
        <v>2022</v>
      </c>
      <c r="H109" t="s">
        <v>198</v>
      </c>
      <c r="I109" t="s">
        <v>32</v>
      </c>
      <c r="J109">
        <v>799</v>
      </c>
      <c r="K109">
        <v>205</v>
      </c>
      <c r="L109">
        <f t="shared" si="24"/>
        <v>594</v>
      </c>
      <c r="M109">
        <v>240</v>
      </c>
      <c r="N109">
        <f t="shared" si="25"/>
        <v>354</v>
      </c>
    </row>
    <row r="110" spans="1:14" x14ac:dyDescent="0.2">
      <c r="A110" t="s">
        <v>276</v>
      </c>
      <c r="B110" s="1" t="s">
        <v>267</v>
      </c>
      <c r="C110" t="s">
        <v>14</v>
      </c>
      <c r="D110" t="s">
        <v>26</v>
      </c>
      <c r="E110">
        <v>18</v>
      </c>
      <c r="F110" t="s">
        <v>17</v>
      </c>
      <c r="G110">
        <v>2022</v>
      </c>
      <c r="H110" t="s">
        <v>243</v>
      </c>
      <c r="I110" t="s">
        <v>122</v>
      </c>
      <c r="J110">
        <v>999</v>
      </c>
      <c r="K110">
        <v>325</v>
      </c>
      <c r="L110">
        <f t="shared" si="24"/>
        <v>674</v>
      </c>
      <c r="M110">
        <v>240</v>
      </c>
      <c r="N110">
        <f t="shared" si="25"/>
        <v>434</v>
      </c>
    </row>
    <row r="111" spans="1:14" x14ac:dyDescent="0.2">
      <c r="A111" t="s">
        <v>277</v>
      </c>
      <c r="B111" s="1" t="s">
        <v>267</v>
      </c>
      <c r="C111" t="s">
        <v>14</v>
      </c>
      <c r="D111" t="s">
        <v>269</v>
      </c>
      <c r="E111">
        <v>18</v>
      </c>
      <c r="F111" t="s">
        <v>17</v>
      </c>
      <c r="G111">
        <v>2022</v>
      </c>
      <c r="H111" t="s">
        <v>278</v>
      </c>
      <c r="I111" t="s">
        <v>19</v>
      </c>
      <c r="J111">
        <v>999</v>
      </c>
      <c r="K111">
        <v>325</v>
      </c>
      <c r="L111">
        <f t="shared" si="24"/>
        <v>674</v>
      </c>
      <c r="M111">
        <v>240</v>
      </c>
      <c r="N111">
        <f t="shared" si="25"/>
        <v>434</v>
      </c>
    </row>
    <row r="112" spans="1:14" x14ac:dyDescent="0.2">
      <c r="A112" t="s">
        <v>279</v>
      </c>
      <c r="B112" s="1" t="s">
        <v>267</v>
      </c>
      <c r="C112" t="s">
        <v>14</v>
      </c>
      <c r="D112" t="s">
        <v>166</v>
      </c>
      <c r="E112">
        <v>18</v>
      </c>
      <c r="F112" t="s">
        <v>17</v>
      </c>
      <c r="G112">
        <v>2022</v>
      </c>
      <c r="H112" t="s">
        <v>170</v>
      </c>
      <c r="I112" t="s">
        <v>171</v>
      </c>
      <c r="J112">
        <v>849</v>
      </c>
      <c r="K112">
        <v>250</v>
      </c>
      <c r="L112">
        <f t="shared" si="24"/>
        <v>599</v>
      </c>
      <c r="M112">
        <v>240</v>
      </c>
      <c r="N112">
        <f t="shared" si="25"/>
        <v>359</v>
      </c>
    </row>
    <row r="113" spans="1:14" x14ac:dyDescent="0.2">
      <c r="A113" t="s">
        <v>280</v>
      </c>
      <c r="B113" s="1" t="s">
        <v>264</v>
      </c>
      <c r="C113" t="s">
        <v>20</v>
      </c>
      <c r="D113" t="s">
        <v>192</v>
      </c>
      <c r="E113">
        <v>19</v>
      </c>
      <c r="F113" t="s">
        <v>17</v>
      </c>
      <c r="G113">
        <v>2022</v>
      </c>
      <c r="H113" t="s">
        <v>193</v>
      </c>
      <c r="I113" t="s">
        <v>62</v>
      </c>
      <c r="J113">
        <v>0</v>
      </c>
      <c r="K113">
        <v>0</v>
      </c>
      <c r="L113">
        <v>0</v>
      </c>
      <c r="M113">
        <v>0</v>
      </c>
      <c r="N113">
        <v>0</v>
      </c>
    </row>
    <row r="114" spans="1:14" x14ac:dyDescent="0.2">
      <c r="A114" t="s">
        <v>281</v>
      </c>
      <c r="B114" s="1" t="s">
        <v>244</v>
      </c>
      <c r="C114" t="s">
        <v>14</v>
      </c>
      <c r="D114" t="s">
        <v>282</v>
      </c>
      <c r="E114">
        <v>17</v>
      </c>
      <c r="F114" t="s">
        <v>17</v>
      </c>
      <c r="G114">
        <v>2022</v>
      </c>
      <c r="H114" t="s">
        <v>31</v>
      </c>
      <c r="I114" t="s">
        <v>32</v>
      </c>
      <c r="J114">
        <v>999</v>
      </c>
      <c r="K114">
        <v>325</v>
      </c>
      <c r="L114">
        <f>J114-K114</f>
        <v>674</v>
      </c>
      <c r="M114">
        <v>240</v>
      </c>
      <c r="N114">
        <f>L114-M114</f>
        <v>434</v>
      </c>
    </row>
    <row r="115" spans="1:14" x14ac:dyDescent="0.2">
      <c r="A115" t="s">
        <v>283</v>
      </c>
      <c r="B115" s="1" t="s">
        <v>264</v>
      </c>
      <c r="C115" t="s">
        <v>43</v>
      </c>
      <c r="D115" t="s">
        <v>284</v>
      </c>
      <c r="E115">
        <v>19</v>
      </c>
      <c r="F115" t="s">
        <v>17</v>
      </c>
      <c r="G115">
        <v>2022</v>
      </c>
      <c r="H115" t="s">
        <v>196</v>
      </c>
      <c r="I115" t="s">
        <v>62</v>
      </c>
      <c r="J115">
        <v>0</v>
      </c>
      <c r="K115">
        <v>0</v>
      </c>
      <c r="L115">
        <v>0</v>
      </c>
      <c r="M115">
        <v>0</v>
      </c>
      <c r="N115">
        <v>0</v>
      </c>
    </row>
    <row r="116" spans="1:14" x14ac:dyDescent="0.2">
      <c r="A116" t="s">
        <v>286</v>
      </c>
      <c r="B116" s="1" t="s">
        <v>285</v>
      </c>
      <c r="C116" t="s">
        <v>43</v>
      </c>
      <c r="D116" t="s">
        <v>81</v>
      </c>
      <c r="E116">
        <v>20</v>
      </c>
      <c r="F116" t="s">
        <v>17</v>
      </c>
      <c r="G116">
        <v>2022</v>
      </c>
      <c r="H116" t="s">
        <v>157</v>
      </c>
      <c r="I116" t="s">
        <v>97</v>
      </c>
      <c r="J116">
        <v>0</v>
      </c>
      <c r="K116">
        <v>0</v>
      </c>
      <c r="L116">
        <v>0</v>
      </c>
      <c r="M116">
        <v>0</v>
      </c>
      <c r="N116">
        <v>0</v>
      </c>
    </row>
    <row r="117" spans="1:14" x14ac:dyDescent="0.2">
      <c r="A117" t="s">
        <v>228</v>
      </c>
      <c r="B117" s="1" t="s">
        <v>219</v>
      </c>
      <c r="C117" t="s">
        <v>106</v>
      </c>
      <c r="D117" t="s">
        <v>67</v>
      </c>
      <c r="E117">
        <v>15</v>
      </c>
      <c r="F117" t="s">
        <v>17</v>
      </c>
      <c r="G117">
        <v>2022</v>
      </c>
      <c r="H117" t="s">
        <v>104</v>
      </c>
      <c r="I117" t="s">
        <v>62</v>
      </c>
      <c r="J117">
        <v>-899</v>
      </c>
      <c r="K117">
        <v>375</v>
      </c>
      <c r="L117">
        <f>J117+K117</f>
        <v>-524</v>
      </c>
      <c r="M117">
        <v>240</v>
      </c>
      <c r="N117">
        <f>L117+M117</f>
        <v>-284</v>
      </c>
    </row>
    <row r="118" spans="1:14" x14ac:dyDescent="0.2">
      <c r="A118" t="s">
        <v>287</v>
      </c>
      <c r="B118" s="1" t="s">
        <v>264</v>
      </c>
      <c r="C118" t="s">
        <v>14</v>
      </c>
      <c r="D118" t="s">
        <v>288</v>
      </c>
      <c r="E118">
        <v>19</v>
      </c>
      <c r="F118" t="s">
        <v>17</v>
      </c>
      <c r="G118">
        <v>2022</v>
      </c>
      <c r="H118" t="s">
        <v>208</v>
      </c>
      <c r="I118" t="s">
        <v>97</v>
      </c>
      <c r="J118">
        <v>849</v>
      </c>
      <c r="K118">
        <v>250</v>
      </c>
      <c r="L118">
        <f t="shared" ref="L118:L123" si="26">J118-K118</f>
        <v>599</v>
      </c>
      <c r="M118">
        <v>240</v>
      </c>
      <c r="N118">
        <f t="shared" ref="N118:N123" si="27">L118-M118</f>
        <v>359</v>
      </c>
    </row>
    <row r="119" spans="1:14" x14ac:dyDescent="0.2">
      <c r="A119" t="s">
        <v>289</v>
      </c>
      <c r="B119" s="1" t="s">
        <v>264</v>
      </c>
      <c r="C119" t="s">
        <v>14</v>
      </c>
      <c r="D119" t="s">
        <v>56</v>
      </c>
      <c r="E119">
        <v>19</v>
      </c>
      <c r="F119" t="s">
        <v>17</v>
      </c>
      <c r="G119">
        <v>2022</v>
      </c>
      <c r="H119" t="s">
        <v>170</v>
      </c>
      <c r="I119" t="s">
        <v>171</v>
      </c>
      <c r="J119">
        <v>849</v>
      </c>
      <c r="K119">
        <v>250</v>
      </c>
      <c r="L119">
        <f t="shared" si="26"/>
        <v>599</v>
      </c>
      <c r="M119">
        <v>240</v>
      </c>
      <c r="N119">
        <f t="shared" si="27"/>
        <v>359</v>
      </c>
    </row>
    <row r="120" spans="1:14" x14ac:dyDescent="0.2">
      <c r="A120" t="s">
        <v>290</v>
      </c>
      <c r="B120" s="1" t="s">
        <v>264</v>
      </c>
      <c r="C120" t="s">
        <v>14</v>
      </c>
      <c r="D120" t="s">
        <v>142</v>
      </c>
      <c r="E120">
        <v>19</v>
      </c>
      <c r="F120" t="s">
        <v>17</v>
      </c>
      <c r="G120">
        <v>2022</v>
      </c>
      <c r="H120" t="s">
        <v>196</v>
      </c>
      <c r="I120" t="s">
        <v>62</v>
      </c>
      <c r="J120">
        <v>999</v>
      </c>
      <c r="K120">
        <v>325</v>
      </c>
      <c r="L120">
        <f t="shared" si="26"/>
        <v>674</v>
      </c>
      <c r="M120">
        <v>240</v>
      </c>
      <c r="N120">
        <f t="shared" si="27"/>
        <v>434</v>
      </c>
    </row>
    <row r="121" spans="1:14" x14ac:dyDescent="0.2">
      <c r="A121" t="s">
        <v>291</v>
      </c>
      <c r="B121" s="1" t="s">
        <v>264</v>
      </c>
      <c r="C121" t="s">
        <v>14</v>
      </c>
      <c r="D121" t="s">
        <v>292</v>
      </c>
      <c r="E121">
        <v>19</v>
      </c>
      <c r="F121" t="s">
        <v>17</v>
      </c>
      <c r="G121">
        <v>2022</v>
      </c>
      <c r="H121" t="s">
        <v>246</v>
      </c>
      <c r="I121" t="s">
        <v>58</v>
      </c>
      <c r="J121">
        <v>799</v>
      </c>
      <c r="K121">
        <v>205</v>
      </c>
      <c r="L121">
        <f t="shared" si="26"/>
        <v>594</v>
      </c>
      <c r="M121">
        <v>240</v>
      </c>
      <c r="N121">
        <f t="shared" si="27"/>
        <v>354</v>
      </c>
    </row>
    <row r="122" spans="1:14" x14ac:dyDescent="0.2">
      <c r="A122" t="s">
        <v>293</v>
      </c>
      <c r="B122" s="1" t="s">
        <v>285</v>
      </c>
      <c r="C122" t="s">
        <v>14</v>
      </c>
      <c r="D122" t="s">
        <v>294</v>
      </c>
      <c r="E122">
        <v>20</v>
      </c>
      <c r="F122" t="s">
        <v>17</v>
      </c>
      <c r="G122">
        <v>2022</v>
      </c>
      <c r="H122" t="s">
        <v>246</v>
      </c>
      <c r="I122" t="s">
        <v>58</v>
      </c>
      <c r="J122">
        <v>999</v>
      </c>
      <c r="K122">
        <v>325</v>
      </c>
      <c r="L122">
        <f t="shared" si="26"/>
        <v>674</v>
      </c>
      <c r="M122">
        <v>240</v>
      </c>
      <c r="N122">
        <f t="shared" si="27"/>
        <v>434</v>
      </c>
    </row>
    <row r="123" spans="1:14" x14ac:dyDescent="0.2">
      <c r="A123" t="s">
        <v>295</v>
      </c>
      <c r="B123" s="1" t="s">
        <v>285</v>
      </c>
      <c r="C123" t="s">
        <v>14</v>
      </c>
      <c r="D123" t="s">
        <v>16</v>
      </c>
      <c r="E123">
        <v>20</v>
      </c>
      <c r="F123" t="s">
        <v>17</v>
      </c>
      <c r="G123">
        <v>2022</v>
      </c>
      <c r="H123" t="s">
        <v>296</v>
      </c>
      <c r="I123" t="s">
        <v>85</v>
      </c>
      <c r="J123">
        <v>999</v>
      </c>
      <c r="K123">
        <v>325</v>
      </c>
      <c r="L123">
        <f t="shared" si="26"/>
        <v>674</v>
      </c>
      <c r="M123">
        <v>240</v>
      </c>
      <c r="N123">
        <f t="shared" si="27"/>
        <v>434</v>
      </c>
    </row>
    <row r="124" spans="1:14" x14ac:dyDescent="0.2">
      <c r="A124" t="s">
        <v>72</v>
      </c>
      <c r="B124" s="1" t="s">
        <v>59</v>
      </c>
      <c r="C124" t="s">
        <v>106</v>
      </c>
      <c r="D124" t="s">
        <v>73</v>
      </c>
      <c r="E124">
        <v>4</v>
      </c>
      <c r="F124" t="s">
        <v>17</v>
      </c>
      <c r="G124">
        <v>2022</v>
      </c>
      <c r="H124" t="s">
        <v>74</v>
      </c>
      <c r="I124" t="s">
        <v>28</v>
      </c>
      <c r="J124">
        <v>-849</v>
      </c>
      <c r="K124">
        <v>345</v>
      </c>
      <c r="L124">
        <f t="shared" ref="L124:L125" si="28">J124+K124</f>
        <v>-504</v>
      </c>
      <c r="M124">
        <v>240</v>
      </c>
      <c r="N124">
        <f t="shared" ref="N124:N125" si="29">L124+M124</f>
        <v>-264</v>
      </c>
    </row>
    <row r="125" spans="1:14" x14ac:dyDescent="0.2">
      <c r="A125" t="s">
        <v>69</v>
      </c>
      <c r="B125" s="1" t="s">
        <v>24</v>
      </c>
      <c r="C125" t="s">
        <v>106</v>
      </c>
      <c r="D125" t="s">
        <v>70</v>
      </c>
      <c r="E125">
        <v>2</v>
      </c>
      <c r="F125" t="s">
        <v>17</v>
      </c>
      <c r="G125">
        <v>2022</v>
      </c>
      <c r="H125" t="s">
        <v>71</v>
      </c>
      <c r="I125" t="s">
        <v>62</v>
      </c>
      <c r="J125">
        <v>-849</v>
      </c>
      <c r="K125">
        <v>345</v>
      </c>
      <c r="L125">
        <f t="shared" si="28"/>
        <v>-504</v>
      </c>
      <c r="M125">
        <v>240</v>
      </c>
      <c r="N125">
        <f t="shared" si="29"/>
        <v>-264</v>
      </c>
    </row>
    <row r="126" spans="1:14" x14ac:dyDescent="0.2">
      <c r="A126" t="s">
        <v>298</v>
      </c>
      <c r="B126" s="1" t="s">
        <v>297</v>
      </c>
      <c r="C126" t="s">
        <v>14</v>
      </c>
      <c r="D126" t="s">
        <v>299</v>
      </c>
      <c r="E126">
        <v>21</v>
      </c>
      <c r="F126" t="s">
        <v>17</v>
      </c>
      <c r="G126">
        <v>2022</v>
      </c>
      <c r="H126" t="s">
        <v>101</v>
      </c>
      <c r="I126" t="s">
        <v>62</v>
      </c>
      <c r="J126">
        <v>799</v>
      </c>
      <c r="K126">
        <v>205</v>
      </c>
      <c r="L126">
        <f t="shared" ref="L126:L129" si="30">J126-K126</f>
        <v>594</v>
      </c>
      <c r="M126">
        <v>240</v>
      </c>
      <c r="N126">
        <f t="shared" ref="N126:N129" si="31">L126-M126</f>
        <v>354</v>
      </c>
    </row>
    <row r="127" spans="1:14" x14ac:dyDescent="0.2">
      <c r="A127" t="s">
        <v>300</v>
      </c>
      <c r="B127" s="1" t="s">
        <v>297</v>
      </c>
      <c r="C127" t="s">
        <v>14</v>
      </c>
      <c r="D127" t="s">
        <v>26</v>
      </c>
      <c r="E127">
        <v>21</v>
      </c>
      <c r="F127" t="s">
        <v>17</v>
      </c>
      <c r="G127">
        <v>2022</v>
      </c>
      <c r="H127" t="s">
        <v>301</v>
      </c>
      <c r="I127" t="s">
        <v>212</v>
      </c>
      <c r="J127">
        <v>999</v>
      </c>
      <c r="K127">
        <v>325</v>
      </c>
      <c r="L127">
        <f t="shared" si="30"/>
        <v>674</v>
      </c>
      <c r="M127">
        <v>240</v>
      </c>
      <c r="N127">
        <f t="shared" si="31"/>
        <v>434</v>
      </c>
    </row>
    <row r="128" spans="1:14" x14ac:dyDescent="0.2">
      <c r="A128" t="s">
        <v>286</v>
      </c>
      <c r="B128" s="1" t="s">
        <v>285</v>
      </c>
      <c r="C128" t="s">
        <v>14</v>
      </c>
      <c r="D128" t="s">
        <v>67</v>
      </c>
      <c r="E128">
        <v>20</v>
      </c>
      <c r="F128" t="s">
        <v>17</v>
      </c>
      <c r="G128">
        <v>2022</v>
      </c>
      <c r="H128" t="s">
        <v>157</v>
      </c>
      <c r="I128" t="s">
        <v>97</v>
      </c>
      <c r="J128">
        <v>899</v>
      </c>
      <c r="K128">
        <v>295</v>
      </c>
      <c r="L128">
        <f t="shared" si="30"/>
        <v>604</v>
      </c>
      <c r="M128">
        <v>240</v>
      </c>
      <c r="N128">
        <f t="shared" si="31"/>
        <v>364</v>
      </c>
    </row>
    <row r="129" spans="1:14" x14ac:dyDescent="0.2">
      <c r="A129" t="s">
        <v>302</v>
      </c>
      <c r="B129" s="1" t="s">
        <v>297</v>
      </c>
      <c r="C129" t="s">
        <v>14</v>
      </c>
      <c r="D129" t="s">
        <v>303</v>
      </c>
      <c r="E129">
        <v>21</v>
      </c>
      <c r="F129" t="s">
        <v>17</v>
      </c>
      <c r="G129">
        <v>2022</v>
      </c>
      <c r="H129" t="s">
        <v>104</v>
      </c>
      <c r="I129" t="s">
        <v>62</v>
      </c>
      <c r="J129">
        <v>849</v>
      </c>
      <c r="K129">
        <v>250</v>
      </c>
      <c r="L129">
        <f t="shared" si="30"/>
        <v>599</v>
      </c>
      <c r="M129">
        <v>240</v>
      </c>
      <c r="N129">
        <f t="shared" si="31"/>
        <v>359</v>
      </c>
    </row>
    <row r="130" spans="1:14" x14ac:dyDescent="0.2">
      <c r="A130" t="s">
        <v>216</v>
      </c>
      <c r="B130" s="1" t="s">
        <v>187</v>
      </c>
      <c r="C130" t="s">
        <v>106</v>
      </c>
      <c r="D130" t="s">
        <v>67</v>
      </c>
      <c r="E130">
        <v>13</v>
      </c>
      <c r="F130" t="s">
        <v>17</v>
      </c>
      <c r="G130">
        <v>2022</v>
      </c>
      <c r="H130" t="s">
        <v>217</v>
      </c>
      <c r="I130" t="s">
        <v>135</v>
      </c>
      <c r="J130">
        <v>-899</v>
      </c>
      <c r="K130">
        <v>375</v>
      </c>
      <c r="L130">
        <f t="shared" ref="L130:L134" si="32">J130+K130</f>
        <v>-524</v>
      </c>
      <c r="M130">
        <v>240</v>
      </c>
      <c r="N130">
        <f t="shared" ref="N130:N134" si="33">L130+M130</f>
        <v>-284</v>
      </c>
    </row>
    <row r="131" spans="1:14" x14ac:dyDescent="0.2">
      <c r="A131" t="s">
        <v>210</v>
      </c>
      <c r="B131" s="1" t="s">
        <v>187</v>
      </c>
      <c r="C131" t="s">
        <v>106</v>
      </c>
      <c r="D131" t="s">
        <v>67</v>
      </c>
      <c r="E131">
        <v>13</v>
      </c>
      <c r="F131" t="s">
        <v>17</v>
      </c>
      <c r="G131">
        <v>2022</v>
      </c>
      <c r="H131" t="s">
        <v>211</v>
      </c>
      <c r="I131" t="s">
        <v>212</v>
      </c>
      <c r="J131">
        <v>-899</v>
      </c>
      <c r="K131">
        <v>375</v>
      </c>
      <c r="L131">
        <f t="shared" si="32"/>
        <v>-524</v>
      </c>
      <c r="M131">
        <v>240</v>
      </c>
      <c r="N131">
        <f t="shared" si="33"/>
        <v>-284</v>
      </c>
    </row>
    <row r="132" spans="1:14" x14ac:dyDescent="0.2">
      <c r="A132" t="s">
        <v>188</v>
      </c>
      <c r="B132" s="1" t="s">
        <v>187</v>
      </c>
      <c r="C132" t="s">
        <v>106</v>
      </c>
      <c r="D132" t="s">
        <v>189</v>
      </c>
      <c r="E132">
        <v>13</v>
      </c>
      <c r="F132" t="s">
        <v>17</v>
      </c>
      <c r="G132">
        <v>2022</v>
      </c>
      <c r="H132" t="s">
        <v>190</v>
      </c>
      <c r="I132" t="s">
        <v>23</v>
      </c>
      <c r="J132">
        <v>-999</v>
      </c>
      <c r="K132">
        <v>395</v>
      </c>
      <c r="L132">
        <f t="shared" si="32"/>
        <v>-604</v>
      </c>
      <c r="M132">
        <v>240</v>
      </c>
      <c r="N132">
        <f t="shared" si="33"/>
        <v>-364</v>
      </c>
    </row>
    <row r="133" spans="1:14" x14ac:dyDescent="0.2">
      <c r="A133" t="s">
        <v>279</v>
      </c>
      <c r="B133" s="1" t="s">
        <v>267</v>
      </c>
      <c r="C133" t="s">
        <v>106</v>
      </c>
      <c r="D133" t="s">
        <v>166</v>
      </c>
      <c r="E133">
        <v>18</v>
      </c>
      <c r="F133" t="s">
        <v>17</v>
      </c>
      <c r="G133">
        <v>2022</v>
      </c>
      <c r="H133" t="s">
        <v>170</v>
      </c>
      <c r="I133" t="s">
        <v>171</v>
      </c>
      <c r="J133">
        <v>-849</v>
      </c>
      <c r="K133">
        <v>345</v>
      </c>
      <c r="L133">
        <f t="shared" si="32"/>
        <v>-504</v>
      </c>
      <c r="M133">
        <v>240</v>
      </c>
      <c r="N133">
        <f t="shared" si="33"/>
        <v>-264</v>
      </c>
    </row>
    <row r="134" spans="1:14" x14ac:dyDescent="0.2">
      <c r="A134" t="s">
        <v>237</v>
      </c>
      <c r="B134" s="1" t="s">
        <v>224</v>
      </c>
      <c r="C134" t="s">
        <v>106</v>
      </c>
      <c r="D134" t="s">
        <v>238</v>
      </c>
      <c r="E134">
        <v>16</v>
      </c>
      <c r="F134" t="s">
        <v>17</v>
      </c>
      <c r="G134">
        <v>2022</v>
      </c>
      <c r="H134" t="s">
        <v>104</v>
      </c>
      <c r="I134" t="s">
        <v>62</v>
      </c>
      <c r="J134">
        <v>-799</v>
      </c>
      <c r="K134">
        <v>320</v>
      </c>
      <c r="L134">
        <f t="shared" si="32"/>
        <v>-479</v>
      </c>
      <c r="M134">
        <v>240</v>
      </c>
      <c r="N134">
        <f t="shared" si="33"/>
        <v>-239</v>
      </c>
    </row>
    <row r="135" spans="1:14" x14ac:dyDescent="0.2">
      <c r="A135" t="s">
        <v>304</v>
      </c>
      <c r="B135" s="1" t="s">
        <v>297</v>
      </c>
      <c r="C135" t="s">
        <v>14</v>
      </c>
      <c r="D135" t="s">
        <v>305</v>
      </c>
      <c r="E135">
        <v>21</v>
      </c>
      <c r="F135" t="s">
        <v>17</v>
      </c>
      <c r="G135">
        <v>2022</v>
      </c>
      <c r="H135" t="s">
        <v>162</v>
      </c>
      <c r="I135" t="s">
        <v>163</v>
      </c>
      <c r="J135">
        <v>799</v>
      </c>
      <c r="K135">
        <v>205</v>
      </c>
      <c r="L135">
        <f>J135-K135</f>
        <v>594</v>
      </c>
      <c r="M135">
        <v>240</v>
      </c>
      <c r="N135">
        <f>L135-M135</f>
        <v>354</v>
      </c>
    </row>
    <row r="136" spans="1:14" x14ac:dyDescent="0.2">
      <c r="A136" t="s">
        <v>307</v>
      </c>
      <c r="B136" s="1" t="s">
        <v>306</v>
      </c>
      <c r="C136" t="s">
        <v>43</v>
      </c>
      <c r="D136" t="s">
        <v>308</v>
      </c>
      <c r="E136">
        <v>22</v>
      </c>
      <c r="F136" t="s">
        <v>17</v>
      </c>
      <c r="G136">
        <v>2022</v>
      </c>
      <c r="H136" t="s">
        <v>309</v>
      </c>
      <c r="I136" t="s">
        <v>212</v>
      </c>
      <c r="J136">
        <v>0</v>
      </c>
      <c r="K136">
        <v>0</v>
      </c>
      <c r="L136">
        <v>0</v>
      </c>
      <c r="M136">
        <v>0</v>
      </c>
      <c r="N136">
        <v>0</v>
      </c>
    </row>
    <row r="137" spans="1:14" x14ac:dyDescent="0.2">
      <c r="A137" t="s">
        <v>310</v>
      </c>
      <c r="B137" s="1" t="s">
        <v>306</v>
      </c>
      <c r="C137" t="s">
        <v>43</v>
      </c>
      <c r="D137" t="s">
        <v>81</v>
      </c>
      <c r="E137">
        <v>22</v>
      </c>
      <c r="F137" t="s">
        <v>17</v>
      </c>
      <c r="G137">
        <v>2022</v>
      </c>
      <c r="H137" t="s">
        <v>311</v>
      </c>
      <c r="I137" t="s">
        <v>28</v>
      </c>
      <c r="J137">
        <v>0</v>
      </c>
      <c r="K137">
        <v>0</v>
      </c>
      <c r="L137">
        <v>0</v>
      </c>
      <c r="M137">
        <v>0</v>
      </c>
      <c r="N137">
        <v>0</v>
      </c>
    </row>
    <row r="138" spans="1:14" x14ac:dyDescent="0.2">
      <c r="A138" t="s">
        <v>222</v>
      </c>
      <c r="B138" s="1" t="s">
        <v>199</v>
      </c>
      <c r="C138" t="s">
        <v>106</v>
      </c>
      <c r="D138" t="s">
        <v>33</v>
      </c>
      <c r="E138">
        <v>14</v>
      </c>
      <c r="F138" t="s">
        <v>17</v>
      </c>
      <c r="G138">
        <v>2022</v>
      </c>
      <c r="H138" t="s">
        <v>223</v>
      </c>
      <c r="I138" t="s">
        <v>32</v>
      </c>
      <c r="J138">
        <v>-849</v>
      </c>
      <c r="K138">
        <v>345</v>
      </c>
      <c r="L138">
        <f>J138+K138</f>
        <v>-504</v>
      </c>
      <c r="M138">
        <v>240</v>
      </c>
      <c r="N138">
        <f>L138+M138</f>
        <v>-264</v>
      </c>
    </row>
    <row r="139" spans="1:14" x14ac:dyDescent="0.2">
      <c r="A139" t="s">
        <v>307</v>
      </c>
      <c r="B139" s="1" t="s">
        <v>306</v>
      </c>
      <c r="C139" t="s">
        <v>14</v>
      </c>
      <c r="D139" t="s">
        <v>51</v>
      </c>
      <c r="E139">
        <v>22</v>
      </c>
      <c r="F139" t="s">
        <v>17</v>
      </c>
      <c r="G139">
        <v>2022</v>
      </c>
      <c r="H139" t="s">
        <v>309</v>
      </c>
      <c r="I139" t="s">
        <v>212</v>
      </c>
      <c r="J139">
        <v>999</v>
      </c>
      <c r="K139">
        <v>325</v>
      </c>
      <c r="L139">
        <f t="shared" ref="L139:L142" si="34">J139-K139</f>
        <v>674</v>
      </c>
      <c r="M139">
        <v>240</v>
      </c>
      <c r="N139">
        <f t="shared" ref="N139:N142" si="35">L139-M139</f>
        <v>434</v>
      </c>
    </row>
    <row r="140" spans="1:14" x14ac:dyDescent="0.2">
      <c r="A140" t="s">
        <v>312</v>
      </c>
      <c r="B140" s="1" t="s">
        <v>306</v>
      </c>
      <c r="C140" t="s">
        <v>14</v>
      </c>
      <c r="D140" t="s">
        <v>238</v>
      </c>
      <c r="E140">
        <v>22</v>
      </c>
      <c r="F140" t="s">
        <v>17</v>
      </c>
      <c r="G140">
        <v>2022</v>
      </c>
      <c r="H140" t="s">
        <v>104</v>
      </c>
      <c r="I140" t="s">
        <v>62</v>
      </c>
      <c r="J140">
        <v>799</v>
      </c>
      <c r="K140">
        <v>205</v>
      </c>
      <c r="L140">
        <f t="shared" si="34"/>
        <v>594</v>
      </c>
      <c r="M140">
        <v>240</v>
      </c>
      <c r="N140">
        <f t="shared" si="35"/>
        <v>354</v>
      </c>
    </row>
    <row r="141" spans="1:14" x14ac:dyDescent="0.2">
      <c r="A141" t="s">
        <v>310</v>
      </c>
      <c r="B141" s="1" t="s">
        <v>306</v>
      </c>
      <c r="C141" t="s">
        <v>14</v>
      </c>
      <c r="D141" t="s">
        <v>67</v>
      </c>
      <c r="E141">
        <v>22</v>
      </c>
      <c r="F141" t="s">
        <v>17</v>
      </c>
      <c r="G141">
        <v>2022</v>
      </c>
      <c r="H141" t="s">
        <v>311</v>
      </c>
      <c r="I141" t="s">
        <v>28</v>
      </c>
      <c r="J141">
        <v>899</v>
      </c>
      <c r="K141">
        <v>295</v>
      </c>
      <c r="L141">
        <f t="shared" si="34"/>
        <v>604</v>
      </c>
      <c r="M141">
        <v>240</v>
      </c>
      <c r="N141">
        <f t="shared" si="35"/>
        <v>364</v>
      </c>
    </row>
    <row r="142" spans="1:14" x14ac:dyDescent="0.2">
      <c r="A142" t="s">
        <v>313</v>
      </c>
      <c r="B142" s="1" t="s">
        <v>306</v>
      </c>
      <c r="C142" t="s">
        <v>14</v>
      </c>
      <c r="D142" t="s">
        <v>67</v>
      </c>
      <c r="E142">
        <v>22</v>
      </c>
      <c r="F142" t="s">
        <v>17</v>
      </c>
      <c r="G142">
        <v>2022</v>
      </c>
      <c r="H142" t="s">
        <v>314</v>
      </c>
      <c r="I142" t="s">
        <v>58</v>
      </c>
      <c r="J142">
        <v>899</v>
      </c>
      <c r="K142">
        <v>295</v>
      </c>
      <c r="L142">
        <f t="shared" si="34"/>
        <v>604</v>
      </c>
      <c r="M142">
        <v>240</v>
      </c>
      <c r="N142">
        <f t="shared" si="35"/>
        <v>364</v>
      </c>
    </row>
    <row r="143" spans="1:14" x14ac:dyDescent="0.2">
      <c r="A143" t="s">
        <v>262</v>
      </c>
      <c r="B143" s="1" t="s">
        <v>244</v>
      </c>
      <c r="C143" t="s">
        <v>106</v>
      </c>
      <c r="D143" t="s">
        <v>67</v>
      </c>
      <c r="E143">
        <v>17</v>
      </c>
      <c r="F143" t="s">
        <v>17</v>
      </c>
      <c r="G143">
        <v>2022</v>
      </c>
      <c r="H143" t="s">
        <v>263</v>
      </c>
      <c r="I143" t="s">
        <v>144</v>
      </c>
      <c r="J143">
        <v>-899</v>
      </c>
      <c r="K143">
        <v>375</v>
      </c>
      <c r="L143">
        <f t="shared" ref="L143:L144" si="36">J143+K143</f>
        <v>-524</v>
      </c>
      <c r="M143">
        <v>240</v>
      </c>
      <c r="N143">
        <f t="shared" ref="N143:N144" si="37">L143+M143</f>
        <v>-284</v>
      </c>
    </row>
    <row r="144" spans="1:14" x14ac:dyDescent="0.2">
      <c r="A144" t="s">
        <v>254</v>
      </c>
      <c r="B144" s="1" t="s">
        <v>224</v>
      </c>
      <c r="C144" t="s">
        <v>106</v>
      </c>
      <c r="D144" t="s">
        <v>67</v>
      </c>
      <c r="E144">
        <v>16</v>
      </c>
      <c r="F144" t="s">
        <v>17</v>
      </c>
      <c r="G144">
        <v>2022</v>
      </c>
      <c r="H144" t="s">
        <v>235</v>
      </c>
      <c r="I144" t="s">
        <v>62</v>
      </c>
      <c r="J144">
        <v>-899</v>
      </c>
      <c r="K144">
        <v>375</v>
      </c>
      <c r="L144">
        <f t="shared" si="36"/>
        <v>-524</v>
      </c>
      <c r="M144">
        <v>240</v>
      </c>
      <c r="N144">
        <f t="shared" si="37"/>
        <v>-284</v>
      </c>
    </row>
    <row r="145" spans="1:14" x14ac:dyDescent="0.2">
      <c r="A145" t="s">
        <v>316</v>
      </c>
      <c r="B145" s="1" t="s">
        <v>315</v>
      </c>
      <c r="C145" t="s">
        <v>43</v>
      </c>
      <c r="D145" t="s">
        <v>70</v>
      </c>
      <c r="E145">
        <v>24</v>
      </c>
      <c r="F145" t="s">
        <v>17</v>
      </c>
      <c r="G145">
        <v>2022</v>
      </c>
      <c r="H145" t="s">
        <v>317</v>
      </c>
      <c r="I145" t="s">
        <v>28</v>
      </c>
      <c r="J145">
        <v>0</v>
      </c>
      <c r="K145">
        <v>0</v>
      </c>
      <c r="L145">
        <v>0</v>
      </c>
      <c r="M145">
        <v>0</v>
      </c>
      <c r="N145">
        <v>0</v>
      </c>
    </row>
    <row r="146" spans="1:14" x14ac:dyDescent="0.2">
      <c r="A146" t="s">
        <v>276</v>
      </c>
      <c r="B146" s="1" t="s">
        <v>267</v>
      </c>
      <c r="C146" t="s">
        <v>106</v>
      </c>
      <c r="D146" t="s">
        <v>26</v>
      </c>
      <c r="E146">
        <v>18</v>
      </c>
      <c r="F146" t="s">
        <v>17</v>
      </c>
      <c r="G146">
        <v>2022</v>
      </c>
      <c r="H146" t="s">
        <v>243</v>
      </c>
      <c r="I146" t="s">
        <v>122</v>
      </c>
      <c r="J146">
        <v>-999</v>
      </c>
      <c r="K146">
        <v>395</v>
      </c>
      <c r="L146">
        <f>J146+K146</f>
        <v>-604</v>
      </c>
      <c r="M146">
        <v>240</v>
      </c>
      <c r="N146">
        <f>L146+M146</f>
        <v>-364</v>
      </c>
    </row>
    <row r="147" spans="1:14" x14ac:dyDescent="0.2">
      <c r="A147" t="s">
        <v>319</v>
      </c>
      <c r="B147" s="1" t="s">
        <v>318</v>
      </c>
      <c r="C147" t="s">
        <v>14</v>
      </c>
      <c r="D147" t="s">
        <v>48</v>
      </c>
      <c r="E147">
        <v>23</v>
      </c>
      <c r="F147" t="s">
        <v>17</v>
      </c>
      <c r="G147">
        <v>2022</v>
      </c>
      <c r="H147" t="s">
        <v>320</v>
      </c>
      <c r="I147" t="s">
        <v>58</v>
      </c>
      <c r="J147">
        <v>999</v>
      </c>
      <c r="K147">
        <v>325</v>
      </c>
      <c r="L147">
        <f t="shared" ref="L147:L150" si="38">J147-K147</f>
        <v>674</v>
      </c>
      <c r="M147">
        <v>240</v>
      </c>
      <c r="N147">
        <f t="shared" ref="N147:N150" si="39">L147-M147</f>
        <v>434</v>
      </c>
    </row>
    <row r="148" spans="1:14" x14ac:dyDescent="0.2">
      <c r="A148" t="s">
        <v>321</v>
      </c>
      <c r="B148" s="1" t="s">
        <v>318</v>
      </c>
      <c r="C148" t="s">
        <v>14</v>
      </c>
      <c r="D148" t="s">
        <v>67</v>
      </c>
      <c r="E148">
        <v>23</v>
      </c>
      <c r="F148" t="s">
        <v>17</v>
      </c>
      <c r="G148">
        <v>2022</v>
      </c>
      <c r="H148" t="s">
        <v>49</v>
      </c>
      <c r="I148" t="s">
        <v>32</v>
      </c>
      <c r="J148">
        <v>899</v>
      </c>
      <c r="K148">
        <v>295</v>
      </c>
      <c r="L148">
        <f t="shared" si="38"/>
        <v>604</v>
      </c>
      <c r="M148">
        <v>240</v>
      </c>
      <c r="N148">
        <f t="shared" si="39"/>
        <v>364</v>
      </c>
    </row>
    <row r="149" spans="1:14" x14ac:dyDescent="0.2">
      <c r="A149" t="s">
        <v>321</v>
      </c>
      <c r="B149" s="1" t="s">
        <v>318</v>
      </c>
      <c r="C149" t="s">
        <v>14</v>
      </c>
      <c r="D149" t="s">
        <v>322</v>
      </c>
      <c r="E149">
        <v>23</v>
      </c>
      <c r="F149" t="s">
        <v>17</v>
      </c>
      <c r="G149">
        <v>2022</v>
      </c>
      <c r="H149" t="s">
        <v>49</v>
      </c>
      <c r="I149" t="s">
        <v>32</v>
      </c>
      <c r="J149">
        <v>849</v>
      </c>
      <c r="K149">
        <v>250</v>
      </c>
      <c r="L149">
        <f t="shared" si="38"/>
        <v>599</v>
      </c>
      <c r="M149">
        <v>240</v>
      </c>
      <c r="N149">
        <f t="shared" si="39"/>
        <v>359</v>
      </c>
    </row>
    <row r="150" spans="1:14" x14ac:dyDescent="0.2">
      <c r="A150" t="s">
        <v>323</v>
      </c>
      <c r="B150" s="1" t="s">
        <v>318</v>
      </c>
      <c r="C150" t="s">
        <v>14</v>
      </c>
      <c r="D150" t="s">
        <v>324</v>
      </c>
      <c r="E150">
        <v>23</v>
      </c>
      <c r="F150" t="s">
        <v>17</v>
      </c>
      <c r="G150">
        <v>2022</v>
      </c>
      <c r="H150" t="s">
        <v>157</v>
      </c>
      <c r="I150" t="s">
        <v>97</v>
      </c>
      <c r="J150">
        <v>1698</v>
      </c>
      <c r="K150">
        <v>407</v>
      </c>
      <c r="L150">
        <f t="shared" si="38"/>
        <v>1291</v>
      </c>
      <c r="M150">
        <v>240</v>
      </c>
      <c r="N150">
        <f t="shared" si="39"/>
        <v>1051</v>
      </c>
    </row>
    <row r="151" spans="1:14" x14ac:dyDescent="0.2">
      <c r="A151" t="s">
        <v>287</v>
      </c>
      <c r="B151" s="1" t="s">
        <v>264</v>
      </c>
      <c r="C151" t="s">
        <v>106</v>
      </c>
      <c r="D151" t="s">
        <v>288</v>
      </c>
      <c r="E151">
        <v>19</v>
      </c>
      <c r="F151" t="s">
        <v>17</v>
      </c>
      <c r="G151">
        <v>2022</v>
      </c>
      <c r="H151" t="s">
        <v>208</v>
      </c>
      <c r="I151" t="s">
        <v>97</v>
      </c>
      <c r="J151">
        <v>-849</v>
      </c>
      <c r="K151">
        <v>345</v>
      </c>
      <c r="L151">
        <f t="shared" ref="L151:L152" si="40">J151+K151</f>
        <v>-504</v>
      </c>
      <c r="M151">
        <v>240</v>
      </c>
      <c r="N151">
        <f t="shared" ref="N151:N152" si="41">L151+M151</f>
        <v>-264</v>
      </c>
    </row>
    <row r="152" spans="1:14" x14ac:dyDescent="0.2">
      <c r="A152" t="s">
        <v>323</v>
      </c>
      <c r="B152" s="1" t="s">
        <v>318</v>
      </c>
      <c r="C152" t="s">
        <v>106</v>
      </c>
      <c r="D152" t="s">
        <v>324</v>
      </c>
      <c r="E152">
        <v>23</v>
      </c>
      <c r="F152" t="s">
        <v>17</v>
      </c>
      <c r="G152">
        <v>2022</v>
      </c>
      <c r="H152" t="s">
        <v>157</v>
      </c>
      <c r="I152" t="s">
        <v>97</v>
      </c>
      <c r="J152">
        <v>-1698</v>
      </c>
      <c r="K152">
        <v>425</v>
      </c>
      <c r="L152">
        <f t="shared" si="40"/>
        <v>-1273</v>
      </c>
      <c r="M152">
        <v>240</v>
      </c>
      <c r="N152">
        <f t="shared" si="41"/>
        <v>-1033</v>
      </c>
    </row>
    <row r="153" spans="1:14" x14ac:dyDescent="0.2">
      <c r="A153" t="s">
        <v>325</v>
      </c>
      <c r="B153" s="1" t="s">
        <v>315</v>
      </c>
      <c r="C153" t="s">
        <v>14</v>
      </c>
      <c r="D153" t="s">
        <v>76</v>
      </c>
      <c r="E153">
        <v>24</v>
      </c>
      <c r="F153" t="s">
        <v>17</v>
      </c>
      <c r="G153">
        <v>2022</v>
      </c>
      <c r="H153" t="s">
        <v>309</v>
      </c>
      <c r="I153" t="s">
        <v>212</v>
      </c>
      <c r="J153">
        <v>799</v>
      </c>
      <c r="K153">
        <v>205</v>
      </c>
      <c r="L153">
        <f t="shared" ref="L153:L154" si="42">J153-K153</f>
        <v>594</v>
      </c>
      <c r="M153">
        <v>240</v>
      </c>
      <c r="N153">
        <f t="shared" ref="N153:N154" si="43">L153-M153</f>
        <v>354</v>
      </c>
    </row>
    <row r="154" spans="1:14" x14ac:dyDescent="0.2">
      <c r="A154" t="s">
        <v>326</v>
      </c>
      <c r="B154" s="1" t="s">
        <v>315</v>
      </c>
      <c r="C154" t="s">
        <v>14</v>
      </c>
      <c r="D154" t="s">
        <v>207</v>
      </c>
      <c r="E154">
        <v>24</v>
      </c>
      <c r="F154" t="s">
        <v>17</v>
      </c>
      <c r="G154">
        <v>2022</v>
      </c>
      <c r="H154" t="s">
        <v>327</v>
      </c>
      <c r="I154" t="s">
        <v>28</v>
      </c>
      <c r="J154">
        <v>999</v>
      </c>
      <c r="K154">
        <v>325</v>
      </c>
      <c r="L154">
        <f t="shared" si="42"/>
        <v>674</v>
      </c>
      <c r="M154">
        <v>240</v>
      </c>
      <c r="N154">
        <f t="shared" si="43"/>
        <v>434</v>
      </c>
    </row>
    <row r="155" spans="1:14" x14ac:dyDescent="0.2">
      <c r="A155" t="s">
        <v>329</v>
      </c>
      <c r="B155" s="1" t="s">
        <v>328</v>
      </c>
      <c r="C155" t="s">
        <v>20</v>
      </c>
      <c r="D155" t="s">
        <v>292</v>
      </c>
      <c r="E155">
        <v>25</v>
      </c>
      <c r="F155" t="s">
        <v>17</v>
      </c>
      <c r="G155">
        <v>2022</v>
      </c>
      <c r="H155" t="s">
        <v>246</v>
      </c>
      <c r="I155" t="s">
        <v>58</v>
      </c>
      <c r="J155">
        <v>0</v>
      </c>
      <c r="K155">
        <v>0</v>
      </c>
      <c r="L155">
        <v>0</v>
      </c>
      <c r="M155">
        <v>0</v>
      </c>
      <c r="N155">
        <v>0</v>
      </c>
    </row>
    <row r="156" spans="1:14" x14ac:dyDescent="0.2">
      <c r="A156" t="s">
        <v>330</v>
      </c>
      <c r="B156" s="1" t="s">
        <v>328</v>
      </c>
      <c r="C156" t="s">
        <v>14</v>
      </c>
      <c r="D156" t="s">
        <v>331</v>
      </c>
      <c r="E156">
        <v>25</v>
      </c>
      <c r="F156" t="s">
        <v>17</v>
      </c>
      <c r="G156">
        <v>2022</v>
      </c>
      <c r="H156" t="s">
        <v>91</v>
      </c>
      <c r="I156" t="s">
        <v>23</v>
      </c>
      <c r="J156">
        <v>799</v>
      </c>
      <c r="K156">
        <v>205</v>
      </c>
      <c r="L156">
        <f>J156-K156</f>
        <v>594</v>
      </c>
      <c r="M156">
        <v>240</v>
      </c>
      <c r="N156">
        <f>L156-M156</f>
        <v>354</v>
      </c>
    </row>
    <row r="157" spans="1:14" x14ac:dyDescent="0.2">
      <c r="A157" t="s">
        <v>108</v>
      </c>
      <c r="B157" s="1" t="s">
        <v>107</v>
      </c>
      <c r="C157" t="s">
        <v>106</v>
      </c>
      <c r="D157" t="s">
        <v>109</v>
      </c>
      <c r="E157">
        <v>8</v>
      </c>
      <c r="F157" t="s">
        <v>17</v>
      </c>
      <c r="G157">
        <v>2022</v>
      </c>
      <c r="H157" t="s">
        <v>110</v>
      </c>
      <c r="I157" t="s">
        <v>23</v>
      </c>
      <c r="J157">
        <v>-849</v>
      </c>
      <c r="K157">
        <v>345</v>
      </c>
      <c r="L157">
        <f t="shared" ref="L157:L158" si="44">J157+K157</f>
        <v>-504</v>
      </c>
      <c r="M157">
        <v>240</v>
      </c>
      <c r="N157">
        <f t="shared" ref="N157:N158" si="45">L157+M157</f>
        <v>-264</v>
      </c>
    </row>
    <row r="158" spans="1:14" x14ac:dyDescent="0.2">
      <c r="A158" t="s">
        <v>220</v>
      </c>
      <c r="B158" s="1" t="s">
        <v>219</v>
      </c>
      <c r="C158" t="s">
        <v>106</v>
      </c>
      <c r="D158" t="s">
        <v>221</v>
      </c>
      <c r="E158">
        <v>15</v>
      </c>
      <c r="F158" t="s">
        <v>17</v>
      </c>
      <c r="G158">
        <v>2022</v>
      </c>
      <c r="H158" t="s">
        <v>157</v>
      </c>
      <c r="I158" t="s">
        <v>97</v>
      </c>
      <c r="J158">
        <v>-849</v>
      </c>
      <c r="K158">
        <v>345</v>
      </c>
      <c r="L158">
        <f t="shared" si="44"/>
        <v>-504</v>
      </c>
      <c r="M158">
        <v>240</v>
      </c>
      <c r="N158">
        <f t="shared" si="45"/>
        <v>-264</v>
      </c>
    </row>
    <row r="159" spans="1:14" x14ac:dyDescent="0.2">
      <c r="A159" t="s">
        <v>333</v>
      </c>
      <c r="B159" s="1" t="s">
        <v>332</v>
      </c>
      <c r="C159" t="s">
        <v>14</v>
      </c>
      <c r="D159" t="s">
        <v>201</v>
      </c>
      <c r="E159">
        <v>26</v>
      </c>
      <c r="F159" t="s">
        <v>17</v>
      </c>
      <c r="G159">
        <v>2022</v>
      </c>
      <c r="H159" t="s">
        <v>334</v>
      </c>
      <c r="I159" t="s">
        <v>85</v>
      </c>
      <c r="J159">
        <v>899</v>
      </c>
      <c r="K159">
        <v>295</v>
      </c>
      <c r="L159">
        <f t="shared" ref="L159:L160" si="46">J159-K159</f>
        <v>604</v>
      </c>
      <c r="M159">
        <v>240</v>
      </c>
      <c r="N159">
        <f t="shared" ref="N159:N160" si="47">L159-M159</f>
        <v>364</v>
      </c>
    </row>
    <row r="160" spans="1:14" x14ac:dyDescent="0.2">
      <c r="A160" t="s">
        <v>335</v>
      </c>
      <c r="B160" s="1" t="s">
        <v>332</v>
      </c>
      <c r="C160" t="s">
        <v>14</v>
      </c>
      <c r="D160" t="s">
        <v>67</v>
      </c>
      <c r="E160">
        <v>26</v>
      </c>
      <c r="F160" t="s">
        <v>17</v>
      </c>
      <c r="G160">
        <v>2022</v>
      </c>
      <c r="H160" t="s">
        <v>336</v>
      </c>
      <c r="I160" t="s">
        <v>58</v>
      </c>
      <c r="J160">
        <v>899</v>
      </c>
      <c r="K160">
        <v>295</v>
      </c>
      <c r="L160">
        <f t="shared" si="46"/>
        <v>604</v>
      </c>
      <c r="M160">
        <v>240</v>
      </c>
      <c r="N160">
        <f t="shared" si="47"/>
        <v>364</v>
      </c>
    </row>
    <row r="161" spans="1:14" x14ac:dyDescent="0.2">
      <c r="A161" t="s">
        <v>289</v>
      </c>
      <c r="B161" s="1" t="s">
        <v>264</v>
      </c>
      <c r="C161" t="s">
        <v>106</v>
      </c>
      <c r="D161" t="s">
        <v>56</v>
      </c>
      <c r="E161">
        <v>19</v>
      </c>
      <c r="F161" t="s">
        <v>17</v>
      </c>
      <c r="G161">
        <v>2022</v>
      </c>
      <c r="H161" t="s">
        <v>170</v>
      </c>
      <c r="I161" t="s">
        <v>171</v>
      </c>
      <c r="J161">
        <v>-849</v>
      </c>
      <c r="K161">
        <v>345</v>
      </c>
      <c r="L161">
        <f t="shared" ref="L161:L162" si="48">J161+K161</f>
        <v>-504</v>
      </c>
      <c r="M161">
        <v>240</v>
      </c>
      <c r="N161">
        <f t="shared" ref="N161:N162" si="49">L161+M161</f>
        <v>-264</v>
      </c>
    </row>
    <row r="162" spans="1:14" x14ac:dyDescent="0.2">
      <c r="A162" t="s">
        <v>302</v>
      </c>
      <c r="B162" s="1" t="s">
        <v>297</v>
      </c>
      <c r="C162" t="s">
        <v>106</v>
      </c>
      <c r="D162" t="s">
        <v>303</v>
      </c>
      <c r="E162">
        <v>21</v>
      </c>
      <c r="F162" t="s">
        <v>17</v>
      </c>
      <c r="G162">
        <v>2022</v>
      </c>
      <c r="H162" t="s">
        <v>104</v>
      </c>
      <c r="I162" t="s">
        <v>62</v>
      </c>
      <c r="J162">
        <v>-849</v>
      </c>
      <c r="K162">
        <v>345</v>
      </c>
      <c r="L162">
        <f t="shared" si="48"/>
        <v>-504</v>
      </c>
      <c r="M162">
        <v>240</v>
      </c>
      <c r="N162">
        <f t="shared" si="49"/>
        <v>-264</v>
      </c>
    </row>
    <row r="163" spans="1:14" x14ac:dyDescent="0.2">
      <c r="A163" t="s">
        <v>337</v>
      </c>
      <c r="B163" s="1" t="s">
        <v>332</v>
      </c>
      <c r="C163" t="s">
        <v>14</v>
      </c>
      <c r="D163" t="s">
        <v>178</v>
      </c>
      <c r="E163">
        <v>26</v>
      </c>
      <c r="F163" t="s">
        <v>17</v>
      </c>
      <c r="G163">
        <v>2022</v>
      </c>
      <c r="H163" t="s">
        <v>173</v>
      </c>
      <c r="I163" t="s">
        <v>62</v>
      </c>
      <c r="J163">
        <v>999</v>
      </c>
      <c r="K163">
        <v>325</v>
      </c>
      <c r="L163">
        <f t="shared" ref="L163:L168" si="50">J163-K163</f>
        <v>674</v>
      </c>
      <c r="M163">
        <v>240</v>
      </c>
      <c r="N163">
        <f t="shared" ref="N163:N168" si="51">L163-M163</f>
        <v>434</v>
      </c>
    </row>
    <row r="164" spans="1:14" x14ac:dyDescent="0.2">
      <c r="A164" t="s">
        <v>338</v>
      </c>
      <c r="B164" s="1" t="s">
        <v>328</v>
      </c>
      <c r="C164" t="s">
        <v>14</v>
      </c>
      <c r="D164" t="s">
        <v>339</v>
      </c>
      <c r="E164">
        <v>25</v>
      </c>
      <c r="F164" t="s">
        <v>17</v>
      </c>
      <c r="G164">
        <v>2022</v>
      </c>
      <c r="H164" t="s">
        <v>340</v>
      </c>
      <c r="I164" t="s">
        <v>62</v>
      </c>
      <c r="J164">
        <v>799</v>
      </c>
      <c r="K164">
        <v>205</v>
      </c>
      <c r="L164">
        <f t="shared" si="50"/>
        <v>594</v>
      </c>
      <c r="M164">
        <v>240</v>
      </c>
      <c r="N164">
        <f t="shared" si="51"/>
        <v>354</v>
      </c>
    </row>
    <row r="165" spans="1:14" x14ac:dyDescent="0.2">
      <c r="A165" t="s">
        <v>342</v>
      </c>
      <c r="B165" s="1" t="s">
        <v>341</v>
      </c>
      <c r="C165" t="s">
        <v>14</v>
      </c>
      <c r="D165" t="s">
        <v>56</v>
      </c>
      <c r="E165">
        <v>27</v>
      </c>
      <c r="F165" t="s">
        <v>17</v>
      </c>
      <c r="G165">
        <v>2022</v>
      </c>
      <c r="H165" t="s">
        <v>272</v>
      </c>
      <c r="I165" t="s">
        <v>23</v>
      </c>
      <c r="J165">
        <v>849</v>
      </c>
      <c r="K165">
        <v>250</v>
      </c>
      <c r="L165">
        <f t="shared" si="50"/>
        <v>599</v>
      </c>
      <c r="M165">
        <v>240</v>
      </c>
      <c r="N165">
        <f t="shared" si="51"/>
        <v>359</v>
      </c>
    </row>
    <row r="166" spans="1:14" x14ac:dyDescent="0.2">
      <c r="A166" t="s">
        <v>343</v>
      </c>
      <c r="B166" s="1" t="s">
        <v>315</v>
      </c>
      <c r="C166" t="s">
        <v>14</v>
      </c>
      <c r="D166" t="s">
        <v>344</v>
      </c>
      <c r="E166">
        <v>24</v>
      </c>
      <c r="F166" t="s">
        <v>17</v>
      </c>
      <c r="G166">
        <v>2022</v>
      </c>
      <c r="H166" t="s">
        <v>345</v>
      </c>
      <c r="I166" t="s">
        <v>62</v>
      </c>
      <c r="J166">
        <v>799</v>
      </c>
      <c r="K166">
        <v>205</v>
      </c>
      <c r="L166">
        <f t="shared" si="50"/>
        <v>594</v>
      </c>
      <c r="M166">
        <v>240</v>
      </c>
      <c r="N166">
        <f t="shared" si="51"/>
        <v>354</v>
      </c>
    </row>
    <row r="167" spans="1:14" x14ac:dyDescent="0.2">
      <c r="A167" t="s">
        <v>346</v>
      </c>
      <c r="B167" s="1" t="s">
        <v>332</v>
      </c>
      <c r="C167" t="s">
        <v>14</v>
      </c>
      <c r="D167" t="s">
        <v>16</v>
      </c>
      <c r="E167">
        <v>26</v>
      </c>
      <c r="F167" t="s">
        <v>17</v>
      </c>
      <c r="G167">
        <v>2022</v>
      </c>
      <c r="H167" t="s">
        <v>68</v>
      </c>
      <c r="I167" t="s">
        <v>62</v>
      </c>
      <c r="J167">
        <v>999</v>
      </c>
      <c r="K167">
        <v>325</v>
      </c>
      <c r="L167">
        <f t="shared" si="50"/>
        <v>674</v>
      </c>
      <c r="M167">
        <v>240</v>
      </c>
      <c r="N167">
        <f t="shared" si="51"/>
        <v>434</v>
      </c>
    </row>
    <row r="168" spans="1:14" x14ac:dyDescent="0.2">
      <c r="A168" t="s">
        <v>347</v>
      </c>
      <c r="B168" s="1" t="s">
        <v>315</v>
      </c>
      <c r="C168" t="s">
        <v>14</v>
      </c>
      <c r="D168" t="s">
        <v>348</v>
      </c>
      <c r="E168">
        <v>24</v>
      </c>
      <c r="F168" t="s">
        <v>17</v>
      </c>
      <c r="G168">
        <v>2022</v>
      </c>
      <c r="H168" t="s">
        <v>104</v>
      </c>
      <c r="I168" t="s">
        <v>62</v>
      </c>
      <c r="J168">
        <v>849</v>
      </c>
      <c r="K168">
        <v>250</v>
      </c>
      <c r="L168">
        <f t="shared" si="50"/>
        <v>599</v>
      </c>
      <c r="M168">
        <v>240</v>
      </c>
      <c r="N168">
        <f t="shared" si="51"/>
        <v>359</v>
      </c>
    </row>
    <row r="169" spans="1:14" x14ac:dyDescent="0.2">
      <c r="A169" t="s">
        <v>313</v>
      </c>
      <c r="B169" s="1" t="s">
        <v>306</v>
      </c>
      <c r="C169" t="s">
        <v>106</v>
      </c>
      <c r="D169" t="s">
        <v>67</v>
      </c>
      <c r="E169">
        <v>22</v>
      </c>
      <c r="F169" t="s">
        <v>17</v>
      </c>
      <c r="G169">
        <v>2022</v>
      </c>
      <c r="H169" t="s">
        <v>314</v>
      </c>
      <c r="I169" t="s">
        <v>58</v>
      </c>
      <c r="J169">
        <v>-899</v>
      </c>
      <c r="K169">
        <v>375</v>
      </c>
      <c r="L169">
        <f>J169+K169</f>
        <v>-524</v>
      </c>
      <c r="M169">
        <v>240</v>
      </c>
      <c r="N169">
        <f>L169+M169</f>
        <v>-284</v>
      </c>
    </row>
    <row r="170" spans="1:14" x14ac:dyDescent="0.2">
      <c r="A170" t="s">
        <v>350</v>
      </c>
      <c r="B170" s="1" t="s">
        <v>349</v>
      </c>
      <c r="C170" t="s">
        <v>14</v>
      </c>
      <c r="D170" t="s">
        <v>33</v>
      </c>
      <c r="E170">
        <v>28</v>
      </c>
      <c r="F170" t="s">
        <v>17</v>
      </c>
      <c r="G170">
        <v>2022</v>
      </c>
      <c r="H170" t="s">
        <v>351</v>
      </c>
      <c r="I170" t="s">
        <v>85</v>
      </c>
      <c r="J170">
        <v>849</v>
      </c>
      <c r="K170">
        <v>250</v>
      </c>
      <c r="L170">
        <f t="shared" ref="L170:L172" si="52">J170-K170</f>
        <v>599</v>
      </c>
      <c r="M170">
        <v>240</v>
      </c>
      <c r="N170">
        <f t="shared" ref="N170:N172" si="53">L170-M170</f>
        <v>359</v>
      </c>
    </row>
    <row r="171" spans="1:14" x14ac:dyDescent="0.2">
      <c r="A171" t="s">
        <v>352</v>
      </c>
      <c r="B171" s="1" t="s">
        <v>341</v>
      </c>
      <c r="C171" t="s">
        <v>14</v>
      </c>
      <c r="D171" t="s">
        <v>30</v>
      </c>
      <c r="E171">
        <v>27</v>
      </c>
      <c r="F171" t="s">
        <v>17</v>
      </c>
      <c r="G171">
        <v>2022</v>
      </c>
      <c r="H171" t="s">
        <v>353</v>
      </c>
      <c r="I171" t="s">
        <v>32</v>
      </c>
      <c r="J171">
        <v>849</v>
      </c>
      <c r="K171">
        <v>250</v>
      </c>
      <c r="L171">
        <f t="shared" si="52"/>
        <v>599</v>
      </c>
      <c r="M171">
        <v>240</v>
      </c>
      <c r="N171">
        <f t="shared" si="53"/>
        <v>359</v>
      </c>
    </row>
    <row r="172" spans="1:14" x14ac:dyDescent="0.2">
      <c r="A172" t="s">
        <v>354</v>
      </c>
      <c r="B172" s="1" t="s">
        <v>349</v>
      </c>
      <c r="C172" t="s">
        <v>14</v>
      </c>
      <c r="D172" t="s">
        <v>355</v>
      </c>
      <c r="E172">
        <v>28</v>
      </c>
      <c r="F172" t="s">
        <v>17</v>
      </c>
      <c r="G172">
        <v>2022</v>
      </c>
      <c r="H172" t="s">
        <v>356</v>
      </c>
      <c r="I172" t="s">
        <v>253</v>
      </c>
      <c r="J172">
        <v>799</v>
      </c>
      <c r="K172">
        <v>205</v>
      </c>
      <c r="L172">
        <f t="shared" si="52"/>
        <v>594</v>
      </c>
      <c r="M172">
        <v>240</v>
      </c>
      <c r="N172">
        <f t="shared" si="53"/>
        <v>354</v>
      </c>
    </row>
    <row r="173" spans="1:14" x14ac:dyDescent="0.2">
      <c r="A173" t="s">
        <v>358</v>
      </c>
      <c r="B173" s="1" t="s">
        <v>357</v>
      </c>
      <c r="C173" t="s">
        <v>43</v>
      </c>
      <c r="D173" t="s">
        <v>81</v>
      </c>
      <c r="E173">
        <v>29</v>
      </c>
      <c r="F173" t="s">
        <v>17</v>
      </c>
      <c r="G173">
        <v>2022</v>
      </c>
      <c r="H173" t="s">
        <v>359</v>
      </c>
      <c r="I173" t="s">
        <v>85</v>
      </c>
      <c r="J173">
        <v>0</v>
      </c>
      <c r="K173">
        <v>0</v>
      </c>
      <c r="L173">
        <v>0</v>
      </c>
      <c r="M173">
        <v>0</v>
      </c>
      <c r="N173">
        <v>0</v>
      </c>
    </row>
    <row r="174" spans="1:14" x14ac:dyDescent="0.2">
      <c r="A174" t="s">
        <v>360</v>
      </c>
      <c r="B174" s="1" t="s">
        <v>349</v>
      </c>
      <c r="C174" t="s">
        <v>43</v>
      </c>
      <c r="D174" t="s">
        <v>81</v>
      </c>
      <c r="E174">
        <v>28</v>
      </c>
      <c r="F174" t="s">
        <v>17</v>
      </c>
      <c r="G174">
        <v>2022</v>
      </c>
      <c r="H174" t="s">
        <v>361</v>
      </c>
      <c r="I174" t="s">
        <v>160</v>
      </c>
      <c r="J174">
        <v>0</v>
      </c>
      <c r="K174">
        <v>0</v>
      </c>
      <c r="L174">
        <v>0</v>
      </c>
      <c r="M174">
        <v>0</v>
      </c>
      <c r="N174">
        <v>0</v>
      </c>
    </row>
    <row r="175" spans="1:14" x14ac:dyDescent="0.2">
      <c r="A175" t="s">
        <v>362</v>
      </c>
      <c r="B175" s="1" t="s">
        <v>357</v>
      </c>
      <c r="C175" t="s">
        <v>20</v>
      </c>
      <c r="D175" t="s">
        <v>282</v>
      </c>
      <c r="E175">
        <v>29</v>
      </c>
      <c r="F175" t="s">
        <v>17</v>
      </c>
      <c r="G175">
        <v>2022</v>
      </c>
      <c r="H175" t="s">
        <v>31</v>
      </c>
      <c r="I175" t="s">
        <v>32</v>
      </c>
      <c r="J175">
        <v>0</v>
      </c>
      <c r="K175">
        <v>0</v>
      </c>
      <c r="L175">
        <v>0</v>
      </c>
      <c r="M175">
        <v>0</v>
      </c>
      <c r="N175">
        <v>0</v>
      </c>
    </row>
    <row r="176" spans="1:14" x14ac:dyDescent="0.2">
      <c r="A176" t="s">
        <v>363</v>
      </c>
      <c r="B176" s="1" t="s">
        <v>357</v>
      </c>
      <c r="C176" t="s">
        <v>14</v>
      </c>
      <c r="D176" t="s">
        <v>67</v>
      </c>
      <c r="E176">
        <v>29</v>
      </c>
      <c r="F176" t="s">
        <v>17</v>
      </c>
      <c r="G176">
        <v>2022</v>
      </c>
      <c r="H176" t="s">
        <v>364</v>
      </c>
      <c r="I176" t="s">
        <v>163</v>
      </c>
      <c r="J176">
        <v>849</v>
      </c>
      <c r="K176">
        <v>250</v>
      </c>
      <c r="L176">
        <f t="shared" ref="L176:L178" si="54">J176-K176</f>
        <v>599</v>
      </c>
      <c r="M176">
        <v>240</v>
      </c>
      <c r="N176">
        <f t="shared" ref="N176:N178" si="55">L176-M176</f>
        <v>359</v>
      </c>
    </row>
    <row r="177" spans="1:14" x14ac:dyDescent="0.2">
      <c r="A177" t="s">
        <v>365</v>
      </c>
      <c r="B177" s="1" t="s">
        <v>357</v>
      </c>
      <c r="C177" t="s">
        <v>14</v>
      </c>
      <c r="D177" t="s">
        <v>305</v>
      </c>
      <c r="E177">
        <v>29</v>
      </c>
      <c r="F177" t="s">
        <v>17</v>
      </c>
      <c r="G177">
        <v>2022</v>
      </c>
      <c r="H177" t="s">
        <v>84</v>
      </c>
      <c r="I177" t="s">
        <v>85</v>
      </c>
      <c r="J177">
        <v>799</v>
      </c>
      <c r="K177">
        <v>205</v>
      </c>
      <c r="L177">
        <f t="shared" si="54"/>
        <v>594</v>
      </c>
      <c r="M177">
        <v>240</v>
      </c>
      <c r="N177">
        <f t="shared" si="55"/>
        <v>354</v>
      </c>
    </row>
    <row r="178" spans="1:14" x14ac:dyDescent="0.2">
      <c r="A178" t="s">
        <v>366</v>
      </c>
      <c r="B178" s="1" t="s">
        <v>357</v>
      </c>
      <c r="C178" t="s">
        <v>14</v>
      </c>
      <c r="D178" t="s">
        <v>201</v>
      </c>
      <c r="E178">
        <v>29</v>
      </c>
      <c r="F178" t="s">
        <v>17</v>
      </c>
      <c r="G178">
        <v>2022</v>
      </c>
      <c r="H178" t="s">
        <v>367</v>
      </c>
      <c r="I178" t="s">
        <v>97</v>
      </c>
      <c r="J178">
        <v>899</v>
      </c>
      <c r="K178">
        <v>295</v>
      </c>
      <c r="L178">
        <f t="shared" si="54"/>
        <v>604</v>
      </c>
      <c r="M178">
        <v>240</v>
      </c>
      <c r="N178">
        <f t="shared" si="55"/>
        <v>364</v>
      </c>
    </row>
    <row r="179" spans="1:14" x14ac:dyDescent="0.2">
      <c r="A179" t="s">
        <v>319</v>
      </c>
      <c r="B179" s="1" t="s">
        <v>318</v>
      </c>
      <c r="C179" t="s">
        <v>106</v>
      </c>
      <c r="D179" t="s">
        <v>48</v>
      </c>
      <c r="E179">
        <v>23</v>
      </c>
      <c r="F179" t="s">
        <v>17</v>
      </c>
      <c r="G179">
        <v>2022</v>
      </c>
      <c r="H179" t="s">
        <v>320</v>
      </c>
      <c r="I179" t="s">
        <v>58</v>
      </c>
      <c r="J179">
        <v>-999</v>
      </c>
      <c r="K179">
        <v>395</v>
      </c>
      <c r="L179">
        <f>J179+K179</f>
        <v>-604</v>
      </c>
      <c r="M179">
        <v>240</v>
      </c>
      <c r="N179">
        <f>L179+M179</f>
        <v>-364</v>
      </c>
    </row>
    <row r="180" spans="1:14" x14ac:dyDescent="0.2">
      <c r="A180" t="s">
        <v>369</v>
      </c>
      <c r="B180" s="1" t="s">
        <v>368</v>
      </c>
      <c r="C180" t="s">
        <v>14</v>
      </c>
      <c r="D180" t="s">
        <v>67</v>
      </c>
      <c r="E180">
        <v>30</v>
      </c>
      <c r="F180" t="s">
        <v>17</v>
      </c>
      <c r="G180">
        <v>2022</v>
      </c>
      <c r="H180" t="s">
        <v>361</v>
      </c>
      <c r="I180" t="s">
        <v>160</v>
      </c>
      <c r="J180">
        <v>849</v>
      </c>
      <c r="K180">
        <v>250</v>
      </c>
      <c r="L180">
        <f t="shared" ref="L180:L186" si="56">J180-K180</f>
        <v>599</v>
      </c>
      <c r="M180">
        <v>240</v>
      </c>
      <c r="N180">
        <f t="shared" ref="N180:N186" si="57">L180-M180</f>
        <v>359</v>
      </c>
    </row>
    <row r="181" spans="1:14" x14ac:dyDescent="0.2">
      <c r="A181" t="s">
        <v>370</v>
      </c>
      <c r="B181" s="1" t="s">
        <v>368</v>
      </c>
      <c r="C181" t="s">
        <v>14</v>
      </c>
      <c r="D181" t="s">
        <v>271</v>
      </c>
      <c r="E181">
        <v>30</v>
      </c>
      <c r="F181" t="s">
        <v>17</v>
      </c>
      <c r="G181">
        <v>2022</v>
      </c>
      <c r="H181" t="s">
        <v>49</v>
      </c>
      <c r="I181" t="s">
        <v>32</v>
      </c>
      <c r="J181">
        <v>799</v>
      </c>
      <c r="K181">
        <v>205</v>
      </c>
      <c r="L181">
        <f t="shared" si="56"/>
        <v>594</v>
      </c>
      <c r="M181">
        <v>240</v>
      </c>
      <c r="N181">
        <f t="shared" si="57"/>
        <v>354</v>
      </c>
    </row>
    <row r="182" spans="1:14" x14ac:dyDescent="0.2">
      <c r="A182" t="s">
        <v>371</v>
      </c>
      <c r="B182" s="1" t="s">
        <v>357</v>
      </c>
      <c r="C182" t="s">
        <v>14</v>
      </c>
      <c r="D182" t="s">
        <v>139</v>
      </c>
      <c r="E182">
        <v>29</v>
      </c>
      <c r="F182" t="s">
        <v>17</v>
      </c>
      <c r="G182">
        <v>2022</v>
      </c>
      <c r="H182" t="s">
        <v>263</v>
      </c>
      <c r="I182" t="s">
        <v>144</v>
      </c>
      <c r="J182">
        <v>849</v>
      </c>
      <c r="K182">
        <v>250</v>
      </c>
      <c r="L182">
        <f t="shared" si="56"/>
        <v>599</v>
      </c>
      <c r="M182">
        <v>240</v>
      </c>
      <c r="N182">
        <f t="shared" si="57"/>
        <v>359</v>
      </c>
    </row>
    <row r="183" spans="1:14" x14ac:dyDescent="0.2">
      <c r="A183" t="s">
        <v>372</v>
      </c>
      <c r="B183" s="1" t="s">
        <v>368</v>
      </c>
      <c r="C183" t="s">
        <v>14</v>
      </c>
      <c r="D183" t="s">
        <v>67</v>
      </c>
      <c r="E183">
        <v>30</v>
      </c>
      <c r="F183" t="s">
        <v>17</v>
      </c>
      <c r="G183">
        <v>2022</v>
      </c>
      <c r="H183" t="s">
        <v>173</v>
      </c>
      <c r="I183" t="s">
        <v>62</v>
      </c>
      <c r="J183">
        <v>849</v>
      </c>
      <c r="K183">
        <v>250</v>
      </c>
      <c r="L183">
        <f t="shared" si="56"/>
        <v>599</v>
      </c>
      <c r="M183">
        <v>240</v>
      </c>
      <c r="N183">
        <f t="shared" si="57"/>
        <v>359</v>
      </c>
    </row>
    <row r="184" spans="1:14" x14ac:dyDescent="0.2">
      <c r="A184" t="s">
        <v>373</v>
      </c>
      <c r="B184" s="1" t="s">
        <v>368</v>
      </c>
      <c r="C184" t="s">
        <v>14</v>
      </c>
      <c r="D184" t="s">
        <v>178</v>
      </c>
      <c r="E184">
        <v>30</v>
      </c>
      <c r="F184" t="s">
        <v>17</v>
      </c>
      <c r="G184">
        <v>2022</v>
      </c>
      <c r="H184" t="s">
        <v>49</v>
      </c>
      <c r="I184" t="s">
        <v>32</v>
      </c>
      <c r="J184">
        <v>999</v>
      </c>
      <c r="K184">
        <v>325</v>
      </c>
      <c r="L184">
        <f t="shared" si="56"/>
        <v>674</v>
      </c>
      <c r="M184">
        <v>240</v>
      </c>
      <c r="N184">
        <f t="shared" si="57"/>
        <v>434</v>
      </c>
    </row>
    <row r="185" spans="1:14" x14ac:dyDescent="0.2">
      <c r="A185" t="s">
        <v>374</v>
      </c>
      <c r="B185" s="1" t="s">
        <v>368</v>
      </c>
      <c r="C185" t="s">
        <v>14</v>
      </c>
      <c r="D185" t="s">
        <v>26</v>
      </c>
      <c r="E185">
        <v>30</v>
      </c>
      <c r="F185" t="s">
        <v>17</v>
      </c>
      <c r="G185">
        <v>2022</v>
      </c>
      <c r="H185" t="s">
        <v>375</v>
      </c>
      <c r="I185" t="s">
        <v>376</v>
      </c>
      <c r="J185">
        <v>999</v>
      </c>
      <c r="K185">
        <v>325</v>
      </c>
      <c r="L185">
        <f t="shared" si="56"/>
        <v>674</v>
      </c>
      <c r="M185">
        <v>240</v>
      </c>
      <c r="N185">
        <f t="shared" si="57"/>
        <v>434</v>
      </c>
    </row>
    <row r="186" spans="1:14" x14ac:dyDescent="0.2">
      <c r="A186" t="s">
        <v>377</v>
      </c>
      <c r="B186" s="1" t="s">
        <v>368</v>
      </c>
      <c r="C186" t="s">
        <v>14</v>
      </c>
      <c r="D186" t="s">
        <v>378</v>
      </c>
      <c r="E186">
        <v>30</v>
      </c>
      <c r="F186" t="s">
        <v>17</v>
      </c>
      <c r="G186">
        <v>2022</v>
      </c>
      <c r="H186" t="s">
        <v>235</v>
      </c>
      <c r="I186" t="s">
        <v>62</v>
      </c>
      <c r="J186">
        <v>799</v>
      </c>
      <c r="K186">
        <v>205</v>
      </c>
      <c r="L186">
        <f t="shared" si="56"/>
        <v>594</v>
      </c>
      <c r="M186">
        <v>240</v>
      </c>
      <c r="N186">
        <f t="shared" si="57"/>
        <v>354</v>
      </c>
    </row>
    <row r="187" spans="1:14" x14ac:dyDescent="0.2">
      <c r="A187" t="s">
        <v>342</v>
      </c>
      <c r="B187" s="1" t="s">
        <v>341</v>
      </c>
      <c r="C187" t="s">
        <v>106</v>
      </c>
      <c r="D187" t="s">
        <v>56</v>
      </c>
      <c r="E187">
        <v>27</v>
      </c>
      <c r="F187" t="s">
        <v>17</v>
      </c>
      <c r="G187">
        <v>2022</v>
      </c>
      <c r="H187" t="s">
        <v>272</v>
      </c>
      <c r="I187" t="s">
        <v>23</v>
      </c>
      <c r="J187">
        <v>-849</v>
      </c>
      <c r="K187">
        <v>345</v>
      </c>
      <c r="L187">
        <f t="shared" ref="L187:L194" si="58">J187+K187</f>
        <v>-504</v>
      </c>
      <c r="M187">
        <v>240</v>
      </c>
      <c r="N187">
        <f t="shared" ref="N187:N194" si="59">L187+M187</f>
        <v>-264</v>
      </c>
    </row>
    <row r="188" spans="1:14" x14ac:dyDescent="0.2">
      <c r="A188" t="s">
        <v>354</v>
      </c>
      <c r="B188" s="1" t="s">
        <v>349</v>
      </c>
      <c r="C188" t="s">
        <v>106</v>
      </c>
      <c r="D188" t="s">
        <v>355</v>
      </c>
      <c r="E188">
        <v>28</v>
      </c>
      <c r="F188" t="s">
        <v>17</v>
      </c>
      <c r="G188">
        <v>2022</v>
      </c>
      <c r="H188" t="s">
        <v>356</v>
      </c>
      <c r="I188" t="s">
        <v>253</v>
      </c>
      <c r="J188">
        <v>-799</v>
      </c>
      <c r="K188">
        <v>320</v>
      </c>
      <c r="L188">
        <f t="shared" si="58"/>
        <v>-479</v>
      </c>
      <c r="M188">
        <v>240</v>
      </c>
      <c r="N188">
        <f t="shared" si="59"/>
        <v>-239</v>
      </c>
    </row>
    <row r="189" spans="1:14" x14ac:dyDescent="0.2">
      <c r="A189" t="s">
        <v>350</v>
      </c>
      <c r="B189" s="1" t="s">
        <v>349</v>
      </c>
      <c r="C189" t="s">
        <v>106</v>
      </c>
      <c r="D189" t="s">
        <v>379</v>
      </c>
      <c r="E189">
        <v>28</v>
      </c>
      <c r="F189" t="s">
        <v>17</v>
      </c>
      <c r="G189">
        <v>2022</v>
      </c>
      <c r="H189" t="s">
        <v>351</v>
      </c>
      <c r="I189" t="s">
        <v>85</v>
      </c>
      <c r="J189">
        <v>-849</v>
      </c>
      <c r="K189">
        <v>345</v>
      </c>
      <c r="L189">
        <f t="shared" si="58"/>
        <v>-504</v>
      </c>
      <c r="M189">
        <v>240</v>
      </c>
      <c r="N189">
        <f t="shared" si="59"/>
        <v>-264</v>
      </c>
    </row>
    <row r="190" spans="1:14" x14ac:dyDescent="0.2">
      <c r="A190" t="s">
        <v>373</v>
      </c>
      <c r="B190" s="1" t="s">
        <v>368</v>
      </c>
      <c r="C190" t="s">
        <v>106</v>
      </c>
      <c r="D190" t="s">
        <v>45</v>
      </c>
      <c r="E190">
        <v>30</v>
      </c>
      <c r="F190" t="s">
        <v>17</v>
      </c>
      <c r="G190">
        <v>2022</v>
      </c>
      <c r="H190" t="s">
        <v>49</v>
      </c>
      <c r="I190" t="s">
        <v>32</v>
      </c>
      <c r="J190">
        <v>-999</v>
      </c>
      <c r="K190">
        <v>395</v>
      </c>
      <c r="L190">
        <f t="shared" si="58"/>
        <v>-604</v>
      </c>
      <c r="M190">
        <v>240</v>
      </c>
      <c r="N190">
        <f t="shared" si="59"/>
        <v>-364</v>
      </c>
    </row>
    <row r="191" spans="1:14" x14ac:dyDescent="0.2">
      <c r="A191" t="s">
        <v>363</v>
      </c>
      <c r="B191" s="1" t="s">
        <v>357</v>
      </c>
      <c r="C191" t="s">
        <v>106</v>
      </c>
      <c r="D191" t="s">
        <v>81</v>
      </c>
      <c r="E191">
        <v>29</v>
      </c>
      <c r="F191" t="s">
        <v>17</v>
      </c>
      <c r="G191">
        <v>2022</v>
      </c>
      <c r="H191" t="s">
        <v>364</v>
      </c>
      <c r="I191" t="s">
        <v>163</v>
      </c>
      <c r="J191">
        <v>-849</v>
      </c>
      <c r="K191">
        <v>345</v>
      </c>
      <c r="L191">
        <f t="shared" si="58"/>
        <v>-504</v>
      </c>
      <c r="M191">
        <v>240</v>
      </c>
      <c r="N191">
        <f t="shared" si="59"/>
        <v>-264</v>
      </c>
    </row>
    <row r="192" spans="1:14" x14ac:dyDescent="0.2">
      <c r="A192" t="s">
        <v>366</v>
      </c>
      <c r="B192" s="1" t="s">
        <v>357</v>
      </c>
      <c r="C192" t="s">
        <v>106</v>
      </c>
      <c r="D192" t="s">
        <v>380</v>
      </c>
      <c r="E192">
        <v>29</v>
      </c>
      <c r="F192" t="s">
        <v>17</v>
      </c>
      <c r="G192">
        <v>2022</v>
      </c>
      <c r="H192" t="s">
        <v>367</v>
      </c>
      <c r="I192" t="s">
        <v>97</v>
      </c>
      <c r="J192">
        <v>-899</v>
      </c>
      <c r="K192">
        <v>375</v>
      </c>
      <c r="L192">
        <f t="shared" si="58"/>
        <v>-524</v>
      </c>
      <c r="M192">
        <v>240</v>
      </c>
      <c r="N192">
        <f t="shared" si="59"/>
        <v>-284</v>
      </c>
    </row>
    <row r="193" spans="1:14" x14ac:dyDescent="0.2">
      <c r="A193" t="s">
        <v>291</v>
      </c>
      <c r="B193" s="1" t="s">
        <v>264</v>
      </c>
      <c r="C193" t="s">
        <v>106</v>
      </c>
      <c r="D193" t="s">
        <v>381</v>
      </c>
      <c r="E193">
        <v>19</v>
      </c>
      <c r="F193" t="s">
        <v>17</v>
      </c>
      <c r="G193">
        <v>2022</v>
      </c>
      <c r="H193" t="s">
        <v>246</v>
      </c>
      <c r="I193" t="s">
        <v>58</v>
      </c>
      <c r="J193">
        <v>-799</v>
      </c>
      <c r="K193">
        <v>320</v>
      </c>
      <c r="L193">
        <f t="shared" si="58"/>
        <v>-479</v>
      </c>
      <c r="M193">
        <v>240</v>
      </c>
      <c r="N193">
        <f t="shared" si="59"/>
        <v>-239</v>
      </c>
    </row>
    <row r="194" spans="1:14" x14ac:dyDescent="0.2">
      <c r="A194" t="s">
        <v>372</v>
      </c>
      <c r="B194" s="1" t="s">
        <v>368</v>
      </c>
      <c r="C194" t="s">
        <v>106</v>
      </c>
      <c r="D194" t="s">
        <v>81</v>
      </c>
      <c r="E194">
        <v>30</v>
      </c>
      <c r="F194" t="s">
        <v>17</v>
      </c>
      <c r="G194">
        <v>2022</v>
      </c>
      <c r="H194" t="s">
        <v>173</v>
      </c>
      <c r="I194" t="s">
        <v>62</v>
      </c>
      <c r="J194">
        <v>-849</v>
      </c>
      <c r="K194">
        <v>345</v>
      </c>
      <c r="L194">
        <f t="shared" si="58"/>
        <v>-504</v>
      </c>
      <c r="M194">
        <v>240</v>
      </c>
      <c r="N194">
        <f t="shared" si="59"/>
        <v>-264</v>
      </c>
    </row>
    <row r="195" spans="1:14" x14ac:dyDescent="0.2">
      <c r="A195" t="s">
        <v>383</v>
      </c>
      <c r="B195" s="1" t="s">
        <v>382</v>
      </c>
      <c r="C195" t="s">
        <v>14</v>
      </c>
      <c r="D195" t="s">
        <v>384</v>
      </c>
      <c r="E195">
        <v>1</v>
      </c>
      <c r="F195" t="s">
        <v>385</v>
      </c>
      <c r="G195">
        <v>2022</v>
      </c>
      <c r="H195" t="s">
        <v>104</v>
      </c>
      <c r="I195" t="s">
        <v>62</v>
      </c>
      <c r="J195">
        <v>799</v>
      </c>
      <c r="K195">
        <v>205</v>
      </c>
      <c r="L195">
        <f t="shared" ref="L195:L197" si="60">J195-K195</f>
        <v>594</v>
      </c>
      <c r="M195">
        <v>240</v>
      </c>
      <c r="N195">
        <f t="shared" ref="N195:N197" si="61">L195-M195</f>
        <v>354</v>
      </c>
    </row>
    <row r="196" spans="1:14" x14ac:dyDescent="0.2">
      <c r="A196" t="s">
        <v>386</v>
      </c>
      <c r="B196" s="1" t="s">
        <v>382</v>
      </c>
      <c r="C196" t="s">
        <v>14</v>
      </c>
      <c r="D196" t="s">
        <v>387</v>
      </c>
      <c r="E196">
        <v>1</v>
      </c>
      <c r="F196" t="s">
        <v>385</v>
      </c>
      <c r="G196">
        <v>2022</v>
      </c>
      <c r="H196" t="s">
        <v>162</v>
      </c>
      <c r="I196" t="s">
        <v>163</v>
      </c>
      <c r="J196">
        <v>849</v>
      </c>
      <c r="K196">
        <v>250</v>
      </c>
      <c r="L196">
        <f t="shared" si="60"/>
        <v>599</v>
      </c>
      <c r="M196">
        <v>240</v>
      </c>
      <c r="N196">
        <f t="shared" si="61"/>
        <v>359</v>
      </c>
    </row>
    <row r="197" spans="1:14" x14ac:dyDescent="0.2">
      <c r="A197" t="s">
        <v>388</v>
      </c>
      <c r="B197" s="1" t="s">
        <v>382</v>
      </c>
      <c r="C197" t="s">
        <v>14</v>
      </c>
      <c r="D197" t="s">
        <v>389</v>
      </c>
      <c r="E197">
        <v>1</v>
      </c>
      <c r="F197" t="s">
        <v>385</v>
      </c>
      <c r="G197">
        <v>2022</v>
      </c>
      <c r="H197" t="s">
        <v>157</v>
      </c>
      <c r="I197" t="s">
        <v>97</v>
      </c>
      <c r="J197">
        <v>799</v>
      </c>
      <c r="K197">
        <v>205</v>
      </c>
      <c r="L197">
        <f t="shared" si="60"/>
        <v>594</v>
      </c>
      <c r="M197">
        <v>240</v>
      </c>
      <c r="N197">
        <f t="shared" si="61"/>
        <v>354</v>
      </c>
    </row>
    <row r="198" spans="1:14" x14ac:dyDescent="0.2">
      <c r="A198" t="s">
        <v>390</v>
      </c>
      <c r="B198" s="1" t="s">
        <v>382</v>
      </c>
      <c r="C198" t="s">
        <v>43</v>
      </c>
      <c r="D198" t="s">
        <v>380</v>
      </c>
      <c r="E198">
        <v>1</v>
      </c>
      <c r="F198" t="s">
        <v>385</v>
      </c>
      <c r="G198">
        <v>2022</v>
      </c>
      <c r="H198" t="s">
        <v>391</v>
      </c>
      <c r="I198" t="s">
        <v>85</v>
      </c>
      <c r="J198">
        <v>0</v>
      </c>
      <c r="K198">
        <v>0</v>
      </c>
      <c r="L198">
        <v>0</v>
      </c>
      <c r="M198">
        <v>0</v>
      </c>
      <c r="N198">
        <v>0</v>
      </c>
    </row>
    <row r="199" spans="1:14" x14ac:dyDescent="0.2">
      <c r="A199" t="s">
        <v>393</v>
      </c>
      <c r="B199" s="1" t="s">
        <v>392</v>
      </c>
      <c r="C199" t="s">
        <v>14</v>
      </c>
      <c r="D199" t="s">
        <v>67</v>
      </c>
      <c r="E199">
        <v>2</v>
      </c>
      <c r="F199" t="s">
        <v>385</v>
      </c>
      <c r="G199">
        <v>2022</v>
      </c>
      <c r="H199" t="s">
        <v>246</v>
      </c>
      <c r="I199" t="s">
        <v>58</v>
      </c>
      <c r="J199">
        <v>849</v>
      </c>
      <c r="K199">
        <v>250</v>
      </c>
      <c r="L199">
        <f t="shared" ref="L199:L208" si="62">J199-K199</f>
        <v>599</v>
      </c>
      <c r="M199">
        <v>240</v>
      </c>
      <c r="N199">
        <f t="shared" ref="N199:N208" si="63">L199-M199</f>
        <v>359</v>
      </c>
    </row>
    <row r="200" spans="1:14" x14ac:dyDescent="0.2">
      <c r="A200" t="s">
        <v>394</v>
      </c>
      <c r="B200" s="1" t="s">
        <v>392</v>
      </c>
      <c r="C200" t="s">
        <v>14</v>
      </c>
      <c r="D200" t="s">
        <v>67</v>
      </c>
      <c r="E200">
        <v>2</v>
      </c>
      <c r="F200" t="s">
        <v>385</v>
      </c>
      <c r="G200">
        <v>2022</v>
      </c>
      <c r="H200" t="s">
        <v>395</v>
      </c>
      <c r="I200" t="s">
        <v>28</v>
      </c>
      <c r="J200">
        <v>849</v>
      </c>
      <c r="K200">
        <v>250</v>
      </c>
      <c r="L200">
        <f t="shared" si="62"/>
        <v>599</v>
      </c>
      <c r="M200">
        <v>240</v>
      </c>
      <c r="N200">
        <f t="shared" si="63"/>
        <v>359</v>
      </c>
    </row>
    <row r="201" spans="1:14" x14ac:dyDescent="0.2">
      <c r="A201" t="s">
        <v>396</v>
      </c>
      <c r="B201" s="1" t="s">
        <v>392</v>
      </c>
      <c r="C201" t="s">
        <v>14</v>
      </c>
      <c r="D201" t="s">
        <v>67</v>
      </c>
      <c r="E201">
        <v>2</v>
      </c>
      <c r="F201" t="s">
        <v>385</v>
      </c>
      <c r="G201">
        <v>2022</v>
      </c>
      <c r="H201" t="s">
        <v>215</v>
      </c>
      <c r="I201" t="s">
        <v>135</v>
      </c>
      <c r="J201">
        <v>849</v>
      </c>
      <c r="K201">
        <v>250</v>
      </c>
      <c r="L201">
        <f t="shared" si="62"/>
        <v>599</v>
      </c>
      <c r="M201">
        <v>240</v>
      </c>
      <c r="N201">
        <f t="shared" si="63"/>
        <v>359</v>
      </c>
    </row>
    <row r="202" spans="1:14" x14ac:dyDescent="0.2">
      <c r="A202" t="s">
        <v>397</v>
      </c>
      <c r="B202" s="1" t="s">
        <v>392</v>
      </c>
      <c r="C202" t="s">
        <v>14</v>
      </c>
      <c r="D202" t="s">
        <v>67</v>
      </c>
      <c r="E202">
        <v>2</v>
      </c>
      <c r="F202" t="s">
        <v>385</v>
      </c>
      <c r="G202">
        <v>2022</v>
      </c>
      <c r="H202" t="s">
        <v>398</v>
      </c>
      <c r="I202" t="s">
        <v>399</v>
      </c>
      <c r="J202">
        <v>849</v>
      </c>
      <c r="K202">
        <v>250</v>
      </c>
      <c r="L202">
        <f t="shared" si="62"/>
        <v>599</v>
      </c>
      <c r="M202">
        <v>240</v>
      </c>
      <c r="N202">
        <f t="shared" si="63"/>
        <v>359</v>
      </c>
    </row>
    <row r="203" spans="1:14" x14ac:dyDescent="0.2">
      <c r="A203" t="s">
        <v>400</v>
      </c>
      <c r="B203" s="1" t="s">
        <v>392</v>
      </c>
      <c r="C203" t="s">
        <v>14</v>
      </c>
      <c r="D203" t="s">
        <v>207</v>
      </c>
      <c r="E203">
        <v>2</v>
      </c>
      <c r="F203" t="s">
        <v>385</v>
      </c>
      <c r="G203">
        <v>2022</v>
      </c>
      <c r="H203" t="s">
        <v>401</v>
      </c>
      <c r="I203" t="s">
        <v>160</v>
      </c>
      <c r="J203">
        <v>999</v>
      </c>
      <c r="K203">
        <v>325</v>
      </c>
      <c r="L203">
        <f t="shared" si="62"/>
        <v>674</v>
      </c>
      <c r="M203">
        <v>240</v>
      </c>
      <c r="N203">
        <f t="shared" si="63"/>
        <v>434</v>
      </c>
    </row>
    <row r="204" spans="1:14" x14ac:dyDescent="0.2">
      <c r="A204" t="s">
        <v>403</v>
      </c>
      <c r="B204" s="1" t="s">
        <v>402</v>
      </c>
      <c r="C204" t="s">
        <v>14</v>
      </c>
      <c r="D204" t="s">
        <v>67</v>
      </c>
      <c r="E204">
        <v>3</v>
      </c>
      <c r="F204" t="s">
        <v>385</v>
      </c>
      <c r="G204">
        <v>2022</v>
      </c>
      <c r="H204" t="s">
        <v>404</v>
      </c>
      <c r="I204" t="s">
        <v>58</v>
      </c>
      <c r="J204">
        <v>849</v>
      </c>
      <c r="K204">
        <v>250</v>
      </c>
      <c r="L204">
        <f t="shared" si="62"/>
        <v>599</v>
      </c>
      <c r="M204">
        <v>240</v>
      </c>
      <c r="N204">
        <f t="shared" si="63"/>
        <v>359</v>
      </c>
    </row>
    <row r="205" spans="1:14" x14ac:dyDescent="0.2">
      <c r="A205" t="s">
        <v>405</v>
      </c>
      <c r="B205" s="1" t="s">
        <v>402</v>
      </c>
      <c r="C205" t="s">
        <v>14</v>
      </c>
      <c r="D205" t="s">
        <v>207</v>
      </c>
      <c r="E205">
        <v>3</v>
      </c>
      <c r="F205" t="s">
        <v>385</v>
      </c>
      <c r="G205">
        <v>2022</v>
      </c>
      <c r="H205" t="s">
        <v>406</v>
      </c>
      <c r="I205" t="s">
        <v>406</v>
      </c>
      <c r="J205">
        <v>999</v>
      </c>
      <c r="K205">
        <v>325</v>
      </c>
      <c r="L205">
        <f t="shared" si="62"/>
        <v>674</v>
      </c>
      <c r="M205">
        <v>240</v>
      </c>
      <c r="N205">
        <f t="shared" si="63"/>
        <v>434</v>
      </c>
    </row>
    <row r="206" spans="1:14" x14ac:dyDescent="0.2">
      <c r="A206" t="s">
        <v>407</v>
      </c>
      <c r="B206" s="1" t="s">
        <v>402</v>
      </c>
      <c r="C206" t="s">
        <v>14</v>
      </c>
      <c r="D206" t="s">
        <v>189</v>
      </c>
      <c r="E206">
        <v>3</v>
      </c>
      <c r="F206" t="s">
        <v>385</v>
      </c>
      <c r="G206">
        <v>2022</v>
      </c>
      <c r="H206" t="s">
        <v>84</v>
      </c>
      <c r="I206" t="s">
        <v>85</v>
      </c>
      <c r="J206">
        <v>999</v>
      </c>
      <c r="K206">
        <v>325</v>
      </c>
      <c r="L206">
        <f t="shared" si="62"/>
        <v>674</v>
      </c>
      <c r="M206">
        <v>240</v>
      </c>
      <c r="N206">
        <f t="shared" si="63"/>
        <v>434</v>
      </c>
    </row>
    <row r="207" spans="1:14" x14ac:dyDescent="0.2">
      <c r="A207" t="s">
        <v>408</v>
      </c>
      <c r="B207" s="1" t="s">
        <v>402</v>
      </c>
      <c r="C207" t="s">
        <v>14</v>
      </c>
      <c r="D207" t="s">
        <v>67</v>
      </c>
      <c r="E207">
        <v>3</v>
      </c>
      <c r="F207" t="s">
        <v>385</v>
      </c>
      <c r="G207">
        <v>2022</v>
      </c>
      <c r="H207" t="s">
        <v>170</v>
      </c>
      <c r="I207" t="s">
        <v>171</v>
      </c>
      <c r="J207">
        <v>849</v>
      </c>
      <c r="K207">
        <v>250</v>
      </c>
      <c r="L207">
        <f t="shared" si="62"/>
        <v>599</v>
      </c>
      <c r="M207">
        <v>240</v>
      </c>
      <c r="N207">
        <f t="shared" si="63"/>
        <v>359</v>
      </c>
    </row>
    <row r="208" spans="1:14" x14ac:dyDescent="0.2">
      <c r="A208" t="s">
        <v>409</v>
      </c>
      <c r="B208" s="1" t="s">
        <v>402</v>
      </c>
      <c r="C208" t="s">
        <v>14</v>
      </c>
      <c r="D208" t="s">
        <v>26</v>
      </c>
      <c r="E208">
        <v>3</v>
      </c>
      <c r="F208" t="s">
        <v>385</v>
      </c>
      <c r="G208">
        <v>2022</v>
      </c>
      <c r="H208" t="s">
        <v>410</v>
      </c>
      <c r="I208" t="s">
        <v>32</v>
      </c>
      <c r="J208">
        <v>999</v>
      </c>
      <c r="K208">
        <v>325</v>
      </c>
      <c r="L208">
        <f t="shared" si="62"/>
        <v>674</v>
      </c>
      <c r="M208">
        <v>240</v>
      </c>
      <c r="N208">
        <f t="shared" si="63"/>
        <v>434</v>
      </c>
    </row>
    <row r="209" spans="1:14" x14ac:dyDescent="0.2">
      <c r="A209" t="s">
        <v>412</v>
      </c>
      <c r="B209" s="1" t="s">
        <v>411</v>
      </c>
      <c r="C209" t="s">
        <v>43</v>
      </c>
      <c r="D209" t="s">
        <v>387</v>
      </c>
      <c r="E209">
        <v>4</v>
      </c>
      <c r="F209" t="s">
        <v>385</v>
      </c>
      <c r="G209">
        <v>2022</v>
      </c>
      <c r="H209" t="s">
        <v>413</v>
      </c>
      <c r="I209" t="s">
        <v>122</v>
      </c>
      <c r="J209">
        <v>0</v>
      </c>
      <c r="K209">
        <v>0</v>
      </c>
      <c r="L209">
        <v>0</v>
      </c>
      <c r="M209">
        <v>0</v>
      </c>
      <c r="N209">
        <v>0</v>
      </c>
    </row>
    <row r="210" spans="1:14" x14ac:dyDescent="0.2">
      <c r="A210" t="s">
        <v>414</v>
      </c>
      <c r="B210" s="1" t="s">
        <v>411</v>
      </c>
      <c r="C210" t="s">
        <v>43</v>
      </c>
      <c r="D210" t="s">
        <v>81</v>
      </c>
      <c r="E210">
        <v>4</v>
      </c>
      <c r="F210" t="s">
        <v>385</v>
      </c>
      <c r="G210">
        <v>2022</v>
      </c>
      <c r="H210" t="s">
        <v>415</v>
      </c>
      <c r="I210" t="s">
        <v>135</v>
      </c>
      <c r="J210">
        <v>0</v>
      </c>
      <c r="K210">
        <v>0</v>
      </c>
      <c r="L210">
        <v>0</v>
      </c>
      <c r="M210">
        <v>0</v>
      </c>
      <c r="N210">
        <v>0</v>
      </c>
    </row>
    <row r="211" spans="1:14" x14ac:dyDescent="0.2">
      <c r="A211" t="s">
        <v>414</v>
      </c>
      <c r="B211" s="1" t="s">
        <v>411</v>
      </c>
      <c r="C211" t="s">
        <v>14</v>
      </c>
      <c r="D211" t="s">
        <v>67</v>
      </c>
      <c r="E211">
        <v>4</v>
      </c>
      <c r="F211" t="s">
        <v>385</v>
      </c>
      <c r="G211">
        <v>2022</v>
      </c>
      <c r="H211" t="s">
        <v>415</v>
      </c>
      <c r="I211" t="s">
        <v>135</v>
      </c>
      <c r="J211">
        <v>849</v>
      </c>
      <c r="K211">
        <v>250</v>
      </c>
      <c r="L211">
        <f t="shared" ref="L211:L213" si="64">J211-K211</f>
        <v>599</v>
      </c>
      <c r="M211">
        <v>240</v>
      </c>
      <c r="N211">
        <f t="shared" ref="N211:N213" si="65">L211-M211</f>
        <v>359</v>
      </c>
    </row>
    <row r="212" spans="1:14" x14ac:dyDescent="0.2">
      <c r="A212" t="s">
        <v>412</v>
      </c>
      <c r="B212" s="1" t="s">
        <v>411</v>
      </c>
      <c r="C212" t="s">
        <v>14</v>
      </c>
      <c r="D212" t="s">
        <v>387</v>
      </c>
      <c r="E212">
        <v>4</v>
      </c>
      <c r="F212" t="s">
        <v>385</v>
      </c>
      <c r="G212">
        <v>2022</v>
      </c>
      <c r="H212" t="s">
        <v>413</v>
      </c>
      <c r="I212" t="s">
        <v>122</v>
      </c>
      <c r="J212">
        <v>849</v>
      </c>
      <c r="K212">
        <v>250</v>
      </c>
      <c r="L212">
        <f t="shared" si="64"/>
        <v>599</v>
      </c>
      <c r="M212">
        <v>240</v>
      </c>
      <c r="N212">
        <f t="shared" si="65"/>
        <v>359</v>
      </c>
    </row>
    <row r="213" spans="1:14" x14ac:dyDescent="0.2">
      <c r="A213" t="s">
        <v>416</v>
      </c>
      <c r="B213" s="1" t="s">
        <v>411</v>
      </c>
      <c r="C213" t="s">
        <v>14</v>
      </c>
      <c r="D213" t="s">
        <v>51</v>
      </c>
      <c r="E213">
        <v>4</v>
      </c>
      <c r="F213" t="s">
        <v>385</v>
      </c>
      <c r="G213">
        <v>2022</v>
      </c>
      <c r="H213" t="s">
        <v>417</v>
      </c>
      <c r="I213" t="s">
        <v>253</v>
      </c>
      <c r="J213">
        <v>999</v>
      </c>
      <c r="K213">
        <v>325</v>
      </c>
      <c r="L213">
        <f t="shared" si="64"/>
        <v>674</v>
      </c>
      <c r="M213">
        <v>240</v>
      </c>
      <c r="N213">
        <f t="shared" si="65"/>
        <v>434</v>
      </c>
    </row>
    <row r="214" spans="1:14" x14ac:dyDescent="0.2">
      <c r="A214" t="s">
        <v>419</v>
      </c>
      <c r="B214" s="1" t="s">
        <v>418</v>
      </c>
      <c r="C214" t="s">
        <v>43</v>
      </c>
      <c r="D214" t="s">
        <v>420</v>
      </c>
      <c r="E214">
        <v>5</v>
      </c>
      <c r="F214" t="s">
        <v>385</v>
      </c>
      <c r="G214">
        <v>2022</v>
      </c>
      <c r="H214" t="s">
        <v>421</v>
      </c>
      <c r="I214" t="s">
        <v>212</v>
      </c>
      <c r="J214">
        <v>0</v>
      </c>
      <c r="K214">
        <v>0</v>
      </c>
      <c r="L214">
        <v>0</v>
      </c>
      <c r="M214">
        <v>0</v>
      </c>
      <c r="N214">
        <v>0</v>
      </c>
    </row>
    <row r="215" spans="1:14" x14ac:dyDescent="0.2">
      <c r="A215" t="s">
        <v>419</v>
      </c>
      <c r="B215" s="1" t="s">
        <v>418</v>
      </c>
      <c r="C215" t="s">
        <v>14</v>
      </c>
      <c r="D215" t="s">
        <v>420</v>
      </c>
      <c r="E215">
        <v>5</v>
      </c>
      <c r="F215" t="s">
        <v>385</v>
      </c>
      <c r="G215">
        <v>2022</v>
      </c>
      <c r="H215" t="s">
        <v>421</v>
      </c>
      <c r="I215" t="s">
        <v>212</v>
      </c>
      <c r="J215">
        <v>999</v>
      </c>
      <c r="K215">
        <v>325</v>
      </c>
      <c r="L215">
        <f t="shared" ref="L215:L224" si="66">J215-K215</f>
        <v>674</v>
      </c>
      <c r="M215">
        <v>240</v>
      </c>
      <c r="N215">
        <f t="shared" ref="N215:N224" si="67">L215-M215</f>
        <v>434</v>
      </c>
    </row>
    <row r="216" spans="1:14" x14ac:dyDescent="0.2">
      <c r="A216" t="s">
        <v>422</v>
      </c>
      <c r="B216" s="1" t="s">
        <v>418</v>
      </c>
      <c r="C216" t="s">
        <v>14</v>
      </c>
      <c r="D216" t="s">
        <v>242</v>
      </c>
      <c r="E216">
        <v>5</v>
      </c>
      <c r="F216" t="s">
        <v>385</v>
      </c>
      <c r="G216">
        <v>2022</v>
      </c>
      <c r="H216" t="s">
        <v>170</v>
      </c>
      <c r="I216" t="s">
        <v>171</v>
      </c>
      <c r="J216">
        <v>999</v>
      </c>
      <c r="K216">
        <v>325</v>
      </c>
      <c r="L216">
        <f t="shared" si="66"/>
        <v>674</v>
      </c>
      <c r="M216">
        <v>240</v>
      </c>
      <c r="N216">
        <f t="shared" si="67"/>
        <v>434</v>
      </c>
    </row>
    <row r="217" spans="1:14" x14ac:dyDescent="0.2">
      <c r="A217" t="s">
        <v>423</v>
      </c>
      <c r="B217" s="1" t="s">
        <v>418</v>
      </c>
      <c r="C217" t="s">
        <v>14</v>
      </c>
      <c r="D217" t="s">
        <v>120</v>
      </c>
      <c r="E217">
        <v>5</v>
      </c>
      <c r="F217" t="s">
        <v>385</v>
      </c>
      <c r="G217">
        <v>2022</v>
      </c>
      <c r="H217" t="s">
        <v>162</v>
      </c>
      <c r="I217" t="s">
        <v>163</v>
      </c>
      <c r="J217">
        <v>849</v>
      </c>
      <c r="K217">
        <v>250</v>
      </c>
      <c r="L217">
        <f t="shared" si="66"/>
        <v>599</v>
      </c>
      <c r="M217">
        <v>240</v>
      </c>
      <c r="N217">
        <f t="shared" si="67"/>
        <v>359</v>
      </c>
    </row>
    <row r="218" spans="1:14" x14ac:dyDescent="0.2">
      <c r="A218" t="s">
        <v>424</v>
      </c>
      <c r="B218" s="1" t="s">
        <v>418</v>
      </c>
      <c r="C218" t="s">
        <v>14</v>
      </c>
      <c r="D218" t="s">
        <v>425</v>
      </c>
      <c r="E218">
        <v>5</v>
      </c>
      <c r="F218" t="s">
        <v>385</v>
      </c>
      <c r="G218">
        <v>2022</v>
      </c>
      <c r="H218" t="s">
        <v>263</v>
      </c>
      <c r="I218" t="s">
        <v>144</v>
      </c>
      <c r="J218">
        <v>799</v>
      </c>
      <c r="K218">
        <v>205</v>
      </c>
      <c r="L218">
        <f t="shared" si="66"/>
        <v>594</v>
      </c>
      <c r="M218">
        <v>240</v>
      </c>
      <c r="N218">
        <f t="shared" si="67"/>
        <v>354</v>
      </c>
    </row>
    <row r="219" spans="1:14" x14ac:dyDescent="0.2">
      <c r="A219" t="s">
        <v>426</v>
      </c>
      <c r="B219" s="1" t="s">
        <v>418</v>
      </c>
      <c r="C219" t="s">
        <v>14</v>
      </c>
      <c r="D219" t="s">
        <v>380</v>
      </c>
      <c r="E219">
        <v>5</v>
      </c>
      <c r="F219" t="s">
        <v>385</v>
      </c>
      <c r="G219">
        <v>2022</v>
      </c>
      <c r="H219" t="s">
        <v>104</v>
      </c>
      <c r="I219" t="s">
        <v>62</v>
      </c>
      <c r="J219">
        <v>849</v>
      </c>
      <c r="K219">
        <v>250</v>
      </c>
      <c r="L219">
        <f t="shared" si="66"/>
        <v>599</v>
      </c>
      <c r="M219">
        <v>240</v>
      </c>
      <c r="N219">
        <f t="shared" si="67"/>
        <v>359</v>
      </c>
    </row>
    <row r="220" spans="1:14" x14ac:dyDescent="0.2">
      <c r="A220" t="s">
        <v>427</v>
      </c>
      <c r="B220" s="1" t="s">
        <v>418</v>
      </c>
      <c r="C220" t="s">
        <v>14</v>
      </c>
      <c r="D220" t="s">
        <v>81</v>
      </c>
      <c r="E220">
        <v>5</v>
      </c>
      <c r="F220" t="s">
        <v>385</v>
      </c>
      <c r="G220">
        <v>2022</v>
      </c>
      <c r="H220" t="s">
        <v>104</v>
      </c>
      <c r="I220" t="s">
        <v>62</v>
      </c>
      <c r="J220">
        <v>849</v>
      </c>
      <c r="K220">
        <v>250</v>
      </c>
      <c r="L220">
        <f t="shared" si="66"/>
        <v>599</v>
      </c>
      <c r="M220">
        <v>240</v>
      </c>
      <c r="N220">
        <f t="shared" si="67"/>
        <v>359</v>
      </c>
    </row>
    <row r="221" spans="1:14" x14ac:dyDescent="0.2">
      <c r="A221" t="s">
        <v>428</v>
      </c>
      <c r="B221" s="1" t="s">
        <v>418</v>
      </c>
      <c r="C221" t="s">
        <v>14</v>
      </c>
      <c r="D221" t="s">
        <v>81</v>
      </c>
      <c r="E221">
        <v>5</v>
      </c>
      <c r="F221" t="s">
        <v>385</v>
      </c>
      <c r="G221">
        <v>2022</v>
      </c>
      <c r="H221" t="s">
        <v>82</v>
      </c>
      <c r="I221" t="s">
        <v>58</v>
      </c>
      <c r="J221">
        <v>849</v>
      </c>
      <c r="K221">
        <v>250</v>
      </c>
      <c r="L221">
        <f t="shared" si="66"/>
        <v>599</v>
      </c>
      <c r="M221">
        <v>240</v>
      </c>
      <c r="N221">
        <f t="shared" si="67"/>
        <v>359</v>
      </c>
    </row>
    <row r="222" spans="1:14" x14ac:dyDescent="0.2">
      <c r="A222" t="s">
        <v>430</v>
      </c>
      <c r="B222" s="1" t="s">
        <v>429</v>
      </c>
      <c r="C222" t="s">
        <v>14</v>
      </c>
      <c r="D222" t="s">
        <v>431</v>
      </c>
      <c r="E222">
        <v>6</v>
      </c>
      <c r="F222" t="s">
        <v>385</v>
      </c>
      <c r="G222">
        <v>2022</v>
      </c>
      <c r="H222" t="s">
        <v>309</v>
      </c>
      <c r="I222" t="s">
        <v>212</v>
      </c>
      <c r="J222">
        <v>799</v>
      </c>
      <c r="K222">
        <v>205</v>
      </c>
      <c r="L222">
        <f t="shared" si="66"/>
        <v>594</v>
      </c>
      <c r="M222">
        <v>240</v>
      </c>
      <c r="N222">
        <f t="shared" si="67"/>
        <v>354</v>
      </c>
    </row>
    <row r="223" spans="1:14" x14ac:dyDescent="0.2">
      <c r="A223" t="s">
        <v>432</v>
      </c>
      <c r="B223" s="1" t="s">
        <v>429</v>
      </c>
      <c r="C223" t="s">
        <v>14</v>
      </c>
      <c r="D223" t="s">
        <v>81</v>
      </c>
      <c r="E223">
        <v>6</v>
      </c>
      <c r="F223" t="s">
        <v>385</v>
      </c>
      <c r="G223">
        <v>2022</v>
      </c>
      <c r="H223" t="s">
        <v>208</v>
      </c>
      <c r="I223" t="s">
        <v>97</v>
      </c>
      <c r="J223">
        <v>849</v>
      </c>
      <c r="K223">
        <v>250</v>
      </c>
      <c r="L223">
        <f t="shared" si="66"/>
        <v>599</v>
      </c>
      <c r="M223">
        <v>240</v>
      </c>
      <c r="N223">
        <f t="shared" si="67"/>
        <v>359</v>
      </c>
    </row>
    <row r="224" spans="1:14" x14ac:dyDescent="0.2">
      <c r="A224" t="s">
        <v>433</v>
      </c>
      <c r="B224" s="1" t="s">
        <v>429</v>
      </c>
      <c r="C224" t="s">
        <v>14</v>
      </c>
      <c r="D224" t="s">
        <v>434</v>
      </c>
      <c r="E224">
        <v>6</v>
      </c>
      <c r="F224" t="s">
        <v>385</v>
      </c>
      <c r="G224">
        <v>2022</v>
      </c>
      <c r="H224" t="s">
        <v>435</v>
      </c>
      <c r="I224" t="s">
        <v>58</v>
      </c>
      <c r="J224">
        <v>799</v>
      </c>
      <c r="K224">
        <v>205</v>
      </c>
      <c r="L224">
        <f t="shared" si="66"/>
        <v>594</v>
      </c>
      <c r="M224">
        <v>240</v>
      </c>
      <c r="N224">
        <f t="shared" si="67"/>
        <v>354</v>
      </c>
    </row>
    <row r="225" spans="1:14" x14ac:dyDescent="0.2">
      <c r="A225" t="s">
        <v>393</v>
      </c>
      <c r="B225" s="1" t="s">
        <v>392</v>
      </c>
      <c r="C225" t="s">
        <v>106</v>
      </c>
      <c r="D225" t="s">
        <v>81</v>
      </c>
      <c r="E225">
        <v>2</v>
      </c>
      <c r="F225" t="s">
        <v>385</v>
      </c>
      <c r="G225">
        <v>2022</v>
      </c>
      <c r="H225" t="s">
        <v>246</v>
      </c>
      <c r="I225" t="s">
        <v>58</v>
      </c>
      <c r="J225">
        <v>-849</v>
      </c>
      <c r="K225">
        <v>345</v>
      </c>
      <c r="L225">
        <f>J225+K225</f>
        <v>-504</v>
      </c>
      <c r="M225">
        <v>240</v>
      </c>
      <c r="N225">
        <f>L225+M225</f>
        <v>-264</v>
      </c>
    </row>
    <row r="226" spans="1:14" x14ac:dyDescent="0.2">
      <c r="A226" t="s">
        <v>437</v>
      </c>
      <c r="B226" s="1" t="s">
        <v>436</v>
      </c>
      <c r="C226" t="s">
        <v>14</v>
      </c>
      <c r="D226" t="s">
        <v>81</v>
      </c>
      <c r="E226">
        <v>8</v>
      </c>
      <c r="F226" t="s">
        <v>385</v>
      </c>
      <c r="G226">
        <v>2022</v>
      </c>
      <c r="H226" t="s">
        <v>215</v>
      </c>
      <c r="I226" t="s">
        <v>135</v>
      </c>
      <c r="J226">
        <v>849</v>
      </c>
      <c r="K226">
        <v>250</v>
      </c>
      <c r="L226">
        <f t="shared" ref="L226:L230" si="68">J226-K226</f>
        <v>599</v>
      </c>
      <c r="M226">
        <v>240</v>
      </c>
      <c r="N226">
        <f t="shared" ref="N226:N230" si="69">L226-M226</f>
        <v>359</v>
      </c>
    </row>
    <row r="227" spans="1:14" x14ac:dyDescent="0.2">
      <c r="A227" t="s">
        <v>438</v>
      </c>
      <c r="B227" s="1" t="s">
        <v>436</v>
      </c>
      <c r="C227" t="s">
        <v>14</v>
      </c>
      <c r="D227" t="s">
        <v>381</v>
      </c>
      <c r="E227">
        <v>8</v>
      </c>
      <c r="F227" t="s">
        <v>385</v>
      </c>
      <c r="G227">
        <v>2022</v>
      </c>
      <c r="H227" t="s">
        <v>246</v>
      </c>
      <c r="I227" t="s">
        <v>58</v>
      </c>
      <c r="J227">
        <v>799</v>
      </c>
      <c r="K227">
        <v>205</v>
      </c>
      <c r="L227">
        <f t="shared" si="68"/>
        <v>594</v>
      </c>
      <c r="M227">
        <v>240</v>
      </c>
      <c r="N227">
        <f t="shared" si="69"/>
        <v>354</v>
      </c>
    </row>
    <row r="228" spans="1:14" x14ac:dyDescent="0.2">
      <c r="A228" t="s">
        <v>439</v>
      </c>
      <c r="B228" s="1" t="s">
        <v>436</v>
      </c>
      <c r="C228" t="s">
        <v>14</v>
      </c>
      <c r="D228" t="s">
        <v>440</v>
      </c>
      <c r="E228">
        <v>8</v>
      </c>
      <c r="F228" t="s">
        <v>385</v>
      </c>
      <c r="G228">
        <v>2022</v>
      </c>
      <c r="H228" t="s">
        <v>441</v>
      </c>
      <c r="I228" t="s">
        <v>28</v>
      </c>
      <c r="J228">
        <v>849</v>
      </c>
      <c r="K228">
        <v>250</v>
      </c>
      <c r="L228">
        <f t="shared" si="68"/>
        <v>599</v>
      </c>
      <c r="M228">
        <v>240</v>
      </c>
      <c r="N228">
        <f t="shared" si="69"/>
        <v>359</v>
      </c>
    </row>
    <row r="229" spans="1:14" x14ac:dyDescent="0.2">
      <c r="A229" t="s">
        <v>443</v>
      </c>
      <c r="B229" s="1" t="s">
        <v>442</v>
      </c>
      <c r="C229" t="s">
        <v>14</v>
      </c>
      <c r="D229" t="s">
        <v>380</v>
      </c>
      <c r="E229">
        <v>7</v>
      </c>
      <c r="F229" t="s">
        <v>385</v>
      </c>
      <c r="G229">
        <v>2022</v>
      </c>
      <c r="H229" t="s">
        <v>309</v>
      </c>
      <c r="I229" t="s">
        <v>212</v>
      </c>
      <c r="J229">
        <v>849</v>
      </c>
      <c r="K229">
        <v>250</v>
      </c>
      <c r="L229">
        <f t="shared" si="68"/>
        <v>599</v>
      </c>
      <c r="M229">
        <v>240</v>
      </c>
      <c r="N229">
        <f t="shared" si="69"/>
        <v>359</v>
      </c>
    </row>
    <row r="230" spans="1:14" x14ac:dyDescent="0.2">
      <c r="A230" t="s">
        <v>444</v>
      </c>
      <c r="B230" s="1" t="s">
        <v>436</v>
      </c>
      <c r="C230" t="s">
        <v>14</v>
      </c>
      <c r="D230" t="s">
        <v>445</v>
      </c>
      <c r="E230">
        <v>8</v>
      </c>
      <c r="F230" t="s">
        <v>385</v>
      </c>
      <c r="G230">
        <v>2022</v>
      </c>
      <c r="H230" t="s">
        <v>235</v>
      </c>
      <c r="I230" t="s">
        <v>62</v>
      </c>
      <c r="J230">
        <v>999</v>
      </c>
      <c r="K230">
        <v>325</v>
      </c>
      <c r="L230">
        <f t="shared" si="68"/>
        <v>674</v>
      </c>
      <c r="M230">
        <v>240</v>
      </c>
      <c r="N230">
        <f t="shared" si="69"/>
        <v>434</v>
      </c>
    </row>
    <row r="231" spans="1:14" x14ac:dyDescent="0.2">
      <c r="A231" t="s">
        <v>447</v>
      </c>
      <c r="B231" s="1" t="s">
        <v>446</v>
      </c>
      <c r="C231" t="s">
        <v>43</v>
      </c>
      <c r="D231" t="s">
        <v>448</v>
      </c>
      <c r="E231">
        <v>10</v>
      </c>
      <c r="F231" t="s">
        <v>385</v>
      </c>
      <c r="G231">
        <v>2022</v>
      </c>
      <c r="H231" t="s">
        <v>449</v>
      </c>
      <c r="I231" t="s">
        <v>97</v>
      </c>
      <c r="J231">
        <v>0</v>
      </c>
      <c r="K231">
        <v>0</v>
      </c>
      <c r="L231">
        <v>0</v>
      </c>
      <c r="M231">
        <v>0</v>
      </c>
      <c r="N231">
        <v>0</v>
      </c>
    </row>
    <row r="232" spans="1:14" x14ac:dyDescent="0.2">
      <c r="A232" t="s">
        <v>414</v>
      </c>
      <c r="B232" s="1" t="s">
        <v>411</v>
      </c>
      <c r="C232" t="s">
        <v>106</v>
      </c>
      <c r="D232" t="s">
        <v>81</v>
      </c>
      <c r="E232">
        <v>4</v>
      </c>
      <c r="F232" t="s">
        <v>385</v>
      </c>
      <c r="G232">
        <v>2022</v>
      </c>
      <c r="H232" t="s">
        <v>415</v>
      </c>
      <c r="I232" t="s">
        <v>135</v>
      </c>
      <c r="J232">
        <v>-849</v>
      </c>
      <c r="K232">
        <v>345</v>
      </c>
      <c r="L232">
        <f t="shared" ref="L232:L233" si="70">J232+K232</f>
        <v>-504</v>
      </c>
      <c r="M232">
        <v>240</v>
      </c>
      <c r="N232">
        <f t="shared" ref="N232:N233" si="71">L232+M232</f>
        <v>-264</v>
      </c>
    </row>
    <row r="233" spans="1:14" x14ac:dyDescent="0.2">
      <c r="A233" t="s">
        <v>423</v>
      </c>
      <c r="B233" s="1" t="s">
        <v>418</v>
      </c>
      <c r="C233" t="s">
        <v>106</v>
      </c>
      <c r="D233" t="s">
        <v>120</v>
      </c>
      <c r="E233">
        <v>5</v>
      </c>
      <c r="F233" t="s">
        <v>385</v>
      </c>
      <c r="G233">
        <v>2022</v>
      </c>
      <c r="H233" t="s">
        <v>162</v>
      </c>
      <c r="I233" t="s">
        <v>163</v>
      </c>
      <c r="J233">
        <v>-849</v>
      </c>
      <c r="K233">
        <v>345</v>
      </c>
      <c r="L233">
        <f t="shared" si="70"/>
        <v>-504</v>
      </c>
      <c r="M233">
        <v>240</v>
      </c>
      <c r="N233">
        <f t="shared" si="71"/>
        <v>-264</v>
      </c>
    </row>
    <row r="234" spans="1:14" x14ac:dyDescent="0.2">
      <c r="A234" t="s">
        <v>447</v>
      </c>
      <c r="B234" s="1" t="s">
        <v>446</v>
      </c>
      <c r="C234" t="s">
        <v>14</v>
      </c>
      <c r="D234" t="s">
        <v>448</v>
      </c>
      <c r="E234">
        <v>10</v>
      </c>
      <c r="F234" t="s">
        <v>385</v>
      </c>
      <c r="G234">
        <v>2022</v>
      </c>
      <c r="H234" t="s">
        <v>449</v>
      </c>
      <c r="I234" t="s">
        <v>97</v>
      </c>
      <c r="J234">
        <v>999</v>
      </c>
      <c r="K234">
        <v>325</v>
      </c>
      <c r="L234">
        <f t="shared" ref="L234:L235" si="72">J234-K234</f>
        <v>674</v>
      </c>
      <c r="M234">
        <v>240</v>
      </c>
      <c r="N234">
        <f t="shared" ref="N234:N235" si="73">L234-M234</f>
        <v>434</v>
      </c>
    </row>
    <row r="235" spans="1:14" x14ac:dyDescent="0.2">
      <c r="A235" t="s">
        <v>451</v>
      </c>
      <c r="B235" s="1" t="s">
        <v>450</v>
      </c>
      <c r="C235" t="s">
        <v>14</v>
      </c>
      <c r="D235" t="s">
        <v>452</v>
      </c>
      <c r="E235">
        <v>9</v>
      </c>
      <c r="F235" t="s">
        <v>385</v>
      </c>
      <c r="G235">
        <v>2022</v>
      </c>
      <c r="H235" t="s">
        <v>246</v>
      </c>
      <c r="I235" t="s">
        <v>58</v>
      </c>
      <c r="J235">
        <v>849</v>
      </c>
      <c r="K235">
        <v>250</v>
      </c>
      <c r="L235">
        <f t="shared" si="72"/>
        <v>599</v>
      </c>
      <c r="M235">
        <v>240</v>
      </c>
      <c r="N235">
        <f t="shared" si="73"/>
        <v>359</v>
      </c>
    </row>
    <row r="236" spans="1:14" x14ac:dyDescent="0.2">
      <c r="A236" t="s">
        <v>397</v>
      </c>
      <c r="B236" s="1" t="s">
        <v>392</v>
      </c>
      <c r="C236" t="s">
        <v>106</v>
      </c>
      <c r="D236" t="s">
        <v>81</v>
      </c>
      <c r="E236">
        <v>2</v>
      </c>
      <c r="F236" t="s">
        <v>385</v>
      </c>
      <c r="G236">
        <v>2022</v>
      </c>
      <c r="H236" t="s">
        <v>398</v>
      </c>
      <c r="I236" t="s">
        <v>399</v>
      </c>
      <c r="J236">
        <v>-849</v>
      </c>
      <c r="K236">
        <v>345</v>
      </c>
      <c r="L236">
        <f>J236+K236</f>
        <v>-504</v>
      </c>
      <c r="M236">
        <v>240</v>
      </c>
      <c r="N236">
        <f>L236+M236</f>
        <v>-264</v>
      </c>
    </row>
    <row r="237" spans="1:14" x14ac:dyDescent="0.2">
      <c r="A237" t="s">
        <v>453</v>
      </c>
      <c r="B237" s="1" t="s">
        <v>446</v>
      </c>
      <c r="C237" t="s">
        <v>14</v>
      </c>
      <c r="D237" t="s">
        <v>425</v>
      </c>
      <c r="E237">
        <v>10</v>
      </c>
      <c r="F237" t="s">
        <v>385</v>
      </c>
      <c r="G237">
        <v>2022</v>
      </c>
      <c r="H237" t="s">
        <v>454</v>
      </c>
      <c r="I237" t="s">
        <v>455</v>
      </c>
      <c r="J237">
        <v>799</v>
      </c>
      <c r="K237">
        <v>205</v>
      </c>
      <c r="L237">
        <f t="shared" ref="L237:L239" si="74">J237-K237</f>
        <v>594</v>
      </c>
      <c r="M237">
        <v>240</v>
      </c>
      <c r="N237">
        <f t="shared" ref="N237:N239" si="75">L237-M237</f>
        <v>354</v>
      </c>
    </row>
    <row r="238" spans="1:14" x14ac:dyDescent="0.2">
      <c r="A238" t="s">
        <v>456</v>
      </c>
      <c r="B238" s="1" t="s">
        <v>446</v>
      </c>
      <c r="C238" t="s">
        <v>14</v>
      </c>
      <c r="D238" t="s">
        <v>380</v>
      </c>
      <c r="E238">
        <v>10</v>
      </c>
      <c r="F238" t="s">
        <v>385</v>
      </c>
      <c r="G238">
        <v>2022</v>
      </c>
      <c r="H238" t="s">
        <v>457</v>
      </c>
      <c r="I238" t="s">
        <v>257</v>
      </c>
      <c r="J238">
        <v>849</v>
      </c>
      <c r="K238">
        <v>250</v>
      </c>
      <c r="L238">
        <f t="shared" si="74"/>
        <v>599</v>
      </c>
      <c r="M238">
        <v>240</v>
      </c>
      <c r="N238">
        <f t="shared" si="75"/>
        <v>359</v>
      </c>
    </row>
    <row r="239" spans="1:14" x14ac:dyDescent="0.2">
      <c r="A239" t="s">
        <v>459</v>
      </c>
      <c r="B239" s="1" t="s">
        <v>458</v>
      </c>
      <c r="C239" t="s">
        <v>14</v>
      </c>
      <c r="D239" t="s">
        <v>460</v>
      </c>
      <c r="E239">
        <v>11</v>
      </c>
      <c r="F239" t="s">
        <v>385</v>
      </c>
      <c r="G239">
        <v>2022</v>
      </c>
      <c r="H239" t="s">
        <v>31</v>
      </c>
      <c r="I239" t="s">
        <v>32</v>
      </c>
      <c r="J239">
        <v>849</v>
      </c>
      <c r="K239">
        <v>250</v>
      </c>
      <c r="L239">
        <f t="shared" si="74"/>
        <v>599</v>
      </c>
      <c r="M239">
        <v>240</v>
      </c>
      <c r="N239">
        <f t="shared" si="75"/>
        <v>359</v>
      </c>
    </row>
    <row r="240" spans="1:14" x14ac:dyDescent="0.2">
      <c r="A240" t="s">
        <v>461</v>
      </c>
      <c r="B240" s="1" t="s">
        <v>446</v>
      </c>
      <c r="C240" t="s">
        <v>20</v>
      </c>
      <c r="D240" t="s">
        <v>81</v>
      </c>
      <c r="E240">
        <v>10</v>
      </c>
      <c r="F240" t="s">
        <v>385</v>
      </c>
      <c r="G240">
        <v>2022</v>
      </c>
      <c r="H240" t="s">
        <v>104</v>
      </c>
      <c r="I240" t="s">
        <v>62</v>
      </c>
      <c r="J240">
        <v>0</v>
      </c>
      <c r="K240">
        <v>0</v>
      </c>
      <c r="L240">
        <v>0</v>
      </c>
      <c r="M240">
        <v>0</v>
      </c>
      <c r="N240">
        <v>0</v>
      </c>
    </row>
    <row r="241" spans="1:14" x14ac:dyDescent="0.2">
      <c r="A241" t="s">
        <v>430</v>
      </c>
      <c r="B241" s="1" t="s">
        <v>429</v>
      </c>
      <c r="C241" t="s">
        <v>106</v>
      </c>
      <c r="D241" t="s">
        <v>431</v>
      </c>
      <c r="E241">
        <v>6</v>
      </c>
      <c r="F241" t="s">
        <v>385</v>
      </c>
      <c r="G241">
        <v>2022</v>
      </c>
      <c r="H241" t="s">
        <v>309</v>
      </c>
      <c r="I241" t="s">
        <v>212</v>
      </c>
      <c r="J241">
        <v>-799</v>
      </c>
      <c r="K241">
        <v>320</v>
      </c>
      <c r="L241">
        <f>J241+K241</f>
        <v>-479</v>
      </c>
      <c r="M241">
        <v>240</v>
      </c>
      <c r="N241">
        <f>L241+M241</f>
        <v>-239</v>
      </c>
    </row>
    <row r="242" spans="1:14" x14ac:dyDescent="0.2">
      <c r="A242" t="s">
        <v>462</v>
      </c>
      <c r="B242" s="1" t="s">
        <v>458</v>
      </c>
      <c r="C242" t="s">
        <v>14</v>
      </c>
      <c r="D242" t="s">
        <v>81</v>
      </c>
      <c r="E242">
        <v>11</v>
      </c>
      <c r="F242" t="s">
        <v>385</v>
      </c>
      <c r="G242">
        <v>2022</v>
      </c>
      <c r="H242" t="s">
        <v>463</v>
      </c>
      <c r="I242" t="s">
        <v>253</v>
      </c>
      <c r="J242">
        <v>849</v>
      </c>
      <c r="K242">
        <v>250</v>
      </c>
      <c r="L242">
        <f t="shared" ref="L242:L246" si="76">J242-K242</f>
        <v>599</v>
      </c>
      <c r="M242">
        <v>240</v>
      </c>
      <c r="N242">
        <f t="shared" ref="N242:N246" si="77">L242-M242</f>
        <v>359</v>
      </c>
    </row>
    <row r="243" spans="1:14" x14ac:dyDescent="0.2">
      <c r="A243" t="s">
        <v>464</v>
      </c>
      <c r="B243" s="1" t="s">
        <v>458</v>
      </c>
      <c r="C243" t="s">
        <v>14</v>
      </c>
      <c r="D243" t="s">
        <v>81</v>
      </c>
      <c r="E243">
        <v>11</v>
      </c>
      <c r="F243" t="s">
        <v>385</v>
      </c>
      <c r="G243">
        <v>2022</v>
      </c>
      <c r="H243" t="s">
        <v>465</v>
      </c>
      <c r="I243" t="s">
        <v>144</v>
      </c>
      <c r="J243">
        <v>849</v>
      </c>
      <c r="K243">
        <v>250</v>
      </c>
      <c r="L243">
        <f t="shared" si="76"/>
        <v>599</v>
      </c>
      <c r="M243">
        <v>240</v>
      </c>
      <c r="N243">
        <f t="shared" si="77"/>
        <v>359</v>
      </c>
    </row>
    <row r="244" spans="1:14" x14ac:dyDescent="0.2">
      <c r="A244" t="s">
        <v>467</v>
      </c>
      <c r="B244" s="1" t="s">
        <v>466</v>
      </c>
      <c r="C244" t="s">
        <v>14</v>
      </c>
      <c r="D244" t="s">
        <v>445</v>
      </c>
      <c r="E244">
        <v>12</v>
      </c>
      <c r="F244" t="s">
        <v>385</v>
      </c>
      <c r="G244">
        <v>2022</v>
      </c>
      <c r="H244" t="s">
        <v>468</v>
      </c>
      <c r="I244" t="s">
        <v>23</v>
      </c>
      <c r="J244">
        <v>999</v>
      </c>
      <c r="K244">
        <v>325</v>
      </c>
      <c r="L244">
        <f t="shared" si="76"/>
        <v>674</v>
      </c>
      <c r="M244">
        <v>240</v>
      </c>
      <c r="N244">
        <f t="shared" si="77"/>
        <v>434</v>
      </c>
    </row>
    <row r="245" spans="1:14" x14ac:dyDescent="0.2">
      <c r="A245" t="s">
        <v>469</v>
      </c>
      <c r="B245" s="1" t="s">
        <v>458</v>
      </c>
      <c r="C245" t="s">
        <v>14</v>
      </c>
      <c r="D245" t="s">
        <v>425</v>
      </c>
      <c r="E245">
        <v>11</v>
      </c>
      <c r="F245" t="s">
        <v>385</v>
      </c>
      <c r="G245">
        <v>2022</v>
      </c>
      <c r="H245" t="s">
        <v>49</v>
      </c>
      <c r="I245" t="s">
        <v>32</v>
      </c>
      <c r="J245">
        <v>799</v>
      </c>
      <c r="K245">
        <v>205</v>
      </c>
      <c r="L245">
        <f t="shared" si="76"/>
        <v>594</v>
      </c>
      <c r="M245">
        <v>240</v>
      </c>
      <c r="N245">
        <f t="shared" si="77"/>
        <v>354</v>
      </c>
    </row>
    <row r="246" spans="1:14" x14ac:dyDescent="0.2">
      <c r="A246" t="s">
        <v>470</v>
      </c>
      <c r="B246" s="1" t="s">
        <v>466</v>
      </c>
      <c r="C246" t="s">
        <v>14</v>
      </c>
      <c r="D246" t="s">
        <v>387</v>
      </c>
      <c r="E246">
        <v>12</v>
      </c>
      <c r="F246" t="s">
        <v>385</v>
      </c>
      <c r="G246">
        <v>2022</v>
      </c>
      <c r="H246" t="s">
        <v>471</v>
      </c>
      <c r="I246" t="s">
        <v>62</v>
      </c>
      <c r="J246">
        <v>849</v>
      </c>
      <c r="K246">
        <v>250</v>
      </c>
      <c r="L246">
        <f t="shared" si="76"/>
        <v>599</v>
      </c>
      <c r="M246">
        <v>240</v>
      </c>
      <c r="N246">
        <f t="shared" si="77"/>
        <v>359</v>
      </c>
    </row>
    <row r="247" spans="1:14" x14ac:dyDescent="0.2">
      <c r="A247" t="s">
        <v>459</v>
      </c>
      <c r="B247" s="1" t="s">
        <v>458</v>
      </c>
      <c r="C247" t="s">
        <v>106</v>
      </c>
      <c r="D247" t="s">
        <v>460</v>
      </c>
      <c r="E247">
        <v>11</v>
      </c>
      <c r="F247" t="s">
        <v>385</v>
      </c>
      <c r="G247">
        <v>2022</v>
      </c>
      <c r="H247" t="s">
        <v>31</v>
      </c>
      <c r="I247" t="s">
        <v>32</v>
      </c>
      <c r="J247">
        <v>-849</v>
      </c>
      <c r="K247">
        <v>345</v>
      </c>
      <c r="L247">
        <f>J247+K247</f>
        <v>-504</v>
      </c>
      <c r="M247">
        <v>240</v>
      </c>
      <c r="N247">
        <f>L247+M247</f>
        <v>-264</v>
      </c>
    </row>
    <row r="248" spans="1:14" x14ac:dyDescent="0.2">
      <c r="A248" t="s">
        <v>473</v>
      </c>
      <c r="B248" s="1" t="s">
        <v>472</v>
      </c>
      <c r="C248" t="s">
        <v>14</v>
      </c>
      <c r="D248" t="s">
        <v>460</v>
      </c>
      <c r="E248">
        <v>13</v>
      </c>
      <c r="F248" t="s">
        <v>385</v>
      </c>
      <c r="G248">
        <v>2022</v>
      </c>
      <c r="H248" t="s">
        <v>474</v>
      </c>
      <c r="I248" t="s">
        <v>62</v>
      </c>
      <c r="J248">
        <v>849</v>
      </c>
      <c r="K248">
        <v>250</v>
      </c>
      <c r="L248">
        <f t="shared" ref="L248:L254" si="78">J248-K248</f>
        <v>599</v>
      </c>
      <c r="M248">
        <v>240</v>
      </c>
      <c r="N248">
        <f t="shared" ref="N248:N254" si="79">L248-M248</f>
        <v>359</v>
      </c>
    </row>
    <row r="249" spans="1:14" x14ac:dyDescent="0.2">
      <c r="A249" t="s">
        <v>476</v>
      </c>
      <c r="B249" s="1" t="s">
        <v>475</v>
      </c>
      <c r="C249" t="s">
        <v>14</v>
      </c>
      <c r="D249" t="s">
        <v>477</v>
      </c>
      <c r="E249">
        <v>14</v>
      </c>
      <c r="F249" t="s">
        <v>385</v>
      </c>
      <c r="G249">
        <v>2022</v>
      </c>
      <c r="H249" t="s">
        <v>104</v>
      </c>
      <c r="I249" t="s">
        <v>62</v>
      </c>
      <c r="J249">
        <v>999</v>
      </c>
      <c r="K249">
        <v>325</v>
      </c>
      <c r="L249">
        <f t="shared" si="78"/>
        <v>674</v>
      </c>
      <c r="M249">
        <v>240</v>
      </c>
      <c r="N249">
        <f t="shared" si="79"/>
        <v>434</v>
      </c>
    </row>
    <row r="250" spans="1:14" x14ac:dyDescent="0.2">
      <c r="A250" t="s">
        <v>478</v>
      </c>
      <c r="B250" s="1" t="s">
        <v>472</v>
      </c>
      <c r="C250" t="s">
        <v>14</v>
      </c>
      <c r="D250" t="s">
        <v>434</v>
      </c>
      <c r="E250">
        <v>13</v>
      </c>
      <c r="F250" t="s">
        <v>385</v>
      </c>
      <c r="G250">
        <v>2022</v>
      </c>
      <c r="H250" t="s">
        <v>479</v>
      </c>
      <c r="I250" t="s">
        <v>19</v>
      </c>
      <c r="J250">
        <v>799</v>
      </c>
      <c r="K250">
        <v>205</v>
      </c>
      <c r="L250">
        <f t="shared" si="78"/>
        <v>594</v>
      </c>
      <c r="M250">
        <v>240</v>
      </c>
      <c r="N250">
        <f t="shared" si="79"/>
        <v>354</v>
      </c>
    </row>
    <row r="251" spans="1:14" x14ac:dyDescent="0.2">
      <c r="A251" t="s">
        <v>480</v>
      </c>
      <c r="B251" s="1" t="s">
        <v>475</v>
      </c>
      <c r="C251" t="s">
        <v>14</v>
      </c>
      <c r="D251" t="s">
        <v>242</v>
      </c>
      <c r="E251">
        <v>14</v>
      </c>
      <c r="F251" t="s">
        <v>385</v>
      </c>
      <c r="G251">
        <v>2022</v>
      </c>
      <c r="H251" t="s">
        <v>481</v>
      </c>
      <c r="I251" t="s">
        <v>212</v>
      </c>
      <c r="J251">
        <v>999</v>
      </c>
      <c r="K251">
        <v>325</v>
      </c>
      <c r="L251">
        <f t="shared" si="78"/>
        <v>674</v>
      </c>
      <c r="M251">
        <v>240</v>
      </c>
      <c r="N251">
        <f t="shared" si="79"/>
        <v>434</v>
      </c>
    </row>
    <row r="252" spans="1:14" x14ac:dyDescent="0.2">
      <c r="A252" t="s">
        <v>482</v>
      </c>
      <c r="B252" s="1" t="s">
        <v>472</v>
      </c>
      <c r="C252" t="s">
        <v>14</v>
      </c>
      <c r="D252" t="s">
        <v>460</v>
      </c>
      <c r="E252">
        <v>13</v>
      </c>
      <c r="F252" t="s">
        <v>385</v>
      </c>
      <c r="G252">
        <v>2022</v>
      </c>
      <c r="H252" t="s">
        <v>301</v>
      </c>
      <c r="I252" t="s">
        <v>212</v>
      </c>
      <c r="J252">
        <v>849</v>
      </c>
      <c r="K252">
        <v>250</v>
      </c>
      <c r="L252">
        <f t="shared" si="78"/>
        <v>599</v>
      </c>
      <c r="M252">
        <v>240</v>
      </c>
      <c r="N252">
        <f t="shared" si="79"/>
        <v>359</v>
      </c>
    </row>
    <row r="253" spans="1:14" x14ac:dyDescent="0.2">
      <c r="A253" t="s">
        <v>483</v>
      </c>
      <c r="B253" s="1" t="s">
        <v>475</v>
      </c>
      <c r="C253" t="s">
        <v>14</v>
      </c>
      <c r="D253" t="s">
        <v>484</v>
      </c>
      <c r="E253">
        <v>14</v>
      </c>
      <c r="F253" t="s">
        <v>385</v>
      </c>
      <c r="G253">
        <v>2022</v>
      </c>
      <c r="H253" t="s">
        <v>485</v>
      </c>
      <c r="I253" t="s">
        <v>62</v>
      </c>
      <c r="J253">
        <v>799</v>
      </c>
      <c r="K253">
        <v>205</v>
      </c>
      <c r="L253">
        <f t="shared" si="78"/>
        <v>594</v>
      </c>
      <c r="M253">
        <v>240</v>
      </c>
      <c r="N253">
        <f t="shared" si="79"/>
        <v>354</v>
      </c>
    </row>
    <row r="254" spans="1:14" x14ac:dyDescent="0.2">
      <c r="A254" t="s">
        <v>486</v>
      </c>
      <c r="B254" s="1" t="s">
        <v>472</v>
      </c>
      <c r="C254" t="s">
        <v>14</v>
      </c>
      <c r="D254" t="s">
        <v>487</v>
      </c>
      <c r="E254">
        <v>13</v>
      </c>
      <c r="F254" t="s">
        <v>385</v>
      </c>
      <c r="G254">
        <v>2022</v>
      </c>
      <c r="H254" t="s">
        <v>488</v>
      </c>
      <c r="I254" t="s">
        <v>455</v>
      </c>
      <c r="J254">
        <v>799</v>
      </c>
      <c r="K254">
        <v>205</v>
      </c>
      <c r="L254">
        <f t="shared" si="78"/>
        <v>594</v>
      </c>
      <c r="M254">
        <v>240</v>
      </c>
      <c r="N254">
        <f t="shared" si="79"/>
        <v>354</v>
      </c>
    </row>
    <row r="255" spans="1:14" x14ac:dyDescent="0.2">
      <c r="A255" t="s">
        <v>489</v>
      </c>
      <c r="B255" s="1" t="s">
        <v>475</v>
      </c>
      <c r="C255" t="s">
        <v>43</v>
      </c>
      <c r="D255" t="s">
        <v>490</v>
      </c>
      <c r="E255">
        <v>14</v>
      </c>
      <c r="F255" t="s">
        <v>385</v>
      </c>
      <c r="G255">
        <v>2022</v>
      </c>
      <c r="H255" t="s">
        <v>235</v>
      </c>
      <c r="I255" t="s">
        <v>62</v>
      </c>
      <c r="J255">
        <v>0</v>
      </c>
      <c r="K255">
        <v>0</v>
      </c>
      <c r="L255">
        <v>0</v>
      </c>
      <c r="M255">
        <v>0</v>
      </c>
      <c r="N255">
        <v>0</v>
      </c>
    </row>
    <row r="256" spans="1:14" x14ac:dyDescent="0.2">
      <c r="A256" t="s">
        <v>416</v>
      </c>
      <c r="B256" s="1" t="s">
        <v>411</v>
      </c>
      <c r="C256" t="s">
        <v>106</v>
      </c>
      <c r="D256" t="s">
        <v>308</v>
      </c>
      <c r="E256">
        <v>4</v>
      </c>
      <c r="F256" t="s">
        <v>385</v>
      </c>
      <c r="G256">
        <v>2022</v>
      </c>
      <c r="H256" t="s">
        <v>417</v>
      </c>
      <c r="I256" t="s">
        <v>253</v>
      </c>
      <c r="J256">
        <v>-999</v>
      </c>
      <c r="K256">
        <v>395</v>
      </c>
      <c r="L256">
        <f>J256+K256</f>
        <v>-604</v>
      </c>
      <c r="M256">
        <v>240</v>
      </c>
      <c r="N256">
        <f>L256+M256</f>
        <v>-364</v>
      </c>
    </row>
    <row r="257" spans="1:14" x14ac:dyDescent="0.2">
      <c r="A257" t="s">
        <v>492</v>
      </c>
      <c r="B257" s="1" t="s">
        <v>491</v>
      </c>
      <c r="C257" t="s">
        <v>43</v>
      </c>
      <c r="D257" t="s">
        <v>420</v>
      </c>
      <c r="E257">
        <v>15</v>
      </c>
      <c r="F257" t="s">
        <v>385</v>
      </c>
      <c r="G257">
        <v>2022</v>
      </c>
      <c r="H257" t="s">
        <v>91</v>
      </c>
      <c r="I257" t="s">
        <v>23</v>
      </c>
      <c r="J257">
        <v>0</v>
      </c>
      <c r="K257">
        <v>0</v>
      </c>
      <c r="L257">
        <v>0</v>
      </c>
      <c r="M257">
        <v>0</v>
      </c>
      <c r="N257">
        <v>0</v>
      </c>
    </row>
    <row r="258" spans="1:14" x14ac:dyDescent="0.2">
      <c r="A258" t="s">
        <v>493</v>
      </c>
      <c r="B258" s="1" t="s">
        <v>491</v>
      </c>
      <c r="C258" t="s">
        <v>43</v>
      </c>
      <c r="D258" t="s">
        <v>494</v>
      </c>
      <c r="E258">
        <v>15</v>
      </c>
      <c r="F258" t="s">
        <v>385</v>
      </c>
      <c r="G258">
        <v>2022</v>
      </c>
      <c r="H258" t="s">
        <v>246</v>
      </c>
      <c r="I258" t="s">
        <v>58</v>
      </c>
      <c r="J258">
        <v>0</v>
      </c>
      <c r="K258">
        <v>0</v>
      </c>
      <c r="L258">
        <v>0</v>
      </c>
      <c r="M258">
        <v>0</v>
      </c>
      <c r="N258">
        <v>0</v>
      </c>
    </row>
    <row r="259" spans="1:14" x14ac:dyDescent="0.2">
      <c r="A259" t="s">
        <v>495</v>
      </c>
      <c r="B259" s="1" t="s">
        <v>491</v>
      </c>
      <c r="C259" t="s">
        <v>43</v>
      </c>
      <c r="D259" t="s">
        <v>420</v>
      </c>
      <c r="E259">
        <v>15</v>
      </c>
      <c r="F259" t="s">
        <v>385</v>
      </c>
      <c r="G259">
        <v>2022</v>
      </c>
      <c r="H259" t="s">
        <v>91</v>
      </c>
      <c r="I259" t="s">
        <v>23</v>
      </c>
      <c r="J259">
        <v>0</v>
      </c>
      <c r="K259">
        <v>0</v>
      </c>
      <c r="L259">
        <v>0</v>
      </c>
      <c r="M259">
        <v>0</v>
      </c>
      <c r="N259">
        <v>0</v>
      </c>
    </row>
    <row r="260" spans="1:14" x14ac:dyDescent="0.2">
      <c r="A260" t="s">
        <v>403</v>
      </c>
      <c r="B260" s="1" t="s">
        <v>402</v>
      </c>
      <c r="C260" t="s">
        <v>106</v>
      </c>
      <c r="D260" t="s">
        <v>81</v>
      </c>
      <c r="E260">
        <v>3</v>
      </c>
      <c r="F260" t="s">
        <v>385</v>
      </c>
      <c r="G260">
        <v>2022</v>
      </c>
      <c r="H260" t="s">
        <v>404</v>
      </c>
      <c r="I260" t="s">
        <v>58</v>
      </c>
      <c r="J260">
        <v>-849</v>
      </c>
      <c r="K260">
        <v>345</v>
      </c>
      <c r="L260">
        <f>J260+K260</f>
        <v>-504</v>
      </c>
      <c r="M260">
        <v>240</v>
      </c>
      <c r="N260">
        <f>L260+M260</f>
        <v>-264</v>
      </c>
    </row>
    <row r="261" spans="1:14" x14ac:dyDescent="0.2">
      <c r="A261" t="s">
        <v>496</v>
      </c>
      <c r="B261" s="1" t="s">
        <v>475</v>
      </c>
      <c r="C261" t="s">
        <v>14</v>
      </c>
      <c r="D261" t="s">
        <v>242</v>
      </c>
      <c r="E261">
        <v>14</v>
      </c>
      <c r="F261" t="s">
        <v>385</v>
      </c>
      <c r="G261">
        <v>2022</v>
      </c>
      <c r="H261" t="s">
        <v>497</v>
      </c>
      <c r="I261" t="s">
        <v>498</v>
      </c>
      <c r="J261">
        <v>999</v>
      </c>
      <c r="K261">
        <v>325</v>
      </c>
      <c r="L261">
        <f t="shared" ref="L261:L269" si="80">J261-K261</f>
        <v>674</v>
      </c>
      <c r="M261">
        <v>240</v>
      </c>
      <c r="N261">
        <f t="shared" ref="N261:N269" si="81">L261-M261</f>
        <v>434</v>
      </c>
    </row>
    <row r="262" spans="1:14" x14ac:dyDescent="0.2">
      <c r="A262" t="s">
        <v>499</v>
      </c>
      <c r="B262" s="1" t="s">
        <v>491</v>
      </c>
      <c r="C262" t="s">
        <v>14</v>
      </c>
      <c r="D262" t="s">
        <v>379</v>
      </c>
      <c r="E262">
        <v>15</v>
      </c>
      <c r="F262" t="s">
        <v>385</v>
      </c>
      <c r="G262">
        <v>2022</v>
      </c>
      <c r="H262" t="s">
        <v>170</v>
      </c>
      <c r="I262" t="s">
        <v>171</v>
      </c>
      <c r="J262">
        <v>849</v>
      </c>
      <c r="K262">
        <v>250</v>
      </c>
      <c r="L262">
        <f t="shared" si="80"/>
        <v>599</v>
      </c>
      <c r="M262">
        <v>240</v>
      </c>
      <c r="N262">
        <f t="shared" si="81"/>
        <v>359</v>
      </c>
    </row>
    <row r="263" spans="1:14" x14ac:dyDescent="0.2">
      <c r="A263" t="s">
        <v>500</v>
      </c>
      <c r="B263" s="1" t="s">
        <v>491</v>
      </c>
      <c r="C263" t="s">
        <v>14</v>
      </c>
      <c r="D263" t="s">
        <v>445</v>
      </c>
      <c r="E263">
        <v>15</v>
      </c>
      <c r="F263" t="s">
        <v>385</v>
      </c>
      <c r="G263">
        <v>2022</v>
      </c>
      <c r="H263" t="s">
        <v>501</v>
      </c>
      <c r="I263" t="s">
        <v>502</v>
      </c>
      <c r="J263">
        <v>999</v>
      </c>
      <c r="K263">
        <v>325</v>
      </c>
      <c r="L263">
        <f t="shared" si="80"/>
        <v>674</v>
      </c>
      <c r="M263">
        <v>240</v>
      </c>
      <c r="N263">
        <f t="shared" si="81"/>
        <v>434</v>
      </c>
    </row>
    <row r="264" spans="1:14" x14ac:dyDescent="0.2">
      <c r="A264" t="s">
        <v>503</v>
      </c>
      <c r="B264" s="1" t="s">
        <v>491</v>
      </c>
      <c r="C264" t="s">
        <v>14</v>
      </c>
      <c r="D264" t="s">
        <v>504</v>
      </c>
      <c r="E264">
        <v>15</v>
      </c>
      <c r="F264" t="s">
        <v>385</v>
      </c>
      <c r="G264">
        <v>2022</v>
      </c>
      <c r="H264" t="s">
        <v>150</v>
      </c>
      <c r="I264" t="s">
        <v>62</v>
      </c>
      <c r="J264">
        <v>999</v>
      </c>
      <c r="K264">
        <v>325</v>
      </c>
      <c r="L264">
        <f t="shared" si="80"/>
        <v>674</v>
      </c>
      <c r="M264">
        <v>240</v>
      </c>
      <c r="N264">
        <f t="shared" si="81"/>
        <v>434</v>
      </c>
    </row>
    <row r="265" spans="1:14" x14ac:dyDescent="0.2">
      <c r="A265" t="s">
        <v>505</v>
      </c>
      <c r="B265" s="1" t="s">
        <v>491</v>
      </c>
      <c r="C265" t="s">
        <v>14</v>
      </c>
      <c r="D265" t="s">
        <v>494</v>
      </c>
      <c r="E265">
        <v>15</v>
      </c>
      <c r="F265" t="s">
        <v>385</v>
      </c>
      <c r="G265">
        <v>2022</v>
      </c>
      <c r="H265" t="s">
        <v>246</v>
      </c>
      <c r="I265" t="s">
        <v>58</v>
      </c>
      <c r="J265">
        <v>799</v>
      </c>
      <c r="K265">
        <v>205</v>
      </c>
      <c r="L265">
        <f t="shared" si="80"/>
        <v>594</v>
      </c>
      <c r="M265">
        <v>240</v>
      </c>
      <c r="N265">
        <f t="shared" si="81"/>
        <v>354</v>
      </c>
    </row>
    <row r="266" spans="1:14" x14ac:dyDescent="0.2">
      <c r="A266" t="s">
        <v>506</v>
      </c>
      <c r="B266" s="1" t="s">
        <v>491</v>
      </c>
      <c r="C266" t="s">
        <v>14</v>
      </c>
      <c r="D266" t="s">
        <v>169</v>
      </c>
      <c r="E266">
        <v>15</v>
      </c>
      <c r="F266" t="s">
        <v>385</v>
      </c>
      <c r="G266">
        <v>2022</v>
      </c>
      <c r="H266" t="s">
        <v>170</v>
      </c>
      <c r="I266" t="s">
        <v>171</v>
      </c>
      <c r="J266">
        <v>849</v>
      </c>
      <c r="K266">
        <v>250</v>
      </c>
      <c r="L266">
        <f t="shared" si="80"/>
        <v>599</v>
      </c>
      <c r="M266">
        <v>240</v>
      </c>
      <c r="N266">
        <f t="shared" si="81"/>
        <v>359</v>
      </c>
    </row>
    <row r="267" spans="1:14" x14ac:dyDescent="0.2">
      <c r="A267" t="s">
        <v>507</v>
      </c>
      <c r="B267" s="1" t="s">
        <v>491</v>
      </c>
      <c r="C267" t="s">
        <v>14</v>
      </c>
      <c r="D267" t="s">
        <v>508</v>
      </c>
      <c r="E267">
        <v>15</v>
      </c>
      <c r="F267" t="s">
        <v>385</v>
      </c>
      <c r="G267">
        <v>2022</v>
      </c>
      <c r="H267" t="s">
        <v>509</v>
      </c>
      <c r="I267" t="s">
        <v>62</v>
      </c>
      <c r="J267">
        <v>849</v>
      </c>
      <c r="K267">
        <v>250</v>
      </c>
      <c r="L267">
        <f t="shared" si="80"/>
        <v>599</v>
      </c>
      <c r="M267">
        <v>240</v>
      </c>
      <c r="N267">
        <f t="shared" si="81"/>
        <v>359</v>
      </c>
    </row>
    <row r="268" spans="1:14" x14ac:dyDescent="0.2">
      <c r="A268" t="s">
        <v>489</v>
      </c>
      <c r="B268" s="1" t="s">
        <v>475</v>
      </c>
      <c r="C268" t="s">
        <v>14</v>
      </c>
      <c r="D268" t="s">
        <v>490</v>
      </c>
      <c r="E268">
        <v>14</v>
      </c>
      <c r="F268" t="s">
        <v>385</v>
      </c>
      <c r="G268">
        <v>2022</v>
      </c>
      <c r="H268" t="s">
        <v>235</v>
      </c>
      <c r="I268" t="s">
        <v>62</v>
      </c>
      <c r="J268">
        <v>999</v>
      </c>
      <c r="K268">
        <v>325</v>
      </c>
      <c r="L268">
        <f t="shared" si="80"/>
        <v>674</v>
      </c>
      <c r="M268">
        <v>240</v>
      </c>
      <c r="N268">
        <f t="shared" si="81"/>
        <v>434</v>
      </c>
    </row>
    <row r="269" spans="1:14" x14ac:dyDescent="0.2">
      <c r="A269" t="s">
        <v>511</v>
      </c>
      <c r="B269" s="1" t="s">
        <v>510</v>
      </c>
      <c r="C269" t="s">
        <v>14</v>
      </c>
      <c r="D269" t="s">
        <v>420</v>
      </c>
      <c r="E269">
        <v>16</v>
      </c>
      <c r="F269" t="s">
        <v>385</v>
      </c>
      <c r="G269">
        <v>2022</v>
      </c>
      <c r="H269" t="s">
        <v>91</v>
      </c>
      <c r="I269" t="s">
        <v>23</v>
      </c>
      <c r="J269">
        <v>999</v>
      </c>
      <c r="K269">
        <v>325</v>
      </c>
      <c r="L269">
        <f t="shared" si="80"/>
        <v>674</v>
      </c>
      <c r="M269">
        <v>240</v>
      </c>
      <c r="N269">
        <f t="shared" si="81"/>
        <v>434</v>
      </c>
    </row>
    <row r="270" spans="1:14" x14ac:dyDescent="0.2">
      <c r="A270" t="s">
        <v>464</v>
      </c>
      <c r="B270" s="1" t="s">
        <v>458</v>
      </c>
      <c r="C270" t="s">
        <v>106</v>
      </c>
      <c r="D270" t="s">
        <v>81</v>
      </c>
      <c r="E270">
        <v>11</v>
      </c>
      <c r="F270" t="s">
        <v>385</v>
      </c>
      <c r="G270">
        <v>2022</v>
      </c>
      <c r="H270" t="s">
        <v>465</v>
      </c>
      <c r="I270" t="s">
        <v>144</v>
      </c>
      <c r="J270">
        <v>-849</v>
      </c>
      <c r="K270">
        <v>345</v>
      </c>
      <c r="L270">
        <f>J270+K270</f>
        <v>-504</v>
      </c>
      <c r="M270">
        <v>240</v>
      </c>
      <c r="N270">
        <f>L270+M270</f>
        <v>-264</v>
      </c>
    </row>
    <row r="271" spans="1:14" x14ac:dyDescent="0.2">
      <c r="A271" t="s">
        <v>513</v>
      </c>
      <c r="B271" s="1" t="s">
        <v>512</v>
      </c>
      <c r="C271" t="s">
        <v>14</v>
      </c>
      <c r="D271" t="s">
        <v>440</v>
      </c>
      <c r="E271">
        <v>17</v>
      </c>
      <c r="F271" t="s">
        <v>385</v>
      </c>
      <c r="G271">
        <v>2022</v>
      </c>
      <c r="H271" t="s">
        <v>514</v>
      </c>
      <c r="I271" t="s">
        <v>58</v>
      </c>
      <c r="J271">
        <v>849</v>
      </c>
      <c r="K271">
        <v>250</v>
      </c>
      <c r="L271">
        <f>J271-K271</f>
        <v>599</v>
      </c>
      <c r="M271">
        <v>240</v>
      </c>
      <c r="N271">
        <f>L271-M271</f>
        <v>359</v>
      </c>
    </row>
    <row r="272" spans="1:14" x14ac:dyDescent="0.2">
      <c r="A272" t="s">
        <v>467</v>
      </c>
      <c r="B272" s="1" t="s">
        <v>466</v>
      </c>
      <c r="C272" t="s">
        <v>106</v>
      </c>
      <c r="D272" t="s">
        <v>445</v>
      </c>
      <c r="E272">
        <v>12</v>
      </c>
      <c r="F272" t="s">
        <v>385</v>
      </c>
      <c r="G272">
        <v>2022</v>
      </c>
      <c r="H272" t="s">
        <v>468</v>
      </c>
      <c r="I272" t="s">
        <v>23</v>
      </c>
      <c r="J272">
        <v>-999</v>
      </c>
      <c r="K272">
        <v>395</v>
      </c>
      <c r="L272">
        <f t="shared" ref="L272:L273" si="82">J272+K272</f>
        <v>-604</v>
      </c>
      <c r="M272">
        <v>240</v>
      </c>
      <c r="N272">
        <f t="shared" ref="N272:N273" si="83">L272+M272</f>
        <v>-364</v>
      </c>
    </row>
    <row r="273" spans="1:14" x14ac:dyDescent="0.2">
      <c r="A273" t="s">
        <v>405</v>
      </c>
      <c r="B273" s="1" t="s">
        <v>402</v>
      </c>
      <c r="C273" t="s">
        <v>106</v>
      </c>
      <c r="D273" t="s">
        <v>448</v>
      </c>
      <c r="E273">
        <v>3</v>
      </c>
      <c r="F273" t="s">
        <v>385</v>
      </c>
      <c r="G273">
        <v>2022</v>
      </c>
      <c r="H273" t="s">
        <v>406</v>
      </c>
      <c r="I273" t="s">
        <v>406</v>
      </c>
      <c r="J273">
        <v>-999</v>
      </c>
      <c r="K273">
        <v>395</v>
      </c>
      <c r="L273">
        <f t="shared" si="82"/>
        <v>-604</v>
      </c>
      <c r="M273">
        <v>240</v>
      </c>
      <c r="N273">
        <f t="shared" si="83"/>
        <v>-364</v>
      </c>
    </row>
    <row r="274" spans="1:14" x14ac:dyDescent="0.2">
      <c r="A274" t="s">
        <v>516</v>
      </c>
      <c r="B274" s="1" t="s">
        <v>515</v>
      </c>
      <c r="C274" t="s">
        <v>14</v>
      </c>
      <c r="D274" t="s">
        <v>166</v>
      </c>
      <c r="E274">
        <v>18</v>
      </c>
      <c r="F274" t="s">
        <v>385</v>
      </c>
      <c r="G274">
        <v>2022</v>
      </c>
      <c r="H274" t="s">
        <v>517</v>
      </c>
      <c r="I274" t="s">
        <v>122</v>
      </c>
      <c r="J274">
        <v>849</v>
      </c>
      <c r="K274">
        <v>250</v>
      </c>
      <c r="L274">
        <f t="shared" ref="L274:L284" si="84">J274-K274</f>
        <v>599</v>
      </c>
      <c r="M274">
        <v>240</v>
      </c>
      <c r="N274">
        <f t="shared" ref="N274:N284" si="85">L274-M274</f>
        <v>359</v>
      </c>
    </row>
    <row r="275" spans="1:14" x14ac:dyDescent="0.2">
      <c r="A275" t="s">
        <v>518</v>
      </c>
      <c r="B275" s="1" t="s">
        <v>512</v>
      </c>
      <c r="C275" t="s">
        <v>14</v>
      </c>
      <c r="D275" t="s">
        <v>504</v>
      </c>
      <c r="E275">
        <v>17</v>
      </c>
      <c r="F275" t="s">
        <v>385</v>
      </c>
      <c r="G275">
        <v>2022</v>
      </c>
      <c r="H275" t="s">
        <v>519</v>
      </c>
      <c r="I275" t="s">
        <v>58</v>
      </c>
      <c r="J275">
        <v>999</v>
      </c>
      <c r="K275">
        <v>325</v>
      </c>
      <c r="L275">
        <f t="shared" si="84"/>
        <v>674</v>
      </c>
      <c r="M275">
        <v>240</v>
      </c>
      <c r="N275">
        <f t="shared" si="85"/>
        <v>434</v>
      </c>
    </row>
    <row r="276" spans="1:14" x14ac:dyDescent="0.2">
      <c r="A276" t="s">
        <v>520</v>
      </c>
      <c r="B276" s="1" t="s">
        <v>512</v>
      </c>
      <c r="C276" t="s">
        <v>14</v>
      </c>
      <c r="D276" t="s">
        <v>379</v>
      </c>
      <c r="E276">
        <v>17</v>
      </c>
      <c r="F276" t="s">
        <v>385</v>
      </c>
      <c r="G276">
        <v>2022</v>
      </c>
      <c r="H276" t="s">
        <v>521</v>
      </c>
      <c r="I276" t="s">
        <v>253</v>
      </c>
      <c r="J276">
        <v>849</v>
      </c>
      <c r="K276">
        <v>250</v>
      </c>
      <c r="L276">
        <f t="shared" si="84"/>
        <v>599</v>
      </c>
      <c r="M276">
        <v>240</v>
      </c>
      <c r="N276">
        <f t="shared" si="85"/>
        <v>359</v>
      </c>
    </row>
    <row r="277" spans="1:14" x14ac:dyDescent="0.2">
      <c r="A277" t="s">
        <v>522</v>
      </c>
      <c r="B277" s="1" t="s">
        <v>512</v>
      </c>
      <c r="C277" t="s">
        <v>14</v>
      </c>
      <c r="D277" t="s">
        <v>379</v>
      </c>
      <c r="E277">
        <v>17</v>
      </c>
      <c r="F277" t="s">
        <v>385</v>
      </c>
      <c r="G277">
        <v>2022</v>
      </c>
      <c r="H277" t="s">
        <v>523</v>
      </c>
      <c r="I277" t="s">
        <v>28</v>
      </c>
      <c r="J277">
        <v>849</v>
      </c>
      <c r="K277">
        <v>250</v>
      </c>
      <c r="L277">
        <f t="shared" si="84"/>
        <v>599</v>
      </c>
      <c r="M277">
        <v>240</v>
      </c>
      <c r="N277">
        <f t="shared" si="85"/>
        <v>359</v>
      </c>
    </row>
    <row r="278" spans="1:14" x14ac:dyDescent="0.2">
      <c r="A278" t="s">
        <v>524</v>
      </c>
      <c r="B278" s="1" t="s">
        <v>512</v>
      </c>
      <c r="C278" t="s">
        <v>14</v>
      </c>
      <c r="D278" t="s">
        <v>81</v>
      </c>
      <c r="E278">
        <v>17</v>
      </c>
      <c r="F278" t="s">
        <v>385</v>
      </c>
      <c r="G278">
        <v>2022</v>
      </c>
      <c r="H278" t="s">
        <v>296</v>
      </c>
      <c r="I278" t="s">
        <v>85</v>
      </c>
      <c r="J278">
        <v>849</v>
      </c>
      <c r="K278">
        <v>250</v>
      </c>
      <c r="L278">
        <f t="shared" si="84"/>
        <v>599</v>
      </c>
      <c r="M278">
        <v>240</v>
      </c>
      <c r="N278">
        <f t="shared" si="85"/>
        <v>359</v>
      </c>
    </row>
    <row r="279" spans="1:14" x14ac:dyDescent="0.2">
      <c r="A279" t="s">
        <v>525</v>
      </c>
      <c r="B279" s="1" t="s">
        <v>512</v>
      </c>
      <c r="C279" t="s">
        <v>14</v>
      </c>
      <c r="D279" t="s">
        <v>166</v>
      </c>
      <c r="E279">
        <v>17</v>
      </c>
      <c r="F279" t="s">
        <v>385</v>
      </c>
      <c r="G279">
        <v>2022</v>
      </c>
      <c r="H279" t="s">
        <v>31</v>
      </c>
      <c r="I279" t="s">
        <v>32</v>
      </c>
      <c r="J279">
        <v>849</v>
      </c>
      <c r="K279">
        <v>250</v>
      </c>
      <c r="L279">
        <f t="shared" si="84"/>
        <v>599</v>
      </c>
      <c r="M279">
        <v>240</v>
      </c>
      <c r="N279">
        <f t="shared" si="85"/>
        <v>359</v>
      </c>
    </row>
    <row r="280" spans="1:14" x14ac:dyDescent="0.2">
      <c r="A280" t="s">
        <v>526</v>
      </c>
      <c r="B280" s="1" t="s">
        <v>515</v>
      </c>
      <c r="C280" t="s">
        <v>14</v>
      </c>
      <c r="D280" t="s">
        <v>460</v>
      </c>
      <c r="E280">
        <v>18</v>
      </c>
      <c r="F280" t="s">
        <v>385</v>
      </c>
      <c r="G280">
        <v>2022</v>
      </c>
      <c r="H280" t="s">
        <v>246</v>
      </c>
      <c r="I280" t="s">
        <v>58</v>
      </c>
      <c r="J280">
        <v>849</v>
      </c>
      <c r="K280">
        <v>250</v>
      </c>
      <c r="L280">
        <f t="shared" si="84"/>
        <v>599</v>
      </c>
      <c r="M280">
        <v>240</v>
      </c>
      <c r="N280">
        <f t="shared" si="85"/>
        <v>359</v>
      </c>
    </row>
    <row r="281" spans="1:14" x14ac:dyDescent="0.2">
      <c r="A281" t="s">
        <v>527</v>
      </c>
      <c r="B281" s="1" t="s">
        <v>515</v>
      </c>
      <c r="C281" t="s">
        <v>14</v>
      </c>
      <c r="D281" t="s">
        <v>528</v>
      </c>
      <c r="E281">
        <v>18</v>
      </c>
      <c r="F281" t="s">
        <v>385</v>
      </c>
      <c r="G281">
        <v>2022</v>
      </c>
      <c r="H281" t="s">
        <v>84</v>
      </c>
      <c r="I281" t="s">
        <v>85</v>
      </c>
      <c r="J281">
        <v>849</v>
      </c>
      <c r="K281">
        <v>250</v>
      </c>
      <c r="L281">
        <f t="shared" si="84"/>
        <v>599</v>
      </c>
      <c r="M281">
        <v>240</v>
      </c>
      <c r="N281">
        <f t="shared" si="85"/>
        <v>359</v>
      </c>
    </row>
    <row r="282" spans="1:14" x14ac:dyDescent="0.2">
      <c r="A282" t="s">
        <v>529</v>
      </c>
      <c r="B282" s="1" t="s">
        <v>515</v>
      </c>
      <c r="C282" t="s">
        <v>14</v>
      </c>
      <c r="D282" t="s">
        <v>440</v>
      </c>
      <c r="E282">
        <v>18</v>
      </c>
      <c r="F282" t="s">
        <v>385</v>
      </c>
      <c r="G282">
        <v>2022</v>
      </c>
      <c r="H282" t="s">
        <v>530</v>
      </c>
      <c r="I282" t="s">
        <v>23</v>
      </c>
      <c r="J282">
        <v>849</v>
      </c>
      <c r="K282">
        <v>250</v>
      </c>
      <c r="L282">
        <f t="shared" si="84"/>
        <v>599</v>
      </c>
      <c r="M282">
        <v>240</v>
      </c>
      <c r="N282">
        <f t="shared" si="85"/>
        <v>359</v>
      </c>
    </row>
    <row r="283" spans="1:14" x14ac:dyDescent="0.2">
      <c r="A283" t="s">
        <v>531</v>
      </c>
      <c r="B283" s="1" t="s">
        <v>515</v>
      </c>
      <c r="C283" t="s">
        <v>14</v>
      </c>
      <c r="D283" t="s">
        <v>532</v>
      </c>
      <c r="E283">
        <v>18</v>
      </c>
      <c r="F283" t="s">
        <v>385</v>
      </c>
      <c r="G283">
        <v>2022</v>
      </c>
      <c r="H283" t="s">
        <v>101</v>
      </c>
      <c r="I283" t="s">
        <v>62</v>
      </c>
      <c r="J283">
        <v>849</v>
      </c>
      <c r="K283">
        <v>250</v>
      </c>
      <c r="L283">
        <f t="shared" si="84"/>
        <v>599</v>
      </c>
      <c r="M283">
        <v>240</v>
      </c>
      <c r="N283">
        <f t="shared" si="85"/>
        <v>359</v>
      </c>
    </row>
    <row r="284" spans="1:14" x14ac:dyDescent="0.2">
      <c r="A284" t="s">
        <v>533</v>
      </c>
      <c r="B284" s="1" t="s">
        <v>515</v>
      </c>
      <c r="C284" t="s">
        <v>14</v>
      </c>
      <c r="D284" t="s">
        <v>387</v>
      </c>
      <c r="E284">
        <v>18</v>
      </c>
      <c r="F284" t="s">
        <v>385</v>
      </c>
      <c r="G284">
        <v>2022</v>
      </c>
      <c r="H284" t="s">
        <v>534</v>
      </c>
      <c r="I284" t="s">
        <v>23</v>
      </c>
      <c r="J284">
        <v>849</v>
      </c>
      <c r="K284">
        <v>250</v>
      </c>
      <c r="L284">
        <f t="shared" si="84"/>
        <v>599</v>
      </c>
      <c r="M284">
        <v>240</v>
      </c>
      <c r="N284">
        <f t="shared" si="85"/>
        <v>359</v>
      </c>
    </row>
    <row r="285" spans="1:14" x14ac:dyDescent="0.2">
      <c r="A285" t="s">
        <v>439</v>
      </c>
      <c r="B285" s="1" t="s">
        <v>436</v>
      </c>
      <c r="C285" t="s">
        <v>106</v>
      </c>
      <c r="D285" t="s">
        <v>440</v>
      </c>
      <c r="E285">
        <v>8</v>
      </c>
      <c r="F285" t="s">
        <v>385</v>
      </c>
      <c r="G285">
        <v>2022</v>
      </c>
      <c r="H285" t="s">
        <v>441</v>
      </c>
      <c r="I285" t="s">
        <v>28</v>
      </c>
      <c r="J285">
        <v>-849</v>
      </c>
      <c r="K285">
        <v>345</v>
      </c>
      <c r="L285">
        <f t="shared" ref="L285:L287" si="86">J285+K285</f>
        <v>-504</v>
      </c>
      <c r="M285">
        <v>240</v>
      </c>
      <c r="N285">
        <f t="shared" ref="N285:N287" si="87">L285+M285</f>
        <v>-264</v>
      </c>
    </row>
    <row r="286" spans="1:14" x14ac:dyDescent="0.2">
      <c r="A286" t="s">
        <v>412</v>
      </c>
      <c r="B286" s="1" t="s">
        <v>411</v>
      </c>
      <c r="C286" t="s">
        <v>106</v>
      </c>
      <c r="D286" t="s">
        <v>387</v>
      </c>
      <c r="E286">
        <v>4</v>
      </c>
      <c r="F286" t="s">
        <v>385</v>
      </c>
      <c r="G286">
        <v>2022</v>
      </c>
      <c r="H286" t="s">
        <v>413</v>
      </c>
      <c r="I286" t="s">
        <v>122</v>
      </c>
      <c r="J286">
        <v>-849</v>
      </c>
      <c r="K286">
        <v>345</v>
      </c>
      <c r="L286">
        <f t="shared" si="86"/>
        <v>-504</v>
      </c>
      <c r="M286">
        <v>240</v>
      </c>
      <c r="N286">
        <f t="shared" si="87"/>
        <v>-264</v>
      </c>
    </row>
    <row r="287" spans="1:14" x14ac:dyDescent="0.2">
      <c r="A287" t="s">
        <v>473</v>
      </c>
      <c r="B287" s="1" t="s">
        <v>472</v>
      </c>
      <c r="C287" t="s">
        <v>106</v>
      </c>
      <c r="D287" t="s">
        <v>460</v>
      </c>
      <c r="E287">
        <v>13</v>
      </c>
      <c r="F287" t="s">
        <v>385</v>
      </c>
      <c r="G287">
        <v>2022</v>
      </c>
      <c r="H287" t="s">
        <v>474</v>
      </c>
      <c r="I287" t="s">
        <v>62</v>
      </c>
      <c r="J287">
        <v>-849</v>
      </c>
      <c r="K287">
        <v>345</v>
      </c>
      <c r="L287">
        <f t="shared" si="86"/>
        <v>-504</v>
      </c>
      <c r="M287">
        <v>240</v>
      </c>
      <c r="N287">
        <f t="shared" si="87"/>
        <v>-264</v>
      </c>
    </row>
    <row r="288" spans="1:14" x14ac:dyDescent="0.2">
      <c r="A288" t="s">
        <v>536</v>
      </c>
      <c r="B288" s="1" t="s">
        <v>535</v>
      </c>
      <c r="C288" t="s">
        <v>14</v>
      </c>
      <c r="D288" t="s">
        <v>537</v>
      </c>
      <c r="E288">
        <v>20</v>
      </c>
      <c r="F288" t="s">
        <v>385</v>
      </c>
      <c r="G288">
        <v>2022</v>
      </c>
      <c r="H288" t="s">
        <v>538</v>
      </c>
      <c r="I288" t="s">
        <v>253</v>
      </c>
      <c r="J288">
        <v>799</v>
      </c>
      <c r="K288">
        <v>205</v>
      </c>
      <c r="L288">
        <f>J288-K288</f>
        <v>594</v>
      </c>
      <c r="M288">
        <v>240</v>
      </c>
      <c r="N288">
        <f>L288-M288</f>
        <v>354</v>
      </c>
    </row>
    <row r="289" spans="1:14" x14ac:dyDescent="0.2">
      <c r="A289" t="s">
        <v>500</v>
      </c>
      <c r="B289" s="1" t="s">
        <v>491</v>
      </c>
      <c r="C289" t="s">
        <v>106</v>
      </c>
      <c r="D289" t="s">
        <v>445</v>
      </c>
      <c r="E289">
        <v>15</v>
      </c>
      <c r="F289" t="s">
        <v>385</v>
      </c>
      <c r="G289">
        <v>2022</v>
      </c>
      <c r="H289" t="s">
        <v>501</v>
      </c>
      <c r="I289" t="s">
        <v>502</v>
      </c>
      <c r="J289">
        <v>-999</v>
      </c>
      <c r="K289">
        <v>395</v>
      </c>
      <c r="L289">
        <f>J289+K289</f>
        <v>-604</v>
      </c>
      <c r="M289">
        <v>240</v>
      </c>
      <c r="N289">
        <f>L289+M289</f>
        <v>-364</v>
      </c>
    </row>
    <row r="290" spans="1:14" x14ac:dyDescent="0.2">
      <c r="A290" t="s">
        <v>540</v>
      </c>
      <c r="B290" s="1" t="s">
        <v>539</v>
      </c>
      <c r="C290" t="s">
        <v>14</v>
      </c>
      <c r="D290" t="s">
        <v>81</v>
      </c>
      <c r="E290">
        <v>22</v>
      </c>
      <c r="F290" t="s">
        <v>385</v>
      </c>
      <c r="G290">
        <v>2022</v>
      </c>
      <c r="H290" t="s">
        <v>208</v>
      </c>
      <c r="I290" t="s">
        <v>97</v>
      </c>
      <c r="J290">
        <v>849</v>
      </c>
      <c r="K290">
        <v>250</v>
      </c>
      <c r="L290">
        <f t="shared" ref="L290:L305" si="88">J290-K290</f>
        <v>599</v>
      </c>
      <c r="M290">
        <v>240</v>
      </c>
      <c r="N290">
        <f t="shared" ref="N290:N305" si="89">L290-M290</f>
        <v>359</v>
      </c>
    </row>
    <row r="291" spans="1:14" x14ac:dyDescent="0.2">
      <c r="A291" t="s">
        <v>541</v>
      </c>
      <c r="B291" s="1" t="s">
        <v>539</v>
      </c>
      <c r="C291" t="s">
        <v>14</v>
      </c>
      <c r="D291" t="s">
        <v>542</v>
      </c>
      <c r="E291">
        <v>22</v>
      </c>
      <c r="F291" t="s">
        <v>385</v>
      </c>
      <c r="G291">
        <v>2022</v>
      </c>
      <c r="H291" t="s">
        <v>543</v>
      </c>
      <c r="I291" t="s">
        <v>62</v>
      </c>
      <c r="J291">
        <v>849</v>
      </c>
      <c r="K291">
        <v>250</v>
      </c>
      <c r="L291">
        <f t="shared" si="88"/>
        <v>599</v>
      </c>
      <c r="M291">
        <v>240</v>
      </c>
      <c r="N291">
        <f t="shared" si="89"/>
        <v>359</v>
      </c>
    </row>
    <row r="292" spans="1:14" x14ac:dyDescent="0.2">
      <c r="A292" t="s">
        <v>544</v>
      </c>
      <c r="B292" s="1" t="s">
        <v>539</v>
      </c>
      <c r="C292" t="s">
        <v>14</v>
      </c>
      <c r="D292" t="s">
        <v>545</v>
      </c>
      <c r="E292">
        <v>22</v>
      </c>
      <c r="F292" t="s">
        <v>385</v>
      </c>
      <c r="G292">
        <v>2022</v>
      </c>
      <c r="H292" t="s">
        <v>543</v>
      </c>
      <c r="I292" t="s">
        <v>62</v>
      </c>
      <c r="J292">
        <v>799</v>
      </c>
      <c r="K292">
        <v>205</v>
      </c>
      <c r="L292">
        <f t="shared" si="88"/>
        <v>594</v>
      </c>
      <c r="M292">
        <v>240</v>
      </c>
      <c r="N292">
        <f t="shared" si="89"/>
        <v>354</v>
      </c>
    </row>
    <row r="293" spans="1:14" x14ac:dyDescent="0.2">
      <c r="A293" t="s">
        <v>547</v>
      </c>
      <c r="B293" s="1" t="s">
        <v>546</v>
      </c>
      <c r="C293" t="s">
        <v>14</v>
      </c>
      <c r="D293" t="s">
        <v>548</v>
      </c>
      <c r="E293">
        <v>23</v>
      </c>
      <c r="F293" t="s">
        <v>385</v>
      </c>
      <c r="G293">
        <v>2022</v>
      </c>
      <c r="H293" t="s">
        <v>549</v>
      </c>
      <c r="I293" t="s">
        <v>163</v>
      </c>
      <c r="J293">
        <v>999</v>
      </c>
      <c r="K293">
        <v>325</v>
      </c>
      <c r="L293">
        <f t="shared" si="88"/>
        <v>674</v>
      </c>
      <c r="M293">
        <v>240</v>
      </c>
      <c r="N293">
        <f t="shared" si="89"/>
        <v>434</v>
      </c>
    </row>
    <row r="294" spans="1:14" x14ac:dyDescent="0.2">
      <c r="A294" t="s">
        <v>550</v>
      </c>
      <c r="B294" s="1" t="s">
        <v>539</v>
      </c>
      <c r="C294" t="s">
        <v>14</v>
      </c>
      <c r="D294" t="s">
        <v>192</v>
      </c>
      <c r="E294">
        <v>22</v>
      </c>
      <c r="F294" t="s">
        <v>385</v>
      </c>
      <c r="G294">
        <v>2022</v>
      </c>
      <c r="H294" t="s">
        <v>551</v>
      </c>
      <c r="I294" t="s">
        <v>97</v>
      </c>
      <c r="J294">
        <v>799</v>
      </c>
      <c r="K294">
        <v>205</v>
      </c>
      <c r="L294">
        <f t="shared" si="88"/>
        <v>594</v>
      </c>
      <c r="M294">
        <v>240</v>
      </c>
      <c r="N294">
        <f t="shared" si="89"/>
        <v>354</v>
      </c>
    </row>
    <row r="295" spans="1:14" x14ac:dyDescent="0.2">
      <c r="A295" t="s">
        <v>553</v>
      </c>
      <c r="B295" s="1" t="s">
        <v>552</v>
      </c>
      <c r="C295" t="s">
        <v>14</v>
      </c>
      <c r="D295" t="s">
        <v>440</v>
      </c>
      <c r="E295">
        <v>21</v>
      </c>
      <c r="F295" t="s">
        <v>385</v>
      </c>
      <c r="G295">
        <v>2022</v>
      </c>
      <c r="H295" t="s">
        <v>246</v>
      </c>
      <c r="I295" t="s">
        <v>58</v>
      </c>
      <c r="J295">
        <v>849</v>
      </c>
      <c r="K295">
        <v>250</v>
      </c>
      <c r="L295">
        <f t="shared" si="88"/>
        <v>599</v>
      </c>
      <c r="M295">
        <v>240</v>
      </c>
      <c r="N295">
        <f t="shared" si="89"/>
        <v>359</v>
      </c>
    </row>
    <row r="296" spans="1:14" x14ac:dyDescent="0.2">
      <c r="A296" t="s">
        <v>554</v>
      </c>
      <c r="B296" s="1" t="s">
        <v>539</v>
      </c>
      <c r="C296" t="s">
        <v>14</v>
      </c>
      <c r="D296" t="s">
        <v>555</v>
      </c>
      <c r="E296">
        <v>22</v>
      </c>
      <c r="F296" t="s">
        <v>385</v>
      </c>
      <c r="G296">
        <v>2022</v>
      </c>
      <c r="H296" t="s">
        <v>246</v>
      </c>
      <c r="I296" t="s">
        <v>58</v>
      </c>
      <c r="J296">
        <v>799</v>
      </c>
      <c r="K296">
        <v>205</v>
      </c>
      <c r="L296">
        <f t="shared" si="88"/>
        <v>594</v>
      </c>
      <c r="M296">
        <v>240</v>
      </c>
      <c r="N296">
        <f t="shared" si="89"/>
        <v>354</v>
      </c>
    </row>
    <row r="297" spans="1:14" x14ac:dyDescent="0.2">
      <c r="A297" t="s">
        <v>556</v>
      </c>
      <c r="B297" s="1" t="s">
        <v>539</v>
      </c>
      <c r="C297" t="s">
        <v>14</v>
      </c>
      <c r="D297" t="s">
        <v>81</v>
      </c>
      <c r="E297">
        <v>22</v>
      </c>
      <c r="F297" t="s">
        <v>385</v>
      </c>
      <c r="G297">
        <v>2022</v>
      </c>
      <c r="H297" t="s">
        <v>272</v>
      </c>
      <c r="I297" t="s">
        <v>23</v>
      </c>
      <c r="J297">
        <v>849</v>
      </c>
      <c r="K297">
        <v>250</v>
      </c>
      <c r="L297">
        <f t="shared" si="88"/>
        <v>599</v>
      </c>
      <c r="M297">
        <v>240</v>
      </c>
      <c r="N297">
        <f t="shared" si="89"/>
        <v>359</v>
      </c>
    </row>
    <row r="298" spans="1:14" x14ac:dyDescent="0.2">
      <c r="A298" t="s">
        <v>557</v>
      </c>
      <c r="B298" s="1" t="s">
        <v>539</v>
      </c>
      <c r="C298" t="s">
        <v>14</v>
      </c>
      <c r="D298" t="s">
        <v>81</v>
      </c>
      <c r="E298">
        <v>22</v>
      </c>
      <c r="F298" t="s">
        <v>385</v>
      </c>
      <c r="G298">
        <v>2022</v>
      </c>
      <c r="H298" t="s">
        <v>104</v>
      </c>
      <c r="I298" t="s">
        <v>62</v>
      </c>
      <c r="J298">
        <v>849</v>
      </c>
      <c r="K298">
        <v>250</v>
      </c>
      <c r="L298">
        <f t="shared" si="88"/>
        <v>599</v>
      </c>
      <c r="M298">
        <v>240</v>
      </c>
      <c r="N298">
        <f t="shared" si="89"/>
        <v>359</v>
      </c>
    </row>
    <row r="299" spans="1:14" x14ac:dyDescent="0.2">
      <c r="A299" t="s">
        <v>558</v>
      </c>
      <c r="B299" s="1" t="s">
        <v>546</v>
      </c>
      <c r="C299" t="s">
        <v>14</v>
      </c>
      <c r="D299" t="s">
        <v>559</v>
      </c>
      <c r="E299">
        <v>23</v>
      </c>
      <c r="F299" t="s">
        <v>385</v>
      </c>
      <c r="G299">
        <v>2022</v>
      </c>
      <c r="H299" t="s">
        <v>560</v>
      </c>
      <c r="I299" t="s">
        <v>122</v>
      </c>
      <c r="J299">
        <v>799</v>
      </c>
      <c r="K299">
        <v>205</v>
      </c>
      <c r="L299">
        <f t="shared" si="88"/>
        <v>594</v>
      </c>
      <c r="M299">
        <v>240</v>
      </c>
      <c r="N299">
        <f t="shared" si="89"/>
        <v>354</v>
      </c>
    </row>
    <row r="300" spans="1:14" x14ac:dyDescent="0.2">
      <c r="A300" t="s">
        <v>561</v>
      </c>
      <c r="B300" s="1" t="s">
        <v>546</v>
      </c>
      <c r="C300" t="s">
        <v>14</v>
      </c>
      <c r="D300" t="s">
        <v>81</v>
      </c>
      <c r="E300">
        <v>23</v>
      </c>
      <c r="F300" t="s">
        <v>385</v>
      </c>
      <c r="G300">
        <v>2022</v>
      </c>
      <c r="H300" t="s">
        <v>562</v>
      </c>
      <c r="I300" t="s">
        <v>85</v>
      </c>
      <c r="J300">
        <v>849</v>
      </c>
      <c r="K300">
        <v>250</v>
      </c>
      <c r="L300">
        <f t="shared" si="88"/>
        <v>599</v>
      </c>
      <c r="M300">
        <v>240</v>
      </c>
      <c r="N300">
        <f t="shared" si="89"/>
        <v>359</v>
      </c>
    </row>
    <row r="301" spans="1:14" x14ac:dyDescent="0.2">
      <c r="A301" t="s">
        <v>564</v>
      </c>
      <c r="B301" s="1" t="s">
        <v>563</v>
      </c>
      <c r="C301" t="s">
        <v>14</v>
      </c>
      <c r="D301" t="s">
        <v>452</v>
      </c>
      <c r="E301">
        <v>24</v>
      </c>
      <c r="F301" t="s">
        <v>385</v>
      </c>
      <c r="G301">
        <v>2022</v>
      </c>
      <c r="H301" t="s">
        <v>565</v>
      </c>
      <c r="I301" t="s">
        <v>62</v>
      </c>
      <c r="J301">
        <v>849</v>
      </c>
      <c r="K301">
        <v>250</v>
      </c>
      <c r="L301">
        <f t="shared" si="88"/>
        <v>599</v>
      </c>
      <c r="M301">
        <v>240</v>
      </c>
      <c r="N301">
        <f t="shared" si="89"/>
        <v>359</v>
      </c>
    </row>
    <row r="302" spans="1:14" x14ac:dyDescent="0.2">
      <c r="A302" t="s">
        <v>566</v>
      </c>
      <c r="B302" s="1" t="s">
        <v>563</v>
      </c>
      <c r="C302" t="s">
        <v>14</v>
      </c>
      <c r="D302" t="s">
        <v>284</v>
      </c>
      <c r="E302">
        <v>24</v>
      </c>
      <c r="F302" t="s">
        <v>385</v>
      </c>
      <c r="G302">
        <v>2022</v>
      </c>
      <c r="H302" t="s">
        <v>567</v>
      </c>
      <c r="I302" t="s">
        <v>23</v>
      </c>
      <c r="J302">
        <v>999</v>
      </c>
      <c r="K302">
        <v>325</v>
      </c>
      <c r="L302">
        <f t="shared" si="88"/>
        <v>674</v>
      </c>
      <c r="M302">
        <v>240</v>
      </c>
      <c r="N302">
        <f t="shared" si="89"/>
        <v>434</v>
      </c>
    </row>
    <row r="303" spans="1:14" x14ac:dyDescent="0.2">
      <c r="A303" t="s">
        <v>568</v>
      </c>
      <c r="B303" s="1" t="s">
        <v>546</v>
      </c>
      <c r="C303" t="s">
        <v>14</v>
      </c>
      <c r="D303" t="s">
        <v>81</v>
      </c>
      <c r="E303">
        <v>23</v>
      </c>
      <c r="F303" t="s">
        <v>385</v>
      </c>
      <c r="G303">
        <v>2022</v>
      </c>
      <c r="H303" t="s">
        <v>104</v>
      </c>
      <c r="I303" t="s">
        <v>62</v>
      </c>
      <c r="J303">
        <v>849</v>
      </c>
      <c r="K303">
        <v>250</v>
      </c>
      <c r="L303">
        <f t="shared" si="88"/>
        <v>599</v>
      </c>
      <c r="M303">
        <v>240</v>
      </c>
      <c r="N303">
        <f t="shared" si="89"/>
        <v>359</v>
      </c>
    </row>
    <row r="304" spans="1:14" x14ac:dyDescent="0.2">
      <c r="A304" t="s">
        <v>569</v>
      </c>
      <c r="B304" s="1" t="s">
        <v>546</v>
      </c>
      <c r="C304" t="s">
        <v>14</v>
      </c>
      <c r="D304" t="s">
        <v>81</v>
      </c>
      <c r="E304">
        <v>23</v>
      </c>
      <c r="F304" t="s">
        <v>385</v>
      </c>
      <c r="G304">
        <v>2022</v>
      </c>
      <c r="H304" t="s">
        <v>570</v>
      </c>
      <c r="I304" t="s">
        <v>257</v>
      </c>
      <c r="J304">
        <v>849</v>
      </c>
      <c r="K304">
        <v>250</v>
      </c>
      <c r="L304">
        <f t="shared" si="88"/>
        <v>599</v>
      </c>
      <c r="M304">
        <v>240</v>
      </c>
      <c r="N304">
        <f t="shared" si="89"/>
        <v>359</v>
      </c>
    </row>
    <row r="305" spans="1:14" x14ac:dyDescent="0.2">
      <c r="A305" t="s">
        <v>571</v>
      </c>
      <c r="B305" s="1" t="s">
        <v>546</v>
      </c>
      <c r="C305" t="s">
        <v>14</v>
      </c>
      <c r="D305" t="s">
        <v>528</v>
      </c>
      <c r="E305">
        <v>23</v>
      </c>
      <c r="F305" t="s">
        <v>385</v>
      </c>
      <c r="G305">
        <v>2022</v>
      </c>
      <c r="H305" t="s">
        <v>246</v>
      </c>
      <c r="I305" t="s">
        <v>58</v>
      </c>
      <c r="J305">
        <v>849</v>
      </c>
      <c r="K305">
        <v>250</v>
      </c>
      <c r="L305">
        <f t="shared" si="88"/>
        <v>599</v>
      </c>
      <c r="M305">
        <v>240</v>
      </c>
      <c r="N305">
        <f t="shared" si="89"/>
        <v>359</v>
      </c>
    </row>
    <row r="306" spans="1:14" x14ac:dyDescent="0.2">
      <c r="A306" t="s">
        <v>572</v>
      </c>
      <c r="B306" s="1" t="s">
        <v>563</v>
      </c>
      <c r="C306" t="s">
        <v>43</v>
      </c>
      <c r="D306" t="s">
        <v>573</v>
      </c>
      <c r="E306">
        <v>24</v>
      </c>
      <c r="F306" t="s">
        <v>385</v>
      </c>
      <c r="G306">
        <v>2022</v>
      </c>
      <c r="H306" t="s">
        <v>574</v>
      </c>
      <c r="I306" t="s">
        <v>502</v>
      </c>
      <c r="J306">
        <v>0</v>
      </c>
      <c r="K306">
        <v>0</v>
      </c>
      <c r="L306">
        <v>0</v>
      </c>
      <c r="M306">
        <v>0</v>
      </c>
      <c r="N306">
        <v>0</v>
      </c>
    </row>
    <row r="307" spans="1:14" x14ac:dyDescent="0.2">
      <c r="A307" t="s">
        <v>575</v>
      </c>
      <c r="B307" s="1" t="s">
        <v>563</v>
      </c>
      <c r="C307" t="s">
        <v>43</v>
      </c>
      <c r="D307" t="s">
        <v>573</v>
      </c>
      <c r="E307">
        <v>24</v>
      </c>
      <c r="F307" t="s">
        <v>385</v>
      </c>
      <c r="G307">
        <v>2022</v>
      </c>
      <c r="H307" t="s">
        <v>576</v>
      </c>
      <c r="I307" t="s">
        <v>212</v>
      </c>
      <c r="J307">
        <v>0</v>
      </c>
      <c r="K307">
        <v>0</v>
      </c>
      <c r="L307">
        <v>0</v>
      </c>
      <c r="M307">
        <v>0</v>
      </c>
      <c r="N307">
        <v>0</v>
      </c>
    </row>
    <row r="308" spans="1:14" x14ac:dyDescent="0.2">
      <c r="A308" t="s">
        <v>577</v>
      </c>
      <c r="B308" s="1" t="s">
        <v>563</v>
      </c>
      <c r="C308" t="s">
        <v>14</v>
      </c>
      <c r="D308" t="s">
        <v>81</v>
      </c>
      <c r="E308">
        <v>24</v>
      </c>
      <c r="F308" t="s">
        <v>385</v>
      </c>
      <c r="G308">
        <v>2022</v>
      </c>
      <c r="H308" t="s">
        <v>150</v>
      </c>
      <c r="I308" t="s">
        <v>62</v>
      </c>
      <c r="J308">
        <v>849</v>
      </c>
      <c r="K308">
        <v>250</v>
      </c>
      <c r="L308">
        <f t="shared" ref="L308:L314" si="90">J308-K308</f>
        <v>599</v>
      </c>
      <c r="M308">
        <v>240</v>
      </c>
      <c r="N308">
        <f t="shared" ref="N308:N314" si="91">L308-M308</f>
        <v>359</v>
      </c>
    </row>
    <row r="309" spans="1:14" x14ac:dyDescent="0.2">
      <c r="A309" t="s">
        <v>578</v>
      </c>
      <c r="B309" s="1" t="s">
        <v>563</v>
      </c>
      <c r="C309" t="s">
        <v>14</v>
      </c>
      <c r="D309" t="s">
        <v>380</v>
      </c>
      <c r="E309">
        <v>24</v>
      </c>
      <c r="F309" t="s">
        <v>385</v>
      </c>
      <c r="G309">
        <v>2022</v>
      </c>
      <c r="H309" t="s">
        <v>579</v>
      </c>
      <c r="I309" t="s">
        <v>62</v>
      </c>
      <c r="J309">
        <v>849</v>
      </c>
      <c r="K309">
        <v>250</v>
      </c>
      <c r="L309">
        <f t="shared" si="90"/>
        <v>599</v>
      </c>
      <c r="M309">
        <v>240</v>
      </c>
      <c r="N309">
        <f t="shared" si="91"/>
        <v>359</v>
      </c>
    </row>
    <row r="310" spans="1:14" x14ac:dyDescent="0.2">
      <c r="A310" t="s">
        <v>580</v>
      </c>
      <c r="B310" s="1" t="s">
        <v>563</v>
      </c>
      <c r="C310" t="s">
        <v>14</v>
      </c>
      <c r="D310" t="s">
        <v>81</v>
      </c>
      <c r="E310">
        <v>24</v>
      </c>
      <c r="F310" t="s">
        <v>385</v>
      </c>
      <c r="G310">
        <v>2022</v>
      </c>
      <c r="H310" t="s">
        <v>581</v>
      </c>
      <c r="I310" t="s">
        <v>28</v>
      </c>
      <c r="J310">
        <v>849</v>
      </c>
      <c r="K310">
        <v>250</v>
      </c>
      <c r="L310">
        <f t="shared" si="90"/>
        <v>599</v>
      </c>
      <c r="M310">
        <v>240</v>
      </c>
      <c r="N310">
        <f t="shared" si="91"/>
        <v>359</v>
      </c>
    </row>
    <row r="311" spans="1:14" x14ac:dyDescent="0.2">
      <c r="A311" t="s">
        <v>572</v>
      </c>
      <c r="B311" s="1" t="s">
        <v>563</v>
      </c>
      <c r="C311" t="s">
        <v>14</v>
      </c>
      <c r="D311" t="s">
        <v>573</v>
      </c>
      <c r="E311">
        <v>24</v>
      </c>
      <c r="F311" t="s">
        <v>385</v>
      </c>
      <c r="G311">
        <v>2022</v>
      </c>
      <c r="H311" t="s">
        <v>574</v>
      </c>
      <c r="I311" t="s">
        <v>502</v>
      </c>
      <c r="J311">
        <v>999</v>
      </c>
      <c r="K311">
        <v>325</v>
      </c>
      <c r="L311">
        <f t="shared" si="90"/>
        <v>674</v>
      </c>
      <c r="M311">
        <v>240</v>
      </c>
      <c r="N311">
        <f t="shared" si="91"/>
        <v>434</v>
      </c>
    </row>
    <row r="312" spans="1:14" x14ac:dyDescent="0.2">
      <c r="A312" t="s">
        <v>583</v>
      </c>
      <c r="B312" s="1" t="s">
        <v>582</v>
      </c>
      <c r="C312" t="s">
        <v>14</v>
      </c>
      <c r="D312" t="s">
        <v>504</v>
      </c>
      <c r="E312">
        <v>25</v>
      </c>
      <c r="F312" t="s">
        <v>385</v>
      </c>
      <c r="G312">
        <v>2022</v>
      </c>
      <c r="H312" t="s">
        <v>584</v>
      </c>
      <c r="I312" t="s">
        <v>212</v>
      </c>
      <c r="J312">
        <v>999</v>
      </c>
      <c r="K312">
        <v>325</v>
      </c>
      <c r="L312">
        <f t="shared" si="90"/>
        <v>674</v>
      </c>
      <c r="M312">
        <v>240</v>
      </c>
      <c r="N312">
        <f t="shared" si="91"/>
        <v>434</v>
      </c>
    </row>
    <row r="313" spans="1:14" x14ac:dyDescent="0.2">
      <c r="A313" t="s">
        <v>585</v>
      </c>
      <c r="B313" s="1" t="s">
        <v>563</v>
      </c>
      <c r="C313" t="s">
        <v>14</v>
      </c>
      <c r="D313" t="s">
        <v>586</v>
      </c>
      <c r="E313">
        <v>24</v>
      </c>
      <c r="F313" t="s">
        <v>385</v>
      </c>
      <c r="G313">
        <v>2022</v>
      </c>
      <c r="H313" t="s">
        <v>246</v>
      </c>
      <c r="I313" t="s">
        <v>58</v>
      </c>
      <c r="J313">
        <v>849</v>
      </c>
      <c r="K313">
        <v>250</v>
      </c>
      <c r="L313">
        <f t="shared" si="90"/>
        <v>599</v>
      </c>
      <c r="M313">
        <v>240</v>
      </c>
      <c r="N313">
        <f t="shared" si="91"/>
        <v>359</v>
      </c>
    </row>
    <row r="314" spans="1:14" x14ac:dyDescent="0.2">
      <c r="A314" t="s">
        <v>575</v>
      </c>
      <c r="B314" s="1" t="s">
        <v>563</v>
      </c>
      <c r="C314" t="s">
        <v>14</v>
      </c>
      <c r="D314" t="s">
        <v>573</v>
      </c>
      <c r="E314">
        <v>24</v>
      </c>
      <c r="F314" t="s">
        <v>385</v>
      </c>
      <c r="G314">
        <v>2022</v>
      </c>
      <c r="H314" t="s">
        <v>576</v>
      </c>
      <c r="I314" t="s">
        <v>212</v>
      </c>
      <c r="J314">
        <v>999</v>
      </c>
      <c r="K314">
        <v>325</v>
      </c>
      <c r="L314">
        <f t="shared" si="90"/>
        <v>674</v>
      </c>
      <c r="M314">
        <v>240</v>
      </c>
      <c r="N314">
        <f t="shared" si="91"/>
        <v>434</v>
      </c>
    </row>
    <row r="315" spans="1:14" x14ac:dyDescent="0.2">
      <c r="A315" t="s">
        <v>482</v>
      </c>
      <c r="B315" s="1" t="s">
        <v>472</v>
      </c>
      <c r="C315" t="s">
        <v>106</v>
      </c>
      <c r="D315" t="s">
        <v>460</v>
      </c>
      <c r="E315">
        <v>13</v>
      </c>
      <c r="F315" t="s">
        <v>385</v>
      </c>
      <c r="G315">
        <v>2022</v>
      </c>
      <c r="H315" t="s">
        <v>301</v>
      </c>
      <c r="I315" t="s">
        <v>212</v>
      </c>
      <c r="J315">
        <v>-849</v>
      </c>
      <c r="K315">
        <v>345</v>
      </c>
      <c r="L315">
        <f t="shared" ref="L315:L317" si="92">J315+K315</f>
        <v>-504</v>
      </c>
      <c r="M315">
        <v>240</v>
      </c>
      <c r="N315">
        <f t="shared" ref="N315:N317" si="93">L315+M315</f>
        <v>-264</v>
      </c>
    </row>
    <row r="316" spans="1:14" x14ac:dyDescent="0.2">
      <c r="A316" t="s">
        <v>541</v>
      </c>
      <c r="B316" s="1" t="s">
        <v>539</v>
      </c>
      <c r="C316" t="s">
        <v>106</v>
      </c>
      <c r="D316" t="s">
        <v>542</v>
      </c>
      <c r="E316">
        <v>22</v>
      </c>
      <c r="F316" t="s">
        <v>385</v>
      </c>
      <c r="G316">
        <v>2022</v>
      </c>
      <c r="H316" t="s">
        <v>543</v>
      </c>
      <c r="I316" t="s">
        <v>62</v>
      </c>
      <c r="J316">
        <v>-849</v>
      </c>
      <c r="K316">
        <v>345</v>
      </c>
      <c r="L316">
        <f t="shared" si="92"/>
        <v>-504</v>
      </c>
      <c r="M316">
        <v>240</v>
      </c>
      <c r="N316">
        <f t="shared" si="93"/>
        <v>-264</v>
      </c>
    </row>
    <row r="317" spans="1:14" x14ac:dyDescent="0.2">
      <c r="A317" t="s">
        <v>544</v>
      </c>
      <c r="B317" s="1" t="s">
        <v>539</v>
      </c>
      <c r="C317" t="s">
        <v>106</v>
      </c>
      <c r="D317" t="s">
        <v>545</v>
      </c>
      <c r="E317">
        <v>22</v>
      </c>
      <c r="F317" t="s">
        <v>385</v>
      </c>
      <c r="G317">
        <v>2022</v>
      </c>
      <c r="H317" t="s">
        <v>543</v>
      </c>
      <c r="I317" t="s">
        <v>62</v>
      </c>
      <c r="J317">
        <v>-799</v>
      </c>
      <c r="K317">
        <v>320</v>
      </c>
      <c r="L317">
        <f t="shared" si="92"/>
        <v>-479</v>
      </c>
      <c r="M317">
        <v>240</v>
      </c>
      <c r="N317">
        <f t="shared" si="93"/>
        <v>-239</v>
      </c>
    </row>
    <row r="318" spans="1:14" x14ac:dyDescent="0.2">
      <c r="A318" t="s">
        <v>588</v>
      </c>
      <c r="B318" s="1" t="s">
        <v>587</v>
      </c>
      <c r="C318" t="s">
        <v>14</v>
      </c>
      <c r="D318" t="s">
        <v>586</v>
      </c>
      <c r="E318">
        <v>26</v>
      </c>
      <c r="F318" t="s">
        <v>385</v>
      </c>
      <c r="G318">
        <v>2022</v>
      </c>
      <c r="H318" t="s">
        <v>193</v>
      </c>
      <c r="I318" t="s">
        <v>62</v>
      </c>
      <c r="J318">
        <v>849</v>
      </c>
      <c r="K318">
        <v>250</v>
      </c>
      <c r="L318">
        <f t="shared" ref="L318:L320" si="94">J318-K318</f>
        <v>599</v>
      </c>
      <c r="M318">
        <v>240</v>
      </c>
      <c r="N318">
        <f t="shared" ref="N318:N320" si="95">L318-M318</f>
        <v>359</v>
      </c>
    </row>
    <row r="319" spans="1:14" x14ac:dyDescent="0.2">
      <c r="A319" t="s">
        <v>589</v>
      </c>
      <c r="B319" s="1" t="s">
        <v>587</v>
      </c>
      <c r="C319" t="s">
        <v>14</v>
      </c>
      <c r="D319" t="s">
        <v>379</v>
      </c>
      <c r="E319">
        <v>26</v>
      </c>
      <c r="F319" t="s">
        <v>385</v>
      </c>
      <c r="G319">
        <v>2022</v>
      </c>
      <c r="H319" t="s">
        <v>590</v>
      </c>
      <c r="I319" t="s">
        <v>135</v>
      </c>
      <c r="J319">
        <v>849</v>
      </c>
      <c r="K319">
        <v>250</v>
      </c>
      <c r="L319">
        <f t="shared" si="94"/>
        <v>599</v>
      </c>
      <c r="M319">
        <v>240</v>
      </c>
      <c r="N319">
        <f t="shared" si="95"/>
        <v>359</v>
      </c>
    </row>
    <row r="320" spans="1:14" x14ac:dyDescent="0.2">
      <c r="A320" t="s">
        <v>591</v>
      </c>
      <c r="B320" s="1" t="s">
        <v>582</v>
      </c>
      <c r="C320" t="s">
        <v>14</v>
      </c>
      <c r="D320" t="s">
        <v>81</v>
      </c>
      <c r="E320">
        <v>25</v>
      </c>
      <c r="F320" t="s">
        <v>385</v>
      </c>
      <c r="G320">
        <v>2022</v>
      </c>
      <c r="H320" t="s">
        <v>592</v>
      </c>
      <c r="I320" t="s">
        <v>85</v>
      </c>
      <c r="J320">
        <v>849</v>
      </c>
      <c r="K320">
        <v>250</v>
      </c>
      <c r="L320">
        <f t="shared" si="94"/>
        <v>599</v>
      </c>
      <c r="M320">
        <v>240</v>
      </c>
      <c r="N320">
        <f t="shared" si="95"/>
        <v>359</v>
      </c>
    </row>
    <row r="321" spans="1:14" x14ac:dyDescent="0.2">
      <c r="A321" t="s">
        <v>593</v>
      </c>
      <c r="B321" s="1" t="s">
        <v>587</v>
      </c>
      <c r="C321" t="s">
        <v>20</v>
      </c>
      <c r="D321" t="s">
        <v>448</v>
      </c>
      <c r="E321">
        <v>26</v>
      </c>
      <c r="F321" t="s">
        <v>385</v>
      </c>
      <c r="G321">
        <v>2022</v>
      </c>
      <c r="H321" t="s">
        <v>401</v>
      </c>
      <c r="I321" t="s">
        <v>160</v>
      </c>
      <c r="J321">
        <v>0</v>
      </c>
      <c r="K321">
        <v>0</v>
      </c>
      <c r="L321">
        <v>0</v>
      </c>
      <c r="M321">
        <v>0</v>
      </c>
      <c r="N321">
        <v>0</v>
      </c>
    </row>
    <row r="322" spans="1:14" x14ac:dyDescent="0.2">
      <c r="A322" t="s">
        <v>526</v>
      </c>
      <c r="B322" s="1" t="s">
        <v>515</v>
      </c>
      <c r="C322" t="s">
        <v>106</v>
      </c>
      <c r="D322" t="s">
        <v>460</v>
      </c>
      <c r="E322">
        <v>18</v>
      </c>
      <c r="F322" t="s">
        <v>385</v>
      </c>
      <c r="G322">
        <v>2022</v>
      </c>
      <c r="H322" t="s">
        <v>246</v>
      </c>
      <c r="I322" t="s">
        <v>58</v>
      </c>
      <c r="J322">
        <v>-849</v>
      </c>
      <c r="K322">
        <v>345</v>
      </c>
      <c r="L322">
        <f>J322+K322</f>
        <v>-504</v>
      </c>
      <c r="M322">
        <v>240</v>
      </c>
      <c r="N322">
        <f>L322+M322</f>
        <v>-264</v>
      </c>
    </row>
    <row r="323" spans="1:14" x14ac:dyDescent="0.2">
      <c r="A323" t="s">
        <v>594</v>
      </c>
      <c r="B323" s="1" t="s">
        <v>587</v>
      </c>
      <c r="C323" t="s">
        <v>14</v>
      </c>
      <c r="D323" t="s">
        <v>528</v>
      </c>
      <c r="E323">
        <v>26</v>
      </c>
      <c r="F323" t="s">
        <v>385</v>
      </c>
      <c r="G323">
        <v>2022</v>
      </c>
      <c r="H323" t="s">
        <v>595</v>
      </c>
      <c r="I323" t="s">
        <v>23</v>
      </c>
      <c r="J323">
        <v>849</v>
      </c>
      <c r="K323">
        <v>250</v>
      </c>
      <c r="L323">
        <f t="shared" ref="L323:L328" si="96">J323-K323</f>
        <v>599</v>
      </c>
      <c r="M323">
        <v>240</v>
      </c>
      <c r="N323">
        <f t="shared" ref="N323:N328" si="97">L323-M323</f>
        <v>359</v>
      </c>
    </row>
    <row r="324" spans="1:14" x14ac:dyDescent="0.2">
      <c r="A324" t="s">
        <v>597</v>
      </c>
      <c r="B324" s="1" t="s">
        <v>596</v>
      </c>
      <c r="C324" t="s">
        <v>14</v>
      </c>
      <c r="D324" t="s">
        <v>548</v>
      </c>
      <c r="E324">
        <v>27</v>
      </c>
      <c r="F324" t="s">
        <v>385</v>
      </c>
      <c r="G324">
        <v>2022</v>
      </c>
      <c r="H324" t="s">
        <v>567</v>
      </c>
      <c r="I324" t="s">
        <v>23</v>
      </c>
      <c r="J324">
        <v>999</v>
      </c>
      <c r="K324">
        <v>325</v>
      </c>
      <c r="L324">
        <f t="shared" si="96"/>
        <v>674</v>
      </c>
      <c r="M324">
        <v>240</v>
      </c>
      <c r="N324">
        <f t="shared" si="97"/>
        <v>434</v>
      </c>
    </row>
    <row r="325" spans="1:14" x14ac:dyDescent="0.2">
      <c r="A325" t="s">
        <v>598</v>
      </c>
      <c r="B325" s="1" t="s">
        <v>587</v>
      </c>
      <c r="C325" t="s">
        <v>14</v>
      </c>
      <c r="D325" t="s">
        <v>308</v>
      </c>
      <c r="E325">
        <v>26</v>
      </c>
      <c r="F325" t="s">
        <v>385</v>
      </c>
      <c r="G325">
        <v>2022</v>
      </c>
      <c r="H325" t="s">
        <v>246</v>
      </c>
      <c r="I325" t="s">
        <v>58</v>
      </c>
      <c r="J325">
        <v>999</v>
      </c>
      <c r="K325">
        <v>325</v>
      </c>
      <c r="L325">
        <f t="shared" si="96"/>
        <v>674</v>
      </c>
      <c r="M325">
        <v>240</v>
      </c>
      <c r="N325">
        <f t="shared" si="97"/>
        <v>434</v>
      </c>
    </row>
    <row r="326" spans="1:14" x14ac:dyDescent="0.2">
      <c r="A326" t="s">
        <v>599</v>
      </c>
      <c r="B326" s="1" t="s">
        <v>587</v>
      </c>
      <c r="C326" t="s">
        <v>14</v>
      </c>
      <c r="D326" t="s">
        <v>81</v>
      </c>
      <c r="E326">
        <v>26</v>
      </c>
      <c r="F326" t="s">
        <v>385</v>
      </c>
      <c r="G326">
        <v>2022</v>
      </c>
      <c r="H326" t="s">
        <v>600</v>
      </c>
      <c r="I326" t="s">
        <v>23</v>
      </c>
      <c r="J326">
        <v>849</v>
      </c>
      <c r="K326">
        <v>250</v>
      </c>
      <c r="L326">
        <f t="shared" si="96"/>
        <v>599</v>
      </c>
      <c r="M326">
        <v>240</v>
      </c>
      <c r="N326">
        <f t="shared" si="97"/>
        <v>359</v>
      </c>
    </row>
    <row r="327" spans="1:14" x14ac:dyDescent="0.2">
      <c r="A327" t="s">
        <v>601</v>
      </c>
      <c r="B327" s="1" t="s">
        <v>587</v>
      </c>
      <c r="C327" t="s">
        <v>14</v>
      </c>
      <c r="D327" t="s">
        <v>81</v>
      </c>
      <c r="E327">
        <v>26</v>
      </c>
      <c r="F327" t="s">
        <v>385</v>
      </c>
      <c r="G327">
        <v>2022</v>
      </c>
      <c r="H327" t="s">
        <v>84</v>
      </c>
      <c r="I327" t="s">
        <v>85</v>
      </c>
      <c r="J327">
        <v>849</v>
      </c>
      <c r="K327">
        <v>250</v>
      </c>
      <c r="L327">
        <f t="shared" si="96"/>
        <v>599</v>
      </c>
      <c r="M327">
        <v>240</v>
      </c>
      <c r="N327">
        <f t="shared" si="97"/>
        <v>359</v>
      </c>
    </row>
    <row r="328" spans="1:14" x14ac:dyDescent="0.2">
      <c r="A328" t="s">
        <v>602</v>
      </c>
      <c r="B328" s="1" t="s">
        <v>587</v>
      </c>
      <c r="C328" t="s">
        <v>14</v>
      </c>
      <c r="D328" t="s">
        <v>379</v>
      </c>
      <c r="E328">
        <v>26</v>
      </c>
      <c r="F328" t="s">
        <v>385</v>
      </c>
      <c r="G328">
        <v>2022</v>
      </c>
      <c r="H328" t="s">
        <v>246</v>
      </c>
      <c r="I328" t="s">
        <v>58</v>
      </c>
      <c r="J328">
        <v>849</v>
      </c>
      <c r="K328">
        <v>250</v>
      </c>
      <c r="L328">
        <f t="shared" si="96"/>
        <v>599</v>
      </c>
      <c r="M328">
        <v>240</v>
      </c>
      <c r="N328">
        <f t="shared" si="97"/>
        <v>359</v>
      </c>
    </row>
    <row r="329" spans="1:14" x14ac:dyDescent="0.2">
      <c r="A329" t="s">
        <v>422</v>
      </c>
      <c r="B329" s="1" t="s">
        <v>418</v>
      </c>
      <c r="C329" t="s">
        <v>106</v>
      </c>
      <c r="D329" t="s">
        <v>242</v>
      </c>
      <c r="E329">
        <v>5</v>
      </c>
      <c r="F329" t="s">
        <v>385</v>
      </c>
      <c r="G329">
        <v>2022</v>
      </c>
      <c r="H329" t="s">
        <v>170</v>
      </c>
      <c r="I329" t="s">
        <v>171</v>
      </c>
      <c r="J329">
        <v>-999</v>
      </c>
      <c r="K329">
        <v>395</v>
      </c>
      <c r="L329">
        <f t="shared" ref="L329:L331" si="98">J329+K329</f>
        <v>-604</v>
      </c>
      <c r="M329">
        <v>240</v>
      </c>
      <c r="N329">
        <f t="shared" ref="N329:N331" si="99">L329+M329</f>
        <v>-364</v>
      </c>
    </row>
    <row r="330" spans="1:14" x14ac:dyDescent="0.2">
      <c r="A330" t="s">
        <v>556</v>
      </c>
      <c r="B330" s="1" t="s">
        <v>539</v>
      </c>
      <c r="C330" t="s">
        <v>106</v>
      </c>
      <c r="D330" t="s">
        <v>81</v>
      </c>
      <c r="E330">
        <v>22</v>
      </c>
      <c r="F330" t="s">
        <v>385</v>
      </c>
      <c r="G330">
        <v>2022</v>
      </c>
      <c r="H330" t="s">
        <v>272</v>
      </c>
      <c r="I330" t="s">
        <v>23</v>
      </c>
      <c r="J330">
        <v>-849</v>
      </c>
      <c r="K330">
        <v>345</v>
      </c>
      <c r="L330">
        <f t="shared" si="98"/>
        <v>-504</v>
      </c>
      <c r="M330">
        <v>240</v>
      </c>
      <c r="N330">
        <f t="shared" si="99"/>
        <v>-264</v>
      </c>
    </row>
    <row r="331" spans="1:14" x14ac:dyDescent="0.2">
      <c r="A331" t="s">
        <v>550</v>
      </c>
      <c r="B331" s="1" t="s">
        <v>539</v>
      </c>
      <c r="C331" t="s">
        <v>106</v>
      </c>
      <c r="D331" t="s">
        <v>192</v>
      </c>
      <c r="E331">
        <v>22</v>
      </c>
      <c r="F331" t="s">
        <v>385</v>
      </c>
      <c r="G331">
        <v>2022</v>
      </c>
      <c r="H331" t="s">
        <v>551</v>
      </c>
      <c r="I331" t="s">
        <v>97</v>
      </c>
      <c r="J331">
        <v>-799</v>
      </c>
      <c r="K331">
        <v>320</v>
      </c>
      <c r="L331">
        <f t="shared" si="98"/>
        <v>-479</v>
      </c>
      <c r="M331">
        <v>240</v>
      </c>
      <c r="N331">
        <f t="shared" si="99"/>
        <v>-239</v>
      </c>
    </row>
    <row r="332" spans="1:14" x14ac:dyDescent="0.2">
      <c r="A332" t="s">
        <v>603</v>
      </c>
      <c r="B332" s="1" t="s">
        <v>596</v>
      </c>
      <c r="C332" t="s">
        <v>14</v>
      </c>
      <c r="D332" t="s">
        <v>532</v>
      </c>
      <c r="E332">
        <v>27</v>
      </c>
      <c r="F332" t="s">
        <v>385</v>
      </c>
      <c r="G332">
        <v>2022</v>
      </c>
      <c r="H332" t="s">
        <v>604</v>
      </c>
      <c r="I332" t="s">
        <v>85</v>
      </c>
      <c r="J332">
        <v>849</v>
      </c>
      <c r="K332">
        <v>250</v>
      </c>
      <c r="L332">
        <f t="shared" ref="L332:L334" si="100">J332-K332</f>
        <v>599</v>
      </c>
      <c r="M332">
        <v>240</v>
      </c>
      <c r="N332">
        <f t="shared" ref="N332:N334" si="101">L332-M332</f>
        <v>359</v>
      </c>
    </row>
    <row r="333" spans="1:14" x14ac:dyDescent="0.2">
      <c r="A333" t="s">
        <v>605</v>
      </c>
      <c r="B333" s="1" t="s">
        <v>596</v>
      </c>
      <c r="C333" t="s">
        <v>14</v>
      </c>
      <c r="D333" t="s">
        <v>387</v>
      </c>
      <c r="E333">
        <v>27</v>
      </c>
      <c r="F333" t="s">
        <v>385</v>
      </c>
      <c r="G333">
        <v>2022</v>
      </c>
      <c r="H333" t="s">
        <v>314</v>
      </c>
      <c r="I333" t="s">
        <v>58</v>
      </c>
      <c r="J333">
        <v>849</v>
      </c>
      <c r="K333">
        <v>250</v>
      </c>
      <c r="L333">
        <f t="shared" si="100"/>
        <v>599</v>
      </c>
      <c r="M333">
        <v>240</v>
      </c>
      <c r="N333">
        <f t="shared" si="101"/>
        <v>359</v>
      </c>
    </row>
    <row r="334" spans="1:14" x14ac:dyDescent="0.2">
      <c r="A334" t="s">
        <v>606</v>
      </c>
      <c r="B334" s="1" t="s">
        <v>596</v>
      </c>
      <c r="C334" t="s">
        <v>14</v>
      </c>
      <c r="D334" t="s">
        <v>607</v>
      </c>
      <c r="E334">
        <v>27</v>
      </c>
      <c r="F334" t="s">
        <v>385</v>
      </c>
      <c r="G334">
        <v>2022</v>
      </c>
      <c r="H334" t="s">
        <v>104</v>
      </c>
      <c r="I334" t="s">
        <v>62</v>
      </c>
      <c r="J334">
        <v>799</v>
      </c>
      <c r="K334">
        <v>205</v>
      </c>
      <c r="L334">
        <f t="shared" si="100"/>
        <v>594</v>
      </c>
      <c r="M334">
        <v>240</v>
      </c>
      <c r="N334">
        <f t="shared" si="101"/>
        <v>354</v>
      </c>
    </row>
    <row r="335" spans="1:14" x14ac:dyDescent="0.2">
      <c r="A335" t="s">
        <v>572</v>
      </c>
      <c r="B335" s="1" t="s">
        <v>563</v>
      </c>
      <c r="C335" t="s">
        <v>106</v>
      </c>
      <c r="D335" t="s">
        <v>573</v>
      </c>
      <c r="E335">
        <v>24</v>
      </c>
      <c r="F335" t="s">
        <v>385</v>
      </c>
      <c r="G335">
        <v>2022</v>
      </c>
      <c r="H335" t="s">
        <v>574</v>
      </c>
      <c r="I335" t="s">
        <v>502</v>
      </c>
      <c r="J335">
        <v>-999</v>
      </c>
      <c r="K335">
        <v>395</v>
      </c>
      <c r="L335">
        <f>J335+K335</f>
        <v>-604</v>
      </c>
      <c r="M335">
        <v>240</v>
      </c>
      <c r="N335">
        <f>L335+M335</f>
        <v>-364</v>
      </c>
    </row>
    <row r="336" spans="1:14" x14ac:dyDescent="0.2">
      <c r="A336" t="s">
        <v>609</v>
      </c>
      <c r="B336" s="1" t="s">
        <v>608</v>
      </c>
      <c r="C336" t="s">
        <v>43</v>
      </c>
      <c r="D336" t="s">
        <v>477</v>
      </c>
      <c r="E336">
        <v>30</v>
      </c>
      <c r="F336" t="s">
        <v>385</v>
      </c>
      <c r="G336">
        <v>2022</v>
      </c>
      <c r="H336" t="s">
        <v>260</v>
      </c>
      <c r="I336" t="s">
        <v>28</v>
      </c>
      <c r="J336">
        <v>0</v>
      </c>
      <c r="K336">
        <v>0</v>
      </c>
      <c r="L336">
        <v>0</v>
      </c>
      <c r="M336">
        <v>0</v>
      </c>
      <c r="N336">
        <v>0</v>
      </c>
    </row>
    <row r="337" spans="1:14" x14ac:dyDescent="0.2">
      <c r="A337" t="s">
        <v>580</v>
      </c>
      <c r="B337" s="1" t="s">
        <v>563</v>
      </c>
      <c r="C337" t="s">
        <v>106</v>
      </c>
      <c r="D337" t="s">
        <v>81</v>
      </c>
      <c r="E337">
        <v>24</v>
      </c>
      <c r="F337" t="s">
        <v>385</v>
      </c>
      <c r="G337">
        <v>2022</v>
      </c>
      <c r="H337" t="s">
        <v>581</v>
      </c>
      <c r="I337" t="s">
        <v>28</v>
      </c>
      <c r="J337">
        <v>-849</v>
      </c>
      <c r="K337">
        <v>345</v>
      </c>
      <c r="L337">
        <f>J337+K337</f>
        <v>-504</v>
      </c>
      <c r="M337">
        <v>240</v>
      </c>
      <c r="N337">
        <f>L337+M337</f>
        <v>-264</v>
      </c>
    </row>
    <row r="338" spans="1:14" x14ac:dyDescent="0.2">
      <c r="A338" t="s">
        <v>609</v>
      </c>
      <c r="B338" s="1" t="s">
        <v>608</v>
      </c>
      <c r="C338" t="s">
        <v>14</v>
      </c>
      <c r="D338" t="s">
        <v>477</v>
      </c>
      <c r="E338">
        <v>30</v>
      </c>
      <c r="F338" t="s">
        <v>385</v>
      </c>
      <c r="G338">
        <v>2022</v>
      </c>
      <c r="H338" t="s">
        <v>260</v>
      </c>
      <c r="I338" t="s">
        <v>28</v>
      </c>
      <c r="J338">
        <v>999</v>
      </c>
      <c r="K338">
        <v>325</v>
      </c>
      <c r="L338">
        <f t="shared" ref="L338:L345" si="102">J338-K338</f>
        <v>674</v>
      </c>
      <c r="M338">
        <v>240</v>
      </c>
      <c r="N338">
        <f t="shared" ref="N338:N345" si="103">L338-M338</f>
        <v>434</v>
      </c>
    </row>
    <row r="339" spans="1:14" x14ac:dyDescent="0.2">
      <c r="A339" t="s">
        <v>611</v>
      </c>
      <c r="B339" s="1" t="s">
        <v>610</v>
      </c>
      <c r="C339" t="s">
        <v>14</v>
      </c>
      <c r="D339" t="s">
        <v>81</v>
      </c>
      <c r="E339">
        <v>29</v>
      </c>
      <c r="F339" t="s">
        <v>385</v>
      </c>
      <c r="G339">
        <v>2022</v>
      </c>
      <c r="H339" t="s">
        <v>612</v>
      </c>
      <c r="I339" t="s">
        <v>58</v>
      </c>
      <c r="J339">
        <v>849</v>
      </c>
      <c r="K339">
        <v>250</v>
      </c>
      <c r="L339">
        <f t="shared" si="102"/>
        <v>599</v>
      </c>
      <c r="M339">
        <v>240</v>
      </c>
      <c r="N339">
        <f t="shared" si="103"/>
        <v>359</v>
      </c>
    </row>
    <row r="340" spans="1:14" x14ac:dyDescent="0.2">
      <c r="A340" t="s">
        <v>613</v>
      </c>
      <c r="B340" s="1" t="s">
        <v>610</v>
      </c>
      <c r="C340" t="s">
        <v>14</v>
      </c>
      <c r="D340" t="s">
        <v>192</v>
      </c>
      <c r="E340">
        <v>29</v>
      </c>
      <c r="F340" t="s">
        <v>385</v>
      </c>
      <c r="G340">
        <v>2022</v>
      </c>
      <c r="H340" t="s">
        <v>193</v>
      </c>
      <c r="I340" t="s">
        <v>62</v>
      </c>
      <c r="J340">
        <v>799</v>
      </c>
      <c r="K340">
        <v>205</v>
      </c>
      <c r="L340">
        <f t="shared" si="102"/>
        <v>594</v>
      </c>
      <c r="M340">
        <v>240</v>
      </c>
      <c r="N340">
        <f t="shared" si="103"/>
        <v>354</v>
      </c>
    </row>
    <row r="341" spans="1:14" x14ac:dyDescent="0.2">
      <c r="A341" t="s">
        <v>614</v>
      </c>
      <c r="B341" s="1" t="s">
        <v>610</v>
      </c>
      <c r="C341" t="s">
        <v>14</v>
      </c>
      <c r="D341" t="s">
        <v>615</v>
      </c>
      <c r="E341">
        <v>29</v>
      </c>
      <c r="F341" t="s">
        <v>385</v>
      </c>
      <c r="G341">
        <v>2022</v>
      </c>
      <c r="H341" t="s">
        <v>616</v>
      </c>
      <c r="I341" t="s">
        <v>85</v>
      </c>
      <c r="J341">
        <v>999</v>
      </c>
      <c r="K341">
        <v>325</v>
      </c>
      <c r="L341">
        <f t="shared" si="102"/>
        <v>674</v>
      </c>
      <c r="M341">
        <v>240</v>
      </c>
      <c r="N341">
        <f t="shared" si="103"/>
        <v>434</v>
      </c>
    </row>
    <row r="342" spans="1:14" x14ac:dyDescent="0.2">
      <c r="A342" t="s">
        <v>617</v>
      </c>
      <c r="B342" s="1" t="s">
        <v>610</v>
      </c>
      <c r="C342" t="s">
        <v>14</v>
      </c>
      <c r="D342" t="s">
        <v>618</v>
      </c>
      <c r="E342">
        <v>29</v>
      </c>
      <c r="F342" t="s">
        <v>385</v>
      </c>
      <c r="G342">
        <v>2022</v>
      </c>
      <c r="H342" t="s">
        <v>619</v>
      </c>
      <c r="I342" t="s">
        <v>23</v>
      </c>
      <c r="J342">
        <v>799</v>
      </c>
      <c r="K342">
        <v>205</v>
      </c>
      <c r="L342">
        <f t="shared" si="102"/>
        <v>594</v>
      </c>
      <c r="M342">
        <v>240</v>
      </c>
      <c r="N342">
        <f t="shared" si="103"/>
        <v>354</v>
      </c>
    </row>
    <row r="343" spans="1:14" x14ac:dyDescent="0.2">
      <c r="A343" t="s">
        <v>620</v>
      </c>
      <c r="B343" s="1" t="s">
        <v>608</v>
      </c>
      <c r="C343" t="s">
        <v>14</v>
      </c>
      <c r="D343" t="s">
        <v>448</v>
      </c>
      <c r="E343">
        <v>30</v>
      </c>
      <c r="F343" t="s">
        <v>385</v>
      </c>
      <c r="G343">
        <v>2022</v>
      </c>
      <c r="H343" t="s">
        <v>84</v>
      </c>
      <c r="I343" t="s">
        <v>85</v>
      </c>
      <c r="J343">
        <v>999</v>
      </c>
      <c r="K343">
        <v>325</v>
      </c>
      <c r="L343">
        <f t="shared" si="102"/>
        <v>674</v>
      </c>
      <c r="M343">
        <v>240</v>
      </c>
      <c r="N343">
        <f t="shared" si="103"/>
        <v>434</v>
      </c>
    </row>
    <row r="344" spans="1:14" x14ac:dyDescent="0.2">
      <c r="A344" t="s">
        <v>622</v>
      </c>
      <c r="B344" s="1" t="s">
        <v>621</v>
      </c>
      <c r="C344" t="s">
        <v>14</v>
      </c>
      <c r="D344" t="s">
        <v>120</v>
      </c>
      <c r="E344">
        <v>28</v>
      </c>
      <c r="F344" t="s">
        <v>385</v>
      </c>
      <c r="G344">
        <v>2022</v>
      </c>
      <c r="H344" t="s">
        <v>623</v>
      </c>
      <c r="I344" t="s">
        <v>23</v>
      </c>
      <c r="J344">
        <v>849</v>
      </c>
      <c r="K344">
        <v>250</v>
      </c>
      <c r="L344">
        <f t="shared" si="102"/>
        <v>599</v>
      </c>
      <c r="M344">
        <v>240</v>
      </c>
      <c r="N344">
        <f t="shared" si="103"/>
        <v>359</v>
      </c>
    </row>
    <row r="345" spans="1:14" x14ac:dyDescent="0.2">
      <c r="A345" t="s">
        <v>624</v>
      </c>
      <c r="B345" s="1" t="s">
        <v>621</v>
      </c>
      <c r="C345" t="s">
        <v>14</v>
      </c>
      <c r="D345" t="s">
        <v>221</v>
      </c>
      <c r="E345">
        <v>28</v>
      </c>
      <c r="F345" t="s">
        <v>385</v>
      </c>
      <c r="G345">
        <v>2022</v>
      </c>
      <c r="H345" t="s">
        <v>625</v>
      </c>
      <c r="I345" t="s">
        <v>41</v>
      </c>
      <c r="J345">
        <v>849</v>
      </c>
      <c r="K345">
        <v>250</v>
      </c>
      <c r="L345">
        <f t="shared" si="102"/>
        <v>599</v>
      </c>
      <c r="M345">
        <v>240</v>
      </c>
      <c r="N345">
        <f t="shared" si="103"/>
        <v>359</v>
      </c>
    </row>
    <row r="346" spans="1:14" x14ac:dyDescent="0.2">
      <c r="A346" t="s">
        <v>527</v>
      </c>
      <c r="B346" s="1" t="s">
        <v>515</v>
      </c>
      <c r="C346" t="s">
        <v>106</v>
      </c>
      <c r="D346" t="s">
        <v>528</v>
      </c>
      <c r="E346">
        <v>18</v>
      </c>
      <c r="F346" t="s">
        <v>385</v>
      </c>
      <c r="G346">
        <v>2022</v>
      </c>
      <c r="H346" t="s">
        <v>84</v>
      </c>
      <c r="I346" t="s">
        <v>85</v>
      </c>
      <c r="J346">
        <v>-849</v>
      </c>
      <c r="K346">
        <v>345</v>
      </c>
      <c r="L346">
        <f>J346+K346</f>
        <v>-504</v>
      </c>
      <c r="M346">
        <v>240</v>
      </c>
      <c r="N346">
        <f>L346+M346</f>
        <v>-264</v>
      </c>
    </row>
    <row r="347" spans="1:14" x14ac:dyDescent="0.2">
      <c r="A347" t="s">
        <v>626</v>
      </c>
      <c r="B347" s="1" t="s">
        <v>608</v>
      </c>
      <c r="C347" t="s">
        <v>43</v>
      </c>
      <c r="D347" t="s">
        <v>81</v>
      </c>
      <c r="E347">
        <v>30</v>
      </c>
      <c r="F347" t="s">
        <v>385</v>
      </c>
      <c r="G347">
        <v>2022</v>
      </c>
      <c r="H347" t="s">
        <v>185</v>
      </c>
      <c r="I347" t="s">
        <v>62</v>
      </c>
      <c r="J347">
        <v>0</v>
      </c>
      <c r="K347">
        <v>0</v>
      </c>
      <c r="L347">
        <v>0</v>
      </c>
      <c r="M347">
        <v>0</v>
      </c>
      <c r="N347">
        <v>0</v>
      </c>
    </row>
    <row r="348" spans="1:14" x14ac:dyDescent="0.2">
      <c r="A348" t="s">
        <v>626</v>
      </c>
      <c r="B348" s="1" t="s">
        <v>608</v>
      </c>
      <c r="C348" t="s">
        <v>14</v>
      </c>
      <c r="D348" t="s">
        <v>81</v>
      </c>
      <c r="E348">
        <v>30</v>
      </c>
      <c r="F348" t="s">
        <v>385</v>
      </c>
      <c r="G348">
        <v>2022</v>
      </c>
      <c r="H348" t="s">
        <v>185</v>
      </c>
      <c r="I348" t="s">
        <v>62</v>
      </c>
      <c r="J348">
        <v>849</v>
      </c>
      <c r="K348">
        <v>250</v>
      </c>
      <c r="L348">
        <f t="shared" ref="L348:L353" si="104">J348-K348</f>
        <v>599</v>
      </c>
      <c r="M348">
        <v>240</v>
      </c>
      <c r="N348">
        <f t="shared" ref="N348:N353" si="105">L348-M348</f>
        <v>359</v>
      </c>
    </row>
    <row r="349" spans="1:14" x14ac:dyDescent="0.2">
      <c r="A349" t="s">
        <v>627</v>
      </c>
      <c r="B349" s="1" t="s">
        <v>608</v>
      </c>
      <c r="C349" t="s">
        <v>14</v>
      </c>
      <c r="D349" t="s">
        <v>628</v>
      </c>
      <c r="E349">
        <v>30</v>
      </c>
      <c r="F349" t="s">
        <v>385</v>
      </c>
      <c r="G349">
        <v>2022</v>
      </c>
      <c r="H349" t="s">
        <v>629</v>
      </c>
      <c r="I349" t="s">
        <v>23</v>
      </c>
      <c r="J349">
        <v>799</v>
      </c>
      <c r="K349">
        <v>205</v>
      </c>
      <c r="L349">
        <f t="shared" si="104"/>
        <v>594</v>
      </c>
      <c r="M349">
        <v>240</v>
      </c>
      <c r="N349">
        <f t="shared" si="105"/>
        <v>354</v>
      </c>
    </row>
    <row r="350" spans="1:14" x14ac:dyDescent="0.2">
      <c r="A350" t="s">
        <v>630</v>
      </c>
      <c r="B350" s="1" t="s">
        <v>608</v>
      </c>
      <c r="C350" t="s">
        <v>14</v>
      </c>
      <c r="D350" t="s">
        <v>452</v>
      </c>
      <c r="E350">
        <v>30</v>
      </c>
      <c r="F350" t="s">
        <v>385</v>
      </c>
      <c r="G350">
        <v>2022</v>
      </c>
      <c r="H350" t="s">
        <v>272</v>
      </c>
      <c r="I350" t="s">
        <v>23</v>
      </c>
      <c r="J350">
        <v>849</v>
      </c>
      <c r="K350">
        <v>250</v>
      </c>
      <c r="L350">
        <f t="shared" si="104"/>
        <v>599</v>
      </c>
      <c r="M350">
        <v>240</v>
      </c>
      <c r="N350">
        <f t="shared" si="105"/>
        <v>359</v>
      </c>
    </row>
    <row r="351" spans="1:14" x14ac:dyDescent="0.2">
      <c r="A351" t="s">
        <v>631</v>
      </c>
      <c r="B351" s="1" t="s">
        <v>608</v>
      </c>
      <c r="C351" t="s">
        <v>14</v>
      </c>
      <c r="D351" t="s">
        <v>81</v>
      </c>
      <c r="E351">
        <v>30</v>
      </c>
      <c r="F351" t="s">
        <v>385</v>
      </c>
      <c r="G351">
        <v>2022</v>
      </c>
      <c r="H351" t="s">
        <v>249</v>
      </c>
      <c r="I351" t="s">
        <v>250</v>
      </c>
      <c r="J351">
        <v>849</v>
      </c>
      <c r="K351">
        <v>250</v>
      </c>
      <c r="L351">
        <f t="shared" si="104"/>
        <v>599</v>
      </c>
      <c r="M351">
        <v>240</v>
      </c>
      <c r="N351">
        <f t="shared" si="105"/>
        <v>359</v>
      </c>
    </row>
    <row r="352" spans="1:14" x14ac:dyDescent="0.2">
      <c r="A352" t="s">
        <v>633</v>
      </c>
      <c r="B352" s="1" t="s">
        <v>632</v>
      </c>
      <c r="C352" t="s">
        <v>14</v>
      </c>
      <c r="D352" t="s">
        <v>548</v>
      </c>
      <c r="E352">
        <v>31</v>
      </c>
      <c r="F352" t="s">
        <v>385</v>
      </c>
      <c r="G352">
        <v>2022</v>
      </c>
      <c r="H352" t="s">
        <v>634</v>
      </c>
      <c r="I352" t="s">
        <v>163</v>
      </c>
      <c r="J352">
        <v>999</v>
      </c>
      <c r="K352">
        <v>325</v>
      </c>
      <c r="L352">
        <f t="shared" si="104"/>
        <v>674</v>
      </c>
      <c r="M352">
        <v>240</v>
      </c>
      <c r="N352">
        <f t="shared" si="105"/>
        <v>434</v>
      </c>
    </row>
    <row r="353" spans="1:14" x14ac:dyDescent="0.2">
      <c r="A353" t="s">
        <v>635</v>
      </c>
      <c r="B353" s="1" t="s">
        <v>632</v>
      </c>
      <c r="C353" t="s">
        <v>14</v>
      </c>
      <c r="D353" t="s">
        <v>284</v>
      </c>
      <c r="E353">
        <v>31</v>
      </c>
      <c r="F353" t="s">
        <v>385</v>
      </c>
      <c r="G353">
        <v>2022</v>
      </c>
      <c r="H353" t="s">
        <v>157</v>
      </c>
      <c r="I353" t="s">
        <v>97</v>
      </c>
      <c r="J353">
        <v>999</v>
      </c>
      <c r="K353">
        <v>325</v>
      </c>
      <c r="L353">
        <f t="shared" si="104"/>
        <v>674</v>
      </c>
      <c r="M353">
        <v>240</v>
      </c>
      <c r="N353">
        <f t="shared" si="105"/>
        <v>434</v>
      </c>
    </row>
    <row r="354" spans="1:14" x14ac:dyDescent="0.2">
      <c r="A354" t="s">
        <v>636</v>
      </c>
      <c r="B354" s="1" t="s">
        <v>632</v>
      </c>
      <c r="C354" t="s">
        <v>43</v>
      </c>
      <c r="D354" t="s">
        <v>628</v>
      </c>
      <c r="E354">
        <v>31</v>
      </c>
      <c r="F354" t="s">
        <v>385</v>
      </c>
      <c r="G354">
        <v>2022</v>
      </c>
      <c r="H354" t="s">
        <v>637</v>
      </c>
      <c r="I354" t="s">
        <v>28</v>
      </c>
      <c r="J354">
        <v>0</v>
      </c>
      <c r="K354">
        <v>0</v>
      </c>
      <c r="L354">
        <v>0</v>
      </c>
      <c r="M354">
        <v>0</v>
      </c>
      <c r="N354">
        <v>0</v>
      </c>
    </row>
    <row r="355" spans="1:14" x14ac:dyDescent="0.2">
      <c r="A355" t="s">
        <v>571</v>
      </c>
      <c r="B355" s="1" t="s">
        <v>546</v>
      </c>
      <c r="C355" t="s">
        <v>106</v>
      </c>
      <c r="D355" t="s">
        <v>528</v>
      </c>
      <c r="E355">
        <v>23</v>
      </c>
      <c r="F355" t="s">
        <v>385</v>
      </c>
      <c r="G355">
        <v>2022</v>
      </c>
      <c r="H355" t="s">
        <v>246</v>
      </c>
      <c r="I355" t="s">
        <v>58</v>
      </c>
      <c r="J355">
        <v>-849</v>
      </c>
      <c r="K355">
        <v>345</v>
      </c>
      <c r="L355">
        <f>J355+K355</f>
        <v>-504</v>
      </c>
      <c r="M355">
        <v>240</v>
      </c>
      <c r="N355">
        <f>L355+M355</f>
        <v>-264</v>
      </c>
    </row>
    <row r="356" spans="1:14" x14ac:dyDescent="0.2">
      <c r="A356" t="s">
        <v>638</v>
      </c>
      <c r="B356" s="1" t="s">
        <v>632</v>
      </c>
      <c r="C356" t="s">
        <v>14</v>
      </c>
      <c r="D356" t="s">
        <v>166</v>
      </c>
      <c r="E356">
        <v>31</v>
      </c>
      <c r="F356" t="s">
        <v>385</v>
      </c>
      <c r="G356">
        <v>2022</v>
      </c>
      <c r="H356" t="s">
        <v>246</v>
      </c>
      <c r="I356" t="s">
        <v>58</v>
      </c>
      <c r="J356">
        <v>849</v>
      </c>
      <c r="K356">
        <v>250</v>
      </c>
      <c r="L356">
        <f t="shared" ref="L356:L358" si="106">J356-K356</f>
        <v>599</v>
      </c>
      <c r="M356">
        <v>240</v>
      </c>
      <c r="N356">
        <f t="shared" ref="N356:N358" si="107">L356-M356</f>
        <v>359</v>
      </c>
    </row>
    <row r="357" spans="1:14" x14ac:dyDescent="0.2">
      <c r="A357" t="s">
        <v>639</v>
      </c>
      <c r="B357" s="1" t="s">
        <v>632</v>
      </c>
      <c r="C357" t="s">
        <v>14</v>
      </c>
      <c r="D357" t="s">
        <v>81</v>
      </c>
      <c r="E357">
        <v>31</v>
      </c>
      <c r="F357" t="s">
        <v>385</v>
      </c>
      <c r="G357">
        <v>2022</v>
      </c>
      <c r="H357" t="s">
        <v>104</v>
      </c>
      <c r="I357" t="s">
        <v>62</v>
      </c>
      <c r="J357">
        <v>849</v>
      </c>
      <c r="K357">
        <v>250</v>
      </c>
      <c r="L357">
        <f t="shared" si="106"/>
        <v>599</v>
      </c>
      <c r="M357">
        <v>240</v>
      </c>
      <c r="N357">
        <f t="shared" si="107"/>
        <v>359</v>
      </c>
    </row>
    <row r="358" spans="1:14" x14ac:dyDescent="0.2">
      <c r="A358" t="s">
        <v>640</v>
      </c>
      <c r="B358" s="1" t="s">
        <v>632</v>
      </c>
      <c r="C358" t="s">
        <v>14</v>
      </c>
      <c r="D358" t="s">
        <v>545</v>
      </c>
      <c r="E358">
        <v>31</v>
      </c>
      <c r="F358" t="s">
        <v>385</v>
      </c>
      <c r="G358">
        <v>2022</v>
      </c>
      <c r="H358" t="s">
        <v>641</v>
      </c>
      <c r="I358" t="s">
        <v>122</v>
      </c>
      <c r="J358">
        <v>799</v>
      </c>
      <c r="K358">
        <v>205</v>
      </c>
      <c r="L358">
        <f t="shared" si="106"/>
        <v>594</v>
      </c>
      <c r="M358">
        <v>240</v>
      </c>
      <c r="N358">
        <f t="shared" si="107"/>
        <v>354</v>
      </c>
    </row>
    <row r="359" spans="1:14" x14ac:dyDescent="0.2">
      <c r="A359" t="s">
        <v>365</v>
      </c>
      <c r="B359" s="1" t="s">
        <v>357</v>
      </c>
      <c r="C359" t="s">
        <v>106</v>
      </c>
      <c r="D359" t="s">
        <v>642</v>
      </c>
      <c r="E359">
        <v>29</v>
      </c>
      <c r="F359" t="s">
        <v>17</v>
      </c>
      <c r="G359">
        <v>2022</v>
      </c>
      <c r="H359" t="s">
        <v>84</v>
      </c>
      <c r="I359" t="s">
        <v>85</v>
      </c>
      <c r="J359">
        <v>-799</v>
      </c>
      <c r="K359">
        <v>320</v>
      </c>
      <c r="L359">
        <f>J359+K359</f>
        <v>-479</v>
      </c>
      <c r="M359">
        <v>240</v>
      </c>
      <c r="N359">
        <f>L359+M359</f>
        <v>-239</v>
      </c>
    </row>
    <row r="360" spans="1:14" x14ac:dyDescent="0.2">
      <c r="A360" t="s">
        <v>644</v>
      </c>
      <c r="B360" s="1" t="s">
        <v>643</v>
      </c>
      <c r="C360" t="s">
        <v>43</v>
      </c>
      <c r="D360" t="s">
        <v>645</v>
      </c>
      <c r="E360">
        <v>1</v>
      </c>
      <c r="F360" t="s">
        <v>646</v>
      </c>
      <c r="G360">
        <v>2022</v>
      </c>
      <c r="H360" t="s">
        <v>22</v>
      </c>
      <c r="I360" t="s">
        <v>23</v>
      </c>
      <c r="J360">
        <v>0</v>
      </c>
      <c r="K360">
        <v>0</v>
      </c>
      <c r="L360">
        <v>0</v>
      </c>
      <c r="M360">
        <v>0</v>
      </c>
      <c r="N360">
        <v>0</v>
      </c>
    </row>
    <row r="361" spans="1:14" x14ac:dyDescent="0.2">
      <c r="A361" t="s">
        <v>644</v>
      </c>
      <c r="B361" s="1" t="s">
        <v>643</v>
      </c>
      <c r="C361" t="s">
        <v>14</v>
      </c>
      <c r="D361" t="s">
        <v>645</v>
      </c>
      <c r="E361">
        <v>1</v>
      </c>
      <c r="F361" t="s">
        <v>646</v>
      </c>
      <c r="G361">
        <v>2022</v>
      </c>
      <c r="H361" t="s">
        <v>22</v>
      </c>
      <c r="I361" t="s">
        <v>23</v>
      </c>
      <c r="J361">
        <v>849</v>
      </c>
      <c r="K361">
        <v>250</v>
      </c>
      <c r="L361">
        <f t="shared" ref="L361:L370" si="108">J361-K361</f>
        <v>599</v>
      </c>
      <c r="M361">
        <v>240</v>
      </c>
      <c r="N361">
        <f t="shared" ref="N361:N370" si="109">L361-M361</f>
        <v>359</v>
      </c>
    </row>
    <row r="362" spans="1:14" x14ac:dyDescent="0.2">
      <c r="A362" t="s">
        <v>647</v>
      </c>
      <c r="B362" s="1" t="s">
        <v>643</v>
      </c>
      <c r="C362" t="s">
        <v>14</v>
      </c>
      <c r="D362" t="s">
        <v>81</v>
      </c>
      <c r="E362">
        <v>1</v>
      </c>
      <c r="F362" t="s">
        <v>646</v>
      </c>
      <c r="G362">
        <v>2022</v>
      </c>
      <c r="H362" t="s">
        <v>648</v>
      </c>
      <c r="I362" t="s">
        <v>28</v>
      </c>
      <c r="J362">
        <v>849</v>
      </c>
      <c r="K362">
        <v>250</v>
      </c>
      <c r="L362">
        <f t="shared" si="108"/>
        <v>599</v>
      </c>
      <c r="M362">
        <v>240</v>
      </c>
      <c r="N362">
        <f t="shared" si="109"/>
        <v>359</v>
      </c>
    </row>
    <row r="363" spans="1:14" x14ac:dyDescent="0.2">
      <c r="A363" t="s">
        <v>649</v>
      </c>
      <c r="B363" s="1" t="s">
        <v>643</v>
      </c>
      <c r="C363" t="s">
        <v>14</v>
      </c>
      <c r="D363" t="s">
        <v>81</v>
      </c>
      <c r="E363">
        <v>1</v>
      </c>
      <c r="F363" t="s">
        <v>646</v>
      </c>
      <c r="G363">
        <v>2022</v>
      </c>
      <c r="H363" t="s">
        <v>150</v>
      </c>
      <c r="I363" t="s">
        <v>62</v>
      </c>
      <c r="J363">
        <v>849</v>
      </c>
      <c r="K363">
        <v>250</v>
      </c>
      <c r="L363">
        <f t="shared" si="108"/>
        <v>599</v>
      </c>
      <c r="M363">
        <v>240</v>
      </c>
      <c r="N363">
        <f t="shared" si="109"/>
        <v>359</v>
      </c>
    </row>
    <row r="364" spans="1:14" x14ac:dyDescent="0.2">
      <c r="A364" t="s">
        <v>650</v>
      </c>
      <c r="B364" s="1" t="s">
        <v>643</v>
      </c>
      <c r="C364" t="s">
        <v>14</v>
      </c>
      <c r="D364" t="s">
        <v>425</v>
      </c>
      <c r="E364">
        <v>1</v>
      </c>
      <c r="F364" t="s">
        <v>646</v>
      </c>
      <c r="G364">
        <v>2022</v>
      </c>
      <c r="H364" t="s">
        <v>651</v>
      </c>
      <c r="I364" t="s">
        <v>253</v>
      </c>
      <c r="J364">
        <v>799</v>
      </c>
      <c r="K364">
        <v>205</v>
      </c>
      <c r="L364">
        <f t="shared" si="108"/>
        <v>594</v>
      </c>
      <c r="M364">
        <v>240</v>
      </c>
      <c r="N364">
        <f t="shared" si="109"/>
        <v>354</v>
      </c>
    </row>
    <row r="365" spans="1:14" x14ac:dyDescent="0.2">
      <c r="A365" t="s">
        <v>652</v>
      </c>
      <c r="B365" s="1" t="s">
        <v>643</v>
      </c>
      <c r="C365" t="s">
        <v>14</v>
      </c>
      <c r="D365" t="s">
        <v>504</v>
      </c>
      <c r="E365">
        <v>1</v>
      </c>
      <c r="F365" t="s">
        <v>646</v>
      </c>
      <c r="G365">
        <v>2022</v>
      </c>
      <c r="H365" t="s">
        <v>653</v>
      </c>
      <c r="I365" t="s">
        <v>62</v>
      </c>
      <c r="J365">
        <v>999</v>
      </c>
      <c r="K365">
        <v>325</v>
      </c>
      <c r="L365">
        <f t="shared" si="108"/>
        <v>674</v>
      </c>
      <c r="M365">
        <v>240</v>
      </c>
      <c r="N365">
        <f t="shared" si="109"/>
        <v>434</v>
      </c>
    </row>
    <row r="366" spans="1:14" x14ac:dyDescent="0.2">
      <c r="A366" t="s">
        <v>655</v>
      </c>
      <c r="B366" s="1" t="s">
        <v>654</v>
      </c>
      <c r="C366" t="s">
        <v>14</v>
      </c>
      <c r="D366" t="s">
        <v>380</v>
      </c>
      <c r="E366">
        <v>3</v>
      </c>
      <c r="F366" t="s">
        <v>646</v>
      </c>
      <c r="G366">
        <v>2022</v>
      </c>
      <c r="H366" t="s">
        <v>656</v>
      </c>
      <c r="I366" t="s">
        <v>62</v>
      </c>
      <c r="J366">
        <v>849</v>
      </c>
      <c r="K366">
        <v>250</v>
      </c>
      <c r="L366">
        <f t="shared" si="108"/>
        <v>599</v>
      </c>
      <c r="M366">
        <v>240</v>
      </c>
      <c r="N366">
        <f t="shared" si="109"/>
        <v>359</v>
      </c>
    </row>
    <row r="367" spans="1:14" x14ac:dyDescent="0.2">
      <c r="A367" t="s">
        <v>658</v>
      </c>
      <c r="B367" s="1" t="s">
        <v>657</v>
      </c>
      <c r="C367" t="s">
        <v>14</v>
      </c>
      <c r="D367" t="s">
        <v>192</v>
      </c>
      <c r="E367">
        <v>2</v>
      </c>
      <c r="F367" t="s">
        <v>646</v>
      </c>
      <c r="G367">
        <v>2022</v>
      </c>
      <c r="H367" t="s">
        <v>659</v>
      </c>
      <c r="I367" t="s">
        <v>28</v>
      </c>
      <c r="J367">
        <v>799</v>
      </c>
      <c r="K367">
        <v>205</v>
      </c>
      <c r="L367">
        <f t="shared" si="108"/>
        <v>594</v>
      </c>
      <c r="M367">
        <v>240</v>
      </c>
      <c r="N367">
        <f t="shared" si="109"/>
        <v>354</v>
      </c>
    </row>
    <row r="368" spans="1:14" x14ac:dyDescent="0.2">
      <c r="A368" t="s">
        <v>660</v>
      </c>
      <c r="B368" s="1" t="s">
        <v>654</v>
      </c>
      <c r="C368" t="s">
        <v>14</v>
      </c>
      <c r="D368" t="s">
        <v>384</v>
      </c>
      <c r="E368">
        <v>3</v>
      </c>
      <c r="F368" t="s">
        <v>646</v>
      </c>
      <c r="G368">
        <v>2022</v>
      </c>
      <c r="H368" t="s">
        <v>661</v>
      </c>
      <c r="I368" t="s">
        <v>85</v>
      </c>
      <c r="J368">
        <v>799</v>
      </c>
      <c r="K368">
        <v>205</v>
      </c>
      <c r="L368">
        <f t="shared" si="108"/>
        <v>594</v>
      </c>
      <c r="M368">
        <v>240</v>
      </c>
      <c r="N368">
        <f t="shared" si="109"/>
        <v>354</v>
      </c>
    </row>
    <row r="369" spans="1:14" x14ac:dyDescent="0.2">
      <c r="A369" t="s">
        <v>662</v>
      </c>
      <c r="B369" s="1" t="s">
        <v>657</v>
      </c>
      <c r="C369" t="s">
        <v>14</v>
      </c>
      <c r="D369" t="s">
        <v>663</v>
      </c>
      <c r="E369">
        <v>2</v>
      </c>
      <c r="F369" t="s">
        <v>646</v>
      </c>
      <c r="G369">
        <v>2022</v>
      </c>
      <c r="H369" t="s">
        <v>359</v>
      </c>
      <c r="I369" t="s">
        <v>85</v>
      </c>
      <c r="J369">
        <v>799</v>
      </c>
      <c r="K369">
        <v>205</v>
      </c>
      <c r="L369">
        <f t="shared" si="108"/>
        <v>594</v>
      </c>
      <c r="M369">
        <v>240</v>
      </c>
      <c r="N369">
        <f t="shared" si="109"/>
        <v>354</v>
      </c>
    </row>
    <row r="370" spans="1:14" x14ac:dyDescent="0.2">
      <c r="A370" t="s">
        <v>664</v>
      </c>
      <c r="B370" s="1" t="s">
        <v>657</v>
      </c>
      <c r="C370" t="s">
        <v>14</v>
      </c>
      <c r="D370" t="s">
        <v>665</v>
      </c>
      <c r="E370">
        <v>2</v>
      </c>
      <c r="F370" t="s">
        <v>646</v>
      </c>
      <c r="G370">
        <v>2022</v>
      </c>
      <c r="H370" t="s">
        <v>104</v>
      </c>
      <c r="I370" t="s">
        <v>62</v>
      </c>
      <c r="J370">
        <v>799</v>
      </c>
      <c r="K370">
        <v>205</v>
      </c>
      <c r="L370">
        <f t="shared" si="108"/>
        <v>594</v>
      </c>
      <c r="M370">
        <v>240</v>
      </c>
      <c r="N370">
        <f t="shared" si="109"/>
        <v>354</v>
      </c>
    </row>
    <row r="371" spans="1:14" x14ac:dyDescent="0.2">
      <c r="A371" t="s">
        <v>666</v>
      </c>
      <c r="B371" s="1" t="s">
        <v>654</v>
      </c>
      <c r="C371" t="s">
        <v>20</v>
      </c>
      <c r="D371" t="s">
        <v>308</v>
      </c>
      <c r="E371">
        <v>3</v>
      </c>
      <c r="F371" t="s">
        <v>646</v>
      </c>
      <c r="G371">
        <v>2022</v>
      </c>
      <c r="H371" t="s">
        <v>634</v>
      </c>
      <c r="I371" t="s">
        <v>163</v>
      </c>
      <c r="J371">
        <v>0</v>
      </c>
      <c r="K371">
        <v>0</v>
      </c>
      <c r="L371">
        <v>0</v>
      </c>
      <c r="M371">
        <v>0</v>
      </c>
      <c r="N371">
        <v>0</v>
      </c>
    </row>
    <row r="372" spans="1:14" x14ac:dyDescent="0.2">
      <c r="A372" t="s">
        <v>667</v>
      </c>
      <c r="B372" s="1" t="s">
        <v>654</v>
      </c>
      <c r="C372" t="s">
        <v>14</v>
      </c>
      <c r="D372" t="s">
        <v>381</v>
      </c>
      <c r="E372">
        <v>3</v>
      </c>
      <c r="F372" t="s">
        <v>646</v>
      </c>
      <c r="G372">
        <v>2022</v>
      </c>
      <c r="H372" t="s">
        <v>668</v>
      </c>
      <c r="I372" t="s">
        <v>502</v>
      </c>
      <c r="J372">
        <v>849</v>
      </c>
      <c r="K372">
        <v>250</v>
      </c>
      <c r="L372">
        <f t="shared" ref="L372:L373" si="110">J372-K372</f>
        <v>599</v>
      </c>
      <c r="M372">
        <v>240</v>
      </c>
      <c r="N372">
        <f t="shared" ref="N372:N373" si="111">L372-M372</f>
        <v>359</v>
      </c>
    </row>
    <row r="373" spans="1:14" x14ac:dyDescent="0.2">
      <c r="A373" t="s">
        <v>669</v>
      </c>
      <c r="B373" s="1" t="s">
        <v>654</v>
      </c>
      <c r="C373" t="s">
        <v>14</v>
      </c>
      <c r="D373" t="s">
        <v>81</v>
      </c>
      <c r="E373">
        <v>3</v>
      </c>
      <c r="F373" t="s">
        <v>646</v>
      </c>
      <c r="G373">
        <v>2022</v>
      </c>
      <c r="H373" t="s">
        <v>670</v>
      </c>
      <c r="I373" t="s">
        <v>122</v>
      </c>
      <c r="J373">
        <v>849</v>
      </c>
      <c r="K373">
        <v>250</v>
      </c>
      <c r="L373">
        <f t="shared" si="110"/>
        <v>599</v>
      </c>
      <c r="M373">
        <v>240</v>
      </c>
      <c r="N373">
        <f t="shared" si="111"/>
        <v>359</v>
      </c>
    </row>
    <row r="374" spans="1:14" x14ac:dyDescent="0.2">
      <c r="A374" t="s">
        <v>672</v>
      </c>
      <c r="B374" s="1" t="s">
        <v>671</v>
      </c>
      <c r="C374" t="s">
        <v>43</v>
      </c>
      <c r="D374" t="s">
        <v>81</v>
      </c>
      <c r="E374">
        <v>4</v>
      </c>
      <c r="F374" t="s">
        <v>646</v>
      </c>
      <c r="G374">
        <v>2022</v>
      </c>
      <c r="H374" t="s">
        <v>215</v>
      </c>
      <c r="I374" t="s">
        <v>135</v>
      </c>
      <c r="J374">
        <v>0</v>
      </c>
      <c r="K374">
        <v>0</v>
      </c>
      <c r="L374">
        <v>0</v>
      </c>
      <c r="M374">
        <v>0</v>
      </c>
      <c r="N374">
        <v>0</v>
      </c>
    </row>
    <row r="375" spans="1:14" x14ac:dyDescent="0.2">
      <c r="A375" t="s">
        <v>674</v>
      </c>
      <c r="B375" s="1" t="s">
        <v>673</v>
      </c>
      <c r="C375" t="s">
        <v>14</v>
      </c>
      <c r="D375" t="s">
        <v>81</v>
      </c>
      <c r="E375">
        <v>6</v>
      </c>
      <c r="F375" t="s">
        <v>646</v>
      </c>
      <c r="G375">
        <v>2022</v>
      </c>
      <c r="H375" t="s">
        <v>157</v>
      </c>
      <c r="I375" t="s">
        <v>97</v>
      </c>
      <c r="J375">
        <v>849</v>
      </c>
      <c r="K375">
        <v>250</v>
      </c>
      <c r="L375">
        <f t="shared" ref="L375:L395" si="112">J375-K375</f>
        <v>599</v>
      </c>
      <c r="M375">
        <v>240</v>
      </c>
      <c r="N375">
        <f t="shared" ref="N375:N395" si="113">L375-M375</f>
        <v>359</v>
      </c>
    </row>
    <row r="376" spans="1:14" x14ac:dyDescent="0.2">
      <c r="A376" t="s">
        <v>676</v>
      </c>
      <c r="B376" s="1" t="s">
        <v>675</v>
      </c>
      <c r="C376" t="s">
        <v>14</v>
      </c>
      <c r="D376" t="s">
        <v>81</v>
      </c>
      <c r="E376">
        <v>5</v>
      </c>
      <c r="F376" t="s">
        <v>646</v>
      </c>
      <c r="G376">
        <v>2022</v>
      </c>
      <c r="H376" t="s">
        <v>31</v>
      </c>
      <c r="I376" t="s">
        <v>32</v>
      </c>
      <c r="J376">
        <v>849</v>
      </c>
      <c r="K376">
        <v>250</v>
      </c>
      <c r="L376">
        <f t="shared" si="112"/>
        <v>599</v>
      </c>
      <c r="M376">
        <v>240</v>
      </c>
      <c r="N376">
        <f t="shared" si="113"/>
        <v>359</v>
      </c>
    </row>
    <row r="377" spans="1:14" x14ac:dyDescent="0.2">
      <c r="A377" t="s">
        <v>677</v>
      </c>
      <c r="B377" s="1" t="s">
        <v>675</v>
      </c>
      <c r="C377" t="s">
        <v>14</v>
      </c>
      <c r="D377" t="s">
        <v>169</v>
      </c>
      <c r="E377">
        <v>5</v>
      </c>
      <c r="F377" t="s">
        <v>646</v>
      </c>
      <c r="G377">
        <v>2022</v>
      </c>
      <c r="H377" t="s">
        <v>678</v>
      </c>
      <c r="I377" t="s">
        <v>85</v>
      </c>
      <c r="J377">
        <v>849</v>
      </c>
      <c r="K377">
        <v>250</v>
      </c>
      <c r="L377">
        <f t="shared" si="112"/>
        <v>599</v>
      </c>
      <c r="M377">
        <v>240</v>
      </c>
      <c r="N377">
        <f t="shared" si="113"/>
        <v>359</v>
      </c>
    </row>
    <row r="378" spans="1:14" x14ac:dyDescent="0.2">
      <c r="A378" t="s">
        <v>679</v>
      </c>
      <c r="B378" s="1" t="s">
        <v>671</v>
      </c>
      <c r="C378" t="s">
        <v>14</v>
      </c>
      <c r="D378" t="s">
        <v>81</v>
      </c>
      <c r="E378">
        <v>4</v>
      </c>
      <c r="F378" t="s">
        <v>646</v>
      </c>
      <c r="G378">
        <v>2022</v>
      </c>
      <c r="H378" t="s">
        <v>84</v>
      </c>
      <c r="I378" t="s">
        <v>85</v>
      </c>
      <c r="J378">
        <v>849</v>
      </c>
      <c r="K378">
        <v>250</v>
      </c>
      <c r="L378">
        <f t="shared" si="112"/>
        <v>599</v>
      </c>
      <c r="M378">
        <v>240</v>
      </c>
      <c r="N378">
        <f t="shared" si="113"/>
        <v>359</v>
      </c>
    </row>
    <row r="379" spans="1:14" x14ac:dyDescent="0.2">
      <c r="A379" t="s">
        <v>680</v>
      </c>
      <c r="B379" s="1" t="s">
        <v>673</v>
      </c>
      <c r="C379" t="s">
        <v>14</v>
      </c>
      <c r="D379" t="s">
        <v>166</v>
      </c>
      <c r="E379">
        <v>6</v>
      </c>
      <c r="F379" t="s">
        <v>646</v>
      </c>
      <c r="G379">
        <v>2022</v>
      </c>
      <c r="H379" t="s">
        <v>173</v>
      </c>
      <c r="I379" t="s">
        <v>62</v>
      </c>
      <c r="J379">
        <v>849</v>
      </c>
      <c r="K379">
        <v>250</v>
      </c>
      <c r="L379">
        <f t="shared" si="112"/>
        <v>599</v>
      </c>
      <c r="M379">
        <v>240</v>
      </c>
      <c r="N379">
        <f t="shared" si="113"/>
        <v>359</v>
      </c>
    </row>
    <row r="380" spans="1:14" x14ac:dyDescent="0.2">
      <c r="A380" t="s">
        <v>681</v>
      </c>
      <c r="B380" s="1" t="s">
        <v>671</v>
      </c>
      <c r="C380" t="s">
        <v>14</v>
      </c>
      <c r="D380" t="s">
        <v>425</v>
      </c>
      <c r="E380">
        <v>4</v>
      </c>
      <c r="F380" t="s">
        <v>646</v>
      </c>
      <c r="G380">
        <v>2022</v>
      </c>
      <c r="H380" t="s">
        <v>104</v>
      </c>
      <c r="I380" t="s">
        <v>62</v>
      </c>
      <c r="J380">
        <v>799</v>
      </c>
      <c r="K380">
        <v>205</v>
      </c>
      <c r="L380">
        <f t="shared" si="112"/>
        <v>594</v>
      </c>
      <c r="M380">
        <v>240</v>
      </c>
      <c r="N380">
        <f t="shared" si="113"/>
        <v>354</v>
      </c>
    </row>
    <row r="381" spans="1:14" x14ac:dyDescent="0.2">
      <c r="A381" t="s">
        <v>682</v>
      </c>
      <c r="B381" s="1" t="s">
        <v>673</v>
      </c>
      <c r="C381" t="s">
        <v>14</v>
      </c>
      <c r="D381" t="s">
        <v>683</v>
      </c>
      <c r="E381">
        <v>6</v>
      </c>
      <c r="F381" t="s">
        <v>646</v>
      </c>
      <c r="G381">
        <v>2022</v>
      </c>
      <c r="H381" t="s">
        <v>246</v>
      </c>
      <c r="I381" t="s">
        <v>58</v>
      </c>
      <c r="J381">
        <v>799</v>
      </c>
      <c r="K381">
        <v>205</v>
      </c>
      <c r="L381">
        <f t="shared" si="112"/>
        <v>594</v>
      </c>
      <c r="M381">
        <v>240</v>
      </c>
      <c r="N381">
        <f t="shared" si="113"/>
        <v>354</v>
      </c>
    </row>
    <row r="382" spans="1:14" x14ac:dyDescent="0.2">
      <c r="A382" t="s">
        <v>684</v>
      </c>
      <c r="B382" s="1" t="s">
        <v>673</v>
      </c>
      <c r="C382" t="s">
        <v>14</v>
      </c>
      <c r="D382" t="s">
        <v>528</v>
      </c>
      <c r="E382">
        <v>6</v>
      </c>
      <c r="F382" t="s">
        <v>646</v>
      </c>
      <c r="G382">
        <v>2022</v>
      </c>
      <c r="H382" t="s">
        <v>685</v>
      </c>
      <c r="I382" t="s">
        <v>85</v>
      </c>
      <c r="J382">
        <v>849</v>
      </c>
      <c r="K382">
        <v>250</v>
      </c>
      <c r="L382">
        <f t="shared" si="112"/>
        <v>599</v>
      </c>
      <c r="M382">
        <v>240</v>
      </c>
      <c r="N382">
        <f t="shared" si="113"/>
        <v>359</v>
      </c>
    </row>
    <row r="383" spans="1:14" x14ac:dyDescent="0.2">
      <c r="A383" t="s">
        <v>686</v>
      </c>
      <c r="B383" s="1" t="s">
        <v>673</v>
      </c>
      <c r="C383" t="s">
        <v>14</v>
      </c>
      <c r="D383" t="s">
        <v>380</v>
      </c>
      <c r="E383">
        <v>6</v>
      </c>
      <c r="F383" t="s">
        <v>646</v>
      </c>
      <c r="G383">
        <v>2022</v>
      </c>
      <c r="H383" t="s">
        <v>687</v>
      </c>
      <c r="I383" t="s">
        <v>85</v>
      </c>
      <c r="J383">
        <v>849</v>
      </c>
      <c r="K383">
        <v>250</v>
      </c>
      <c r="L383">
        <f t="shared" si="112"/>
        <v>599</v>
      </c>
      <c r="M383">
        <v>240</v>
      </c>
      <c r="N383">
        <f t="shared" si="113"/>
        <v>359</v>
      </c>
    </row>
    <row r="384" spans="1:14" x14ac:dyDescent="0.2">
      <c r="A384" t="s">
        <v>688</v>
      </c>
      <c r="B384" s="1" t="s">
        <v>673</v>
      </c>
      <c r="C384" t="s">
        <v>14</v>
      </c>
      <c r="D384" t="s">
        <v>689</v>
      </c>
      <c r="E384">
        <v>6</v>
      </c>
      <c r="F384" t="s">
        <v>646</v>
      </c>
      <c r="G384">
        <v>2022</v>
      </c>
      <c r="H384" t="s">
        <v>173</v>
      </c>
      <c r="I384" t="s">
        <v>62</v>
      </c>
      <c r="J384">
        <v>799</v>
      </c>
      <c r="K384">
        <v>205</v>
      </c>
      <c r="L384">
        <f t="shared" si="112"/>
        <v>594</v>
      </c>
      <c r="M384">
        <v>240</v>
      </c>
      <c r="N384">
        <f t="shared" si="113"/>
        <v>354</v>
      </c>
    </row>
    <row r="385" spans="1:14" x14ac:dyDescent="0.2">
      <c r="A385" t="s">
        <v>690</v>
      </c>
      <c r="B385" s="1" t="s">
        <v>673</v>
      </c>
      <c r="C385" t="s">
        <v>14</v>
      </c>
      <c r="D385" t="s">
        <v>81</v>
      </c>
      <c r="E385">
        <v>6</v>
      </c>
      <c r="F385" t="s">
        <v>646</v>
      </c>
      <c r="G385">
        <v>2022</v>
      </c>
      <c r="H385" t="s">
        <v>415</v>
      </c>
      <c r="I385" t="s">
        <v>135</v>
      </c>
      <c r="J385">
        <v>849</v>
      </c>
      <c r="K385">
        <v>250</v>
      </c>
      <c r="L385">
        <f t="shared" si="112"/>
        <v>599</v>
      </c>
      <c r="M385">
        <v>240</v>
      </c>
      <c r="N385">
        <f t="shared" si="113"/>
        <v>359</v>
      </c>
    </row>
    <row r="386" spans="1:14" x14ac:dyDescent="0.2">
      <c r="A386" t="s">
        <v>691</v>
      </c>
      <c r="B386" s="1" t="s">
        <v>673</v>
      </c>
      <c r="C386" t="s">
        <v>14</v>
      </c>
      <c r="D386" t="s">
        <v>133</v>
      </c>
      <c r="E386">
        <v>6</v>
      </c>
      <c r="F386" t="s">
        <v>646</v>
      </c>
      <c r="G386">
        <v>2022</v>
      </c>
      <c r="H386" t="s">
        <v>616</v>
      </c>
      <c r="I386" t="s">
        <v>85</v>
      </c>
      <c r="J386">
        <v>849</v>
      </c>
      <c r="K386">
        <v>250</v>
      </c>
      <c r="L386">
        <f t="shared" si="112"/>
        <v>599</v>
      </c>
      <c r="M386">
        <v>240</v>
      </c>
      <c r="N386">
        <f t="shared" si="113"/>
        <v>359</v>
      </c>
    </row>
    <row r="387" spans="1:14" x14ac:dyDescent="0.2">
      <c r="A387" t="s">
        <v>693</v>
      </c>
      <c r="B387" s="1" t="s">
        <v>692</v>
      </c>
      <c r="C387" t="s">
        <v>14</v>
      </c>
      <c r="D387" t="s">
        <v>425</v>
      </c>
      <c r="E387">
        <v>7</v>
      </c>
      <c r="F387" t="s">
        <v>646</v>
      </c>
      <c r="G387">
        <v>2022</v>
      </c>
      <c r="H387" t="s">
        <v>694</v>
      </c>
      <c r="I387" t="s">
        <v>62</v>
      </c>
      <c r="J387">
        <v>799</v>
      </c>
      <c r="K387">
        <v>205</v>
      </c>
      <c r="L387">
        <f t="shared" si="112"/>
        <v>594</v>
      </c>
      <c r="M387">
        <v>240</v>
      </c>
      <c r="N387">
        <f t="shared" si="113"/>
        <v>354</v>
      </c>
    </row>
    <row r="388" spans="1:14" x14ac:dyDescent="0.2">
      <c r="A388" t="s">
        <v>695</v>
      </c>
      <c r="B388" s="1" t="s">
        <v>692</v>
      </c>
      <c r="C388" t="s">
        <v>14</v>
      </c>
      <c r="D388" t="s">
        <v>452</v>
      </c>
      <c r="E388">
        <v>7</v>
      </c>
      <c r="F388" t="s">
        <v>646</v>
      </c>
      <c r="G388">
        <v>2022</v>
      </c>
      <c r="H388" t="s">
        <v>517</v>
      </c>
      <c r="I388" t="s">
        <v>122</v>
      </c>
      <c r="J388">
        <v>849</v>
      </c>
      <c r="K388">
        <v>250</v>
      </c>
      <c r="L388">
        <f t="shared" si="112"/>
        <v>599</v>
      </c>
      <c r="M388">
        <v>240</v>
      </c>
      <c r="N388">
        <f t="shared" si="113"/>
        <v>359</v>
      </c>
    </row>
    <row r="389" spans="1:14" x14ac:dyDescent="0.2">
      <c r="A389" t="s">
        <v>696</v>
      </c>
      <c r="B389" s="1" t="s">
        <v>692</v>
      </c>
      <c r="C389" t="s">
        <v>14</v>
      </c>
      <c r="D389" t="s">
        <v>697</v>
      </c>
      <c r="E389">
        <v>7</v>
      </c>
      <c r="F389" t="s">
        <v>646</v>
      </c>
      <c r="G389">
        <v>2022</v>
      </c>
      <c r="H389" t="s">
        <v>278</v>
      </c>
      <c r="I389" t="s">
        <v>19</v>
      </c>
      <c r="J389">
        <v>799</v>
      </c>
      <c r="K389">
        <v>205</v>
      </c>
      <c r="L389">
        <f t="shared" si="112"/>
        <v>594</v>
      </c>
      <c r="M389">
        <v>240</v>
      </c>
      <c r="N389">
        <f t="shared" si="113"/>
        <v>354</v>
      </c>
    </row>
    <row r="390" spans="1:14" x14ac:dyDescent="0.2">
      <c r="A390" t="s">
        <v>698</v>
      </c>
      <c r="B390" s="1" t="s">
        <v>692</v>
      </c>
      <c r="C390" t="s">
        <v>14</v>
      </c>
      <c r="D390" t="s">
        <v>81</v>
      </c>
      <c r="E390">
        <v>7</v>
      </c>
      <c r="F390" t="s">
        <v>646</v>
      </c>
      <c r="G390">
        <v>2022</v>
      </c>
      <c r="H390" t="s">
        <v>699</v>
      </c>
      <c r="I390" t="s">
        <v>122</v>
      </c>
      <c r="J390">
        <v>849</v>
      </c>
      <c r="K390">
        <v>250</v>
      </c>
      <c r="L390">
        <f t="shared" si="112"/>
        <v>599</v>
      </c>
      <c r="M390">
        <v>240</v>
      </c>
      <c r="N390">
        <f t="shared" si="113"/>
        <v>359</v>
      </c>
    </row>
    <row r="391" spans="1:14" x14ac:dyDescent="0.2">
      <c r="A391" t="s">
        <v>700</v>
      </c>
      <c r="B391" s="1" t="s">
        <v>692</v>
      </c>
      <c r="C391" t="s">
        <v>14</v>
      </c>
      <c r="D391" t="s">
        <v>81</v>
      </c>
      <c r="E391">
        <v>7</v>
      </c>
      <c r="F391" t="s">
        <v>646</v>
      </c>
      <c r="G391">
        <v>2022</v>
      </c>
      <c r="H391" t="s">
        <v>314</v>
      </c>
      <c r="I391" t="s">
        <v>58</v>
      </c>
      <c r="J391">
        <v>849</v>
      </c>
      <c r="K391">
        <v>250</v>
      </c>
      <c r="L391">
        <f t="shared" si="112"/>
        <v>599</v>
      </c>
      <c r="M391">
        <v>240</v>
      </c>
      <c r="N391">
        <f t="shared" si="113"/>
        <v>359</v>
      </c>
    </row>
    <row r="392" spans="1:14" x14ac:dyDescent="0.2">
      <c r="A392" t="s">
        <v>702</v>
      </c>
      <c r="B392" s="1" t="s">
        <v>701</v>
      </c>
      <c r="C392" t="s">
        <v>14</v>
      </c>
      <c r="D392" t="s">
        <v>703</v>
      </c>
      <c r="E392">
        <v>8</v>
      </c>
      <c r="F392" t="s">
        <v>646</v>
      </c>
      <c r="G392">
        <v>2022</v>
      </c>
      <c r="H392" t="s">
        <v>84</v>
      </c>
      <c r="I392" t="s">
        <v>85</v>
      </c>
      <c r="J392">
        <v>849</v>
      </c>
      <c r="K392">
        <v>250</v>
      </c>
      <c r="L392">
        <f t="shared" si="112"/>
        <v>599</v>
      </c>
      <c r="M392">
        <v>240</v>
      </c>
      <c r="N392">
        <f t="shared" si="113"/>
        <v>359</v>
      </c>
    </row>
    <row r="393" spans="1:14" x14ac:dyDescent="0.2">
      <c r="A393" t="s">
        <v>704</v>
      </c>
      <c r="B393" s="1" t="s">
        <v>692</v>
      </c>
      <c r="C393" t="s">
        <v>14</v>
      </c>
      <c r="D393" t="s">
        <v>81</v>
      </c>
      <c r="E393">
        <v>7</v>
      </c>
      <c r="F393" t="s">
        <v>646</v>
      </c>
      <c r="G393">
        <v>2022</v>
      </c>
      <c r="H393" t="s">
        <v>705</v>
      </c>
      <c r="I393" t="s">
        <v>62</v>
      </c>
      <c r="J393">
        <v>849</v>
      </c>
      <c r="K393">
        <v>250</v>
      </c>
      <c r="L393">
        <f t="shared" si="112"/>
        <v>599</v>
      </c>
      <c r="M393">
        <v>240</v>
      </c>
      <c r="N393">
        <f t="shared" si="113"/>
        <v>359</v>
      </c>
    </row>
    <row r="394" spans="1:14" x14ac:dyDescent="0.2">
      <c r="A394" t="s">
        <v>706</v>
      </c>
      <c r="B394" s="1" t="s">
        <v>701</v>
      </c>
      <c r="C394" t="s">
        <v>14</v>
      </c>
      <c r="D394" t="s">
        <v>707</v>
      </c>
      <c r="E394">
        <v>8</v>
      </c>
      <c r="F394" t="s">
        <v>646</v>
      </c>
      <c r="G394">
        <v>2022</v>
      </c>
      <c r="H394" t="s">
        <v>708</v>
      </c>
      <c r="I394" t="s">
        <v>122</v>
      </c>
      <c r="J394">
        <v>799</v>
      </c>
      <c r="K394">
        <v>205</v>
      </c>
      <c r="L394">
        <f t="shared" si="112"/>
        <v>594</v>
      </c>
      <c r="M394">
        <v>240</v>
      </c>
      <c r="N394">
        <f t="shared" si="113"/>
        <v>354</v>
      </c>
    </row>
    <row r="395" spans="1:14" x14ac:dyDescent="0.2">
      <c r="A395" t="s">
        <v>709</v>
      </c>
      <c r="B395" s="1" t="s">
        <v>701</v>
      </c>
      <c r="C395" t="s">
        <v>14</v>
      </c>
      <c r="D395" t="s">
        <v>448</v>
      </c>
      <c r="E395">
        <v>8</v>
      </c>
      <c r="F395" t="s">
        <v>646</v>
      </c>
      <c r="G395">
        <v>2022</v>
      </c>
      <c r="H395" t="s">
        <v>488</v>
      </c>
      <c r="I395" t="s">
        <v>455</v>
      </c>
      <c r="J395">
        <v>999</v>
      </c>
      <c r="K395">
        <v>325</v>
      </c>
      <c r="L395">
        <f t="shared" si="112"/>
        <v>674</v>
      </c>
      <c r="M395">
        <v>240</v>
      </c>
      <c r="N395">
        <f t="shared" si="113"/>
        <v>434</v>
      </c>
    </row>
    <row r="396" spans="1:14" x14ac:dyDescent="0.2">
      <c r="A396" t="s">
        <v>711</v>
      </c>
      <c r="B396" s="1" t="s">
        <v>710</v>
      </c>
      <c r="C396" t="s">
        <v>43</v>
      </c>
      <c r="D396" t="s">
        <v>81</v>
      </c>
      <c r="E396">
        <v>9</v>
      </c>
      <c r="F396" t="s">
        <v>646</v>
      </c>
      <c r="G396">
        <v>2022</v>
      </c>
      <c r="H396" t="s">
        <v>104</v>
      </c>
      <c r="I396" t="s">
        <v>62</v>
      </c>
      <c r="J396">
        <v>0</v>
      </c>
      <c r="K396">
        <v>0</v>
      </c>
      <c r="L396">
        <v>0</v>
      </c>
      <c r="M396">
        <v>0</v>
      </c>
      <c r="N396">
        <v>0</v>
      </c>
    </row>
    <row r="397" spans="1:14" x14ac:dyDescent="0.2">
      <c r="A397" t="s">
        <v>712</v>
      </c>
      <c r="B397" s="1" t="s">
        <v>710</v>
      </c>
      <c r="C397" t="s">
        <v>14</v>
      </c>
      <c r="D397" t="s">
        <v>477</v>
      </c>
      <c r="E397">
        <v>9</v>
      </c>
      <c r="F397" t="s">
        <v>646</v>
      </c>
      <c r="G397">
        <v>2022</v>
      </c>
      <c r="H397" t="s">
        <v>260</v>
      </c>
      <c r="I397" t="s">
        <v>28</v>
      </c>
      <c r="J397">
        <v>999</v>
      </c>
      <c r="K397">
        <v>325</v>
      </c>
      <c r="L397">
        <f t="shared" ref="L397:L402" si="114">J397-K397</f>
        <v>674</v>
      </c>
      <c r="M397">
        <v>240</v>
      </c>
      <c r="N397">
        <f t="shared" ref="N397:N402" si="115">L397-M397</f>
        <v>434</v>
      </c>
    </row>
    <row r="398" spans="1:14" x14ac:dyDescent="0.2">
      <c r="A398" t="s">
        <v>713</v>
      </c>
      <c r="B398" s="1" t="s">
        <v>710</v>
      </c>
      <c r="C398" t="s">
        <v>14</v>
      </c>
      <c r="D398" t="s">
        <v>133</v>
      </c>
      <c r="E398">
        <v>9</v>
      </c>
      <c r="F398" t="s">
        <v>646</v>
      </c>
      <c r="G398">
        <v>2022</v>
      </c>
      <c r="H398" t="s">
        <v>714</v>
      </c>
      <c r="I398" t="s">
        <v>376</v>
      </c>
      <c r="J398">
        <v>849</v>
      </c>
      <c r="K398">
        <v>250</v>
      </c>
      <c r="L398">
        <f t="shared" si="114"/>
        <v>599</v>
      </c>
      <c r="M398">
        <v>240</v>
      </c>
      <c r="N398">
        <f t="shared" si="115"/>
        <v>359</v>
      </c>
    </row>
    <row r="399" spans="1:14" x14ac:dyDescent="0.2">
      <c r="A399" t="s">
        <v>715</v>
      </c>
      <c r="B399" s="1" t="s">
        <v>710</v>
      </c>
      <c r="C399" t="s">
        <v>14</v>
      </c>
      <c r="D399" t="s">
        <v>380</v>
      </c>
      <c r="E399">
        <v>9</v>
      </c>
      <c r="F399" t="s">
        <v>646</v>
      </c>
      <c r="G399">
        <v>2022</v>
      </c>
      <c r="H399" t="s">
        <v>104</v>
      </c>
      <c r="I399" t="s">
        <v>62</v>
      </c>
      <c r="J399">
        <v>849</v>
      </c>
      <c r="K399">
        <v>250</v>
      </c>
      <c r="L399">
        <f t="shared" si="114"/>
        <v>599</v>
      </c>
      <c r="M399">
        <v>240</v>
      </c>
      <c r="N399">
        <f t="shared" si="115"/>
        <v>359</v>
      </c>
    </row>
    <row r="400" spans="1:14" x14ac:dyDescent="0.2">
      <c r="A400" t="s">
        <v>717</v>
      </c>
      <c r="B400" s="1" t="s">
        <v>716</v>
      </c>
      <c r="C400" t="s">
        <v>14</v>
      </c>
      <c r="D400" t="s">
        <v>379</v>
      </c>
      <c r="E400">
        <v>10</v>
      </c>
      <c r="F400" t="s">
        <v>646</v>
      </c>
      <c r="G400">
        <v>2022</v>
      </c>
      <c r="H400" t="s">
        <v>104</v>
      </c>
      <c r="I400" t="s">
        <v>62</v>
      </c>
      <c r="J400">
        <v>849</v>
      </c>
      <c r="K400">
        <v>250</v>
      </c>
      <c r="L400">
        <f t="shared" si="114"/>
        <v>599</v>
      </c>
      <c r="M400">
        <v>240</v>
      </c>
      <c r="N400">
        <f t="shared" si="115"/>
        <v>359</v>
      </c>
    </row>
    <row r="401" spans="1:14" x14ac:dyDescent="0.2">
      <c r="A401" t="s">
        <v>718</v>
      </c>
      <c r="B401" s="1" t="s">
        <v>710</v>
      </c>
      <c r="C401" t="s">
        <v>14</v>
      </c>
      <c r="D401" t="s">
        <v>133</v>
      </c>
      <c r="E401">
        <v>9</v>
      </c>
      <c r="F401" t="s">
        <v>646</v>
      </c>
      <c r="G401">
        <v>2022</v>
      </c>
      <c r="H401" t="s">
        <v>215</v>
      </c>
      <c r="I401" t="s">
        <v>135</v>
      </c>
      <c r="J401">
        <v>849</v>
      </c>
      <c r="K401">
        <v>250</v>
      </c>
      <c r="L401">
        <f t="shared" si="114"/>
        <v>599</v>
      </c>
      <c r="M401">
        <v>240</v>
      </c>
      <c r="N401">
        <f t="shared" si="115"/>
        <v>359</v>
      </c>
    </row>
    <row r="402" spans="1:14" x14ac:dyDescent="0.2">
      <c r="A402" t="s">
        <v>711</v>
      </c>
      <c r="B402" s="1" t="s">
        <v>710</v>
      </c>
      <c r="C402" t="s">
        <v>14</v>
      </c>
      <c r="D402" t="s">
        <v>81</v>
      </c>
      <c r="E402">
        <v>9</v>
      </c>
      <c r="F402" t="s">
        <v>646</v>
      </c>
      <c r="G402">
        <v>2022</v>
      </c>
      <c r="H402" t="s">
        <v>104</v>
      </c>
      <c r="I402" t="s">
        <v>62</v>
      </c>
      <c r="J402">
        <v>849</v>
      </c>
      <c r="K402">
        <v>250</v>
      </c>
      <c r="L402">
        <f t="shared" si="114"/>
        <v>599</v>
      </c>
      <c r="M402">
        <v>240</v>
      </c>
      <c r="N402">
        <f t="shared" si="115"/>
        <v>359</v>
      </c>
    </row>
    <row r="403" spans="1:14" x14ac:dyDescent="0.2">
      <c r="A403" t="s">
        <v>658</v>
      </c>
      <c r="B403" s="1" t="s">
        <v>657</v>
      </c>
      <c r="C403" t="s">
        <v>43</v>
      </c>
      <c r="D403" t="s">
        <v>192</v>
      </c>
      <c r="E403">
        <v>2</v>
      </c>
      <c r="F403" t="s">
        <v>646</v>
      </c>
      <c r="G403">
        <v>2022</v>
      </c>
      <c r="H403" t="s">
        <v>659</v>
      </c>
      <c r="I403" t="s">
        <v>28</v>
      </c>
      <c r="J403">
        <v>0</v>
      </c>
      <c r="K403">
        <v>0</v>
      </c>
      <c r="L403">
        <v>0</v>
      </c>
      <c r="M403">
        <v>0</v>
      </c>
      <c r="N403">
        <v>0</v>
      </c>
    </row>
    <row r="404" spans="1:14" x14ac:dyDescent="0.2">
      <c r="A404" t="s">
        <v>684</v>
      </c>
      <c r="B404" s="1" t="s">
        <v>673</v>
      </c>
      <c r="C404" t="s">
        <v>106</v>
      </c>
      <c r="D404" t="s">
        <v>528</v>
      </c>
      <c r="E404">
        <v>6</v>
      </c>
      <c r="F404" t="s">
        <v>646</v>
      </c>
      <c r="G404">
        <v>2022</v>
      </c>
      <c r="H404" t="s">
        <v>685</v>
      </c>
      <c r="I404" t="s">
        <v>85</v>
      </c>
      <c r="J404">
        <v>-849</v>
      </c>
      <c r="K404">
        <v>345</v>
      </c>
      <c r="L404">
        <f>J404+K404</f>
        <v>-504</v>
      </c>
      <c r="M404">
        <v>240</v>
      </c>
      <c r="N404">
        <f>L404+M404</f>
        <v>-264</v>
      </c>
    </row>
    <row r="405" spans="1:14" x14ac:dyDescent="0.2">
      <c r="A405" t="s">
        <v>719</v>
      </c>
      <c r="B405" s="1" t="s">
        <v>716</v>
      </c>
      <c r="C405" t="s">
        <v>14</v>
      </c>
      <c r="D405" t="s">
        <v>387</v>
      </c>
      <c r="E405">
        <v>10</v>
      </c>
      <c r="F405" t="s">
        <v>646</v>
      </c>
      <c r="G405">
        <v>2022</v>
      </c>
      <c r="H405" t="s">
        <v>235</v>
      </c>
      <c r="I405" t="s">
        <v>62</v>
      </c>
      <c r="J405">
        <v>849</v>
      </c>
      <c r="K405">
        <v>250</v>
      </c>
      <c r="L405">
        <f t="shared" ref="L405:L407" si="116">J405-K405</f>
        <v>599</v>
      </c>
      <c r="M405">
        <v>240</v>
      </c>
      <c r="N405">
        <f t="shared" ref="N405:N407" si="117">L405-M405</f>
        <v>359</v>
      </c>
    </row>
    <row r="406" spans="1:14" x14ac:dyDescent="0.2">
      <c r="A406" t="s">
        <v>720</v>
      </c>
      <c r="B406" s="1" t="s">
        <v>716</v>
      </c>
      <c r="C406" t="s">
        <v>14</v>
      </c>
      <c r="D406" t="s">
        <v>387</v>
      </c>
      <c r="E406">
        <v>10</v>
      </c>
      <c r="F406" t="s">
        <v>646</v>
      </c>
      <c r="G406">
        <v>2022</v>
      </c>
      <c r="H406" t="s">
        <v>604</v>
      </c>
      <c r="I406" t="s">
        <v>85</v>
      </c>
      <c r="J406">
        <v>849</v>
      </c>
      <c r="K406">
        <v>250</v>
      </c>
      <c r="L406">
        <f t="shared" si="116"/>
        <v>599</v>
      </c>
      <c r="M406">
        <v>240</v>
      </c>
      <c r="N406">
        <f t="shared" si="117"/>
        <v>359</v>
      </c>
    </row>
    <row r="407" spans="1:14" x14ac:dyDescent="0.2">
      <c r="A407" t="s">
        <v>722</v>
      </c>
      <c r="B407" s="1" t="s">
        <v>721</v>
      </c>
      <c r="C407" t="s">
        <v>14</v>
      </c>
      <c r="D407" t="s">
        <v>169</v>
      </c>
      <c r="E407">
        <v>12</v>
      </c>
      <c r="F407" t="s">
        <v>646</v>
      </c>
      <c r="G407">
        <v>2022</v>
      </c>
      <c r="H407" t="s">
        <v>723</v>
      </c>
      <c r="I407" t="s">
        <v>23</v>
      </c>
      <c r="J407">
        <v>849</v>
      </c>
      <c r="K407">
        <v>250</v>
      </c>
      <c r="L407">
        <f t="shared" si="116"/>
        <v>599</v>
      </c>
      <c r="M407">
        <v>240</v>
      </c>
      <c r="N407">
        <f t="shared" si="117"/>
        <v>359</v>
      </c>
    </row>
    <row r="408" spans="1:14" x14ac:dyDescent="0.2">
      <c r="A408" t="s">
        <v>725</v>
      </c>
      <c r="B408" s="1" t="s">
        <v>724</v>
      </c>
      <c r="C408" t="s">
        <v>20</v>
      </c>
      <c r="D408" t="s">
        <v>81</v>
      </c>
      <c r="E408">
        <v>11</v>
      </c>
      <c r="F408" t="s">
        <v>646</v>
      </c>
      <c r="G408">
        <v>2022</v>
      </c>
      <c r="H408" t="s">
        <v>656</v>
      </c>
      <c r="I408" t="s">
        <v>62</v>
      </c>
      <c r="J408">
        <v>0</v>
      </c>
      <c r="K408">
        <v>0</v>
      </c>
      <c r="L408">
        <v>0</v>
      </c>
      <c r="M408">
        <v>0</v>
      </c>
      <c r="N408">
        <v>0</v>
      </c>
    </row>
    <row r="409" spans="1:14" x14ac:dyDescent="0.2">
      <c r="A409" t="s">
        <v>726</v>
      </c>
      <c r="B409" s="1" t="s">
        <v>721</v>
      </c>
      <c r="C409" t="s">
        <v>14</v>
      </c>
      <c r="D409" t="s">
        <v>81</v>
      </c>
      <c r="E409">
        <v>12</v>
      </c>
      <c r="F409" t="s">
        <v>646</v>
      </c>
      <c r="G409">
        <v>2022</v>
      </c>
      <c r="H409" t="s">
        <v>727</v>
      </c>
      <c r="I409" t="s">
        <v>62</v>
      </c>
      <c r="J409">
        <v>849</v>
      </c>
      <c r="K409">
        <v>250</v>
      </c>
      <c r="L409">
        <f t="shared" ref="L409:L414" si="118">J409-K409</f>
        <v>599</v>
      </c>
      <c r="M409">
        <v>240</v>
      </c>
      <c r="N409">
        <f t="shared" ref="N409:N414" si="119">L409-M409</f>
        <v>359</v>
      </c>
    </row>
    <row r="410" spans="1:14" x14ac:dyDescent="0.2">
      <c r="A410" t="s">
        <v>728</v>
      </c>
      <c r="B410" s="1" t="s">
        <v>721</v>
      </c>
      <c r="C410" t="s">
        <v>14</v>
      </c>
      <c r="D410" t="s">
        <v>729</v>
      </c>
      <c r="E410">
        <v>12</v>
      </c>
      <c r="F410" t="s">
        <v>646</v>
      </c>
      <c r="G410">
        <v>2022</v>
      </c>
      <c r="H410" t="s">
        <v>157</v>
      </c>
      <c r="I410" t="s">
        <v>97</v>
      </c>
      <c r="J410">
        <v>799</v>
      </c>
      <c r="K410">
        <v>205</v>
      </c>
      <c r="L410">
        <f t="shared" si="118"/>
        <v>594</v>
      </c>
      <c r="M410">
        <v>240</v>
      </c>
      <c r="N410">
        <f t="shared" si="119"/>
        <v>354</v>
      </c>
    </row>
    <row r="411" spans="1:14" x14ac:dyDescent="0.2">
      <c r="A411" t="s">
        <v>730</v>
      </c>
      <c r="B411" s="1" t="s">
        <v>721</v>
      </c>
      <c r="C411" t="s">
        <v>14</v>
      </c>
      <c r="D411" t="s">
        <v>81</v>
      </c>
      <c r="E411">
        <v>12</v>
      </c>
      <c r="F411" t="s">
        <v>646</v>
      </c>
      <c r="G411">
        <v>2022</v>
      </c>
      <c r="H411" t="s">
        <v>246</v>
      </c>
      <c r="I411" t="s">
        <v>58</v>
      </c>
      <c r="J411">
        <v>849</v>
      </c>
      <c r="K411">
        <v>250</v>
      </c>
      <c r="L411">
        <f t="shared" si="118"/>
        <v>599</v>
      </c>
      <c r="M411">
        <v>240</v>
      </c>
      <c r="N411">
        <f t="shared" si="119"/>
        <v>359</v>
      </c>
    </row>
    <row r="412" spans="1:14" x14ac:dyDescent="0.2">
      <c r="A412" t="s">
        <v>731</v>
      </c>
      <c r="B412" s="1" t="s">
        <v>721</v>
      </c>
      <c r="C412" t="s">
        <v>14</v>
      </c>
      <c r="D412" t="s">
        <v>555</v>
      </c>
      <c r="E412">
        <v>12</v>
      </c>
      <c r="F412" t="s">
        <v>646</v>
      </c>
      <c r="G412">
        <v>2022</v>
      </c>
      <c r="H412" t="s">
        <v>235</v>
      </c>
      <c r="I412" t="s">
        <v>62</v>
      </c>
      <c r="J412">
        <v>799</v>
      </c>
      <c r="K412">
        <v>205</v>
      </c>
      <c r="L412">
        <f t="shared" si="118"/>
        <v>594</v>
      </c>
      <c r="M412">
        <v>240</v>
      </c>
      <c r="N412">
        <f t="shared" si="119"/>
        <v>354</v>
      </c>
    </row>
    <row r="413" spans="1:14" x14ac:dyDescent="0.2">
      <c r="A413" t="s">
        <v>733</v>
      </c>
      <c r="B413" s="1" t="s">
        <v>732</v>
      </c>
      <c r="C413" t="s">
        <v>14</v>
      </c>
      <c r="D413" t="s">
        <v>504</v>
      </c>
      <c r="E413">
        <v>13</v>
      </c>
      <c r="F413" t="s">
        <v>646</v>
      </c>
      <c r="G413">
        <v>2022</v>
      </c>
      <c r="H413" t="s">
        <v>157</v>
      </c>
      <c r="I413" t="s">
        <v>97</v>
      </c>
      <c r="J413">
        <v>999</v>
      </c>
      <c r="K413">
        <v>325</v>
      </c>
      <c r="L413">
        <f t="shared" si="118"/>
        <v>674</v>
      </c>
      <c r="M413">
        <v>240</v>
      </c>
      <c r="N413">
        <f t="shared" si="119"/>
        <v>434</v>
      </c>
    </row>
    <row r="414" spans="1:14" x14ac:dyDescent="0.2">
      <c r="A414" t="s">
        <v>734</v>
      </c>
      <c r="B414" s="1" t="s">
        <v>724</v>
      </c>
      <c r="C414" t="s">
        <v>14</v>
      </c>
      <c r="D414" t="s">
        <v>81</v>
      </c>
      <c r="E414">
        <v>11</v>
      </c>
      <c r="F414" t="s">
        <v>646</v>
      </c>
      <c r="G414">
        <v>2022</v>
      </c>
      <c r="H414" t="s">
        <v>104</v>
      </c>
      <c r="I414" t="s">
        <v>62</v>
      </c>
      <c r="J414">
        <v>849</v>
      </c>
      <c r="K414">
        <v>250</v>
      </c>
      <c r="L414">
        <f t="shared" si="118"/>
        <v>599</v>
      </c>
      <c r="M414">
        <v>240</v>
      </c>
      <c r="N414">
        <f t="shared" si="119"/>
        <v>359</v>
      </c>
    </row>
    <row r="415" spans="1:14" x14ac:dyDescent="0.2">
      <c r="A415" t="s">
        <v>680</v>
      </c>
      <c r="B415" s="1" t="s">
        <v>673</v>
      </c>
      <c r="C415" t="s">
        <v>106</v>
      </c>
      <c r="D415" t="s">
        <v>166</v>
      </c>
      <c r="E415">
        <v>6</v>
      </c>
      <c r="F415" t="s">
        <v>646</v>
      </c>
      <c r="G415">
        <v>2022</v>
      </c>
      <c r="H415" t="s">
        <v>173</v>
      </c>
      <c r="I415" t="s">
        <v>62</v>
      </c>
      <c r="J415">
        <v>-849</v>
      </c>
      <c r="K415">
        <v>345</v>
      </c>
      <c r="L415">
        <f>J415+K415</f>
        <v>-504</v>
      </c>
      <c r="M415">
        <v>240</v>
      </c>
      <c r="N415">
        <f>L415+M415</f>
        <v>-264</v>
      </c>
    </row>
    <row r="416" spans="1:14" x14ac:dyDescent="0.2">
      <c r="A416" t="s">
        <v>736</v>
      </c>
      <c r="B416" s="1" t="s">
        <v>735</v>
      </c>
      <c r="C416" t="s">
        <v>43</v>
      </c>
      <c r="D416" t="s">
        <v>81</v>
      </c>
      <c r="E416">
        <v>14</v>
      </c>
      <c r="F416" t="s">
        <v>646</v>
      </c>
      <c r="G416">
        <v>2022</v>
      </c>
      <c r="H416" t="s">
        <v>157</v>
      </c>
      <c r="I416" t="s">
        <v>97</v>
      </c>
      <c r="J416">
        <v>0</v>
      </c>
      <c r="K416">
        <v>0</v>
      </c>
      <c r="L416">
        <v>0</v>
      </c>
      <c r="M416">
        <v>0</v>
      </c>
      <c r="N416">
        <v>0</v>
      </c>
    </row>
    <row r="417" spans="1:14" x14ac:dyDescent="0.2">
      <c r="A417" t="s">
        <v>690</v>
      </c>
      <c r="B417" s="1" t="s">
        <v>673</v>
      </c>
      <c r="C417" t="s">
        <v>106</v>
      </c>
      <c r="D417" t="s">
        <v>81</v>
      </c>
      <c r="E417">
        <v>6</v>
      </c>
      <c r="F417" t="s">
        <v>646</v>
      </c>
      <c r="G417">
        <v>2022</v>
      </c>
      <c r="H417" t="s">
        <v>415</v>
      </c>
      <c r="I417" t="s">
        <v>135</v>
      </c>
      <c r="J417">
        <v>-849</v>
      </c>
      <c r="K417">
        <v>345</v>
      </c>
      <c r="L417">
        <f>J417+K417</f>
        <v>-504</v>
      </c>
      <c r="M417">
        <v>240</v>
      </c>
      <c r="N417">
        <f>L417+M417</f>
        <v>-264</v>
      </c>
    </row>
    <row r="418" spans="1:14" x14ac:dyDescent="0.2">
      <c r="A418" t="s">
        <v>737</v>
      </c>
      <c r="B418" s="1" t="s">
        <v>732</v>
      </c>
      <c r="C418" t="s">
        <v>14</v>
      </c>
      <c r="D418" t="s">
        <v>81</v>
      </c>
      <c r="E418">
        <v>13</v>
      </c>
      <c r="F418" t="s">
        <v>646</v>
      </c>
      <c r="G418">
        <v>2022</v>
      </c>
      <c r="H418" t="s">
        <v>738</v>
      </c>
      <c r="I418" t="s">
        <v>28</v>
      </c>
      <c r="J418">
        <v>849</v>
      </c>
      <c r="K418">
        <v>250</v>
      </c>
      <c r="L418">
        <f>J418-K418</f>
        <v>599</v>
      </c>
      <c r="M418">
        <v>240</v>
      </c>
      <c r="N418">
        <f>L418-M418</f>
        <v>359</v>
      </c>
    </row>
    <row r="419" spans="1:14" x14ac:dyDescent="0.2">
      <c r="A419" t="s">
        <v>739</v>
      </c>
      <c r="B419" s="1" t="s">
        <v>732</v>
      </c>
      <c r="C419" t="s">
        <v>20</v>
      </c>
      <c r="D419" t="s">
        <v>379</v>
      </c>
      <c r="E419">
        <v>13</v>
      </c>
      <c r="F419" t="s">
        <v>646</v>
      </c>
      <c r="G419">
        <v>2022</v>
      </c>
      <c r="H419" t="s">
        <v>616</v>
      </c>
      <c r="I419" t="s">
        <v>85</v>
      </c>
      <c r="J419">
        <v>0</v>
      </c>
      <c r="K419">
        <v>0</v>
      </c>
      <c r="L419">
        <v>0</v>
      </c>
      <c r="M419">
        <v>0</v>
      </c>
      <c r="N419">
        <v>0</v>
      </c>
    </row>
    <row r="420" spans="1:14" x14ac:dyDescent="0.2">
      <c r="A420" t="s">
        <v>695</v>
      </c>
      <c r="B420" s="1" t="s">
        <v>692</v>
      </c>
      <c r="C420" t="s">
        <v>106</v>
      </c>
      <c r="D420" t="s">
        <v>452</v>
      </c>
      <c r="E420">
        <v>7</v>
      </c>
      <c r="F420" t="s">
        <v>646</v>
      </c>
      <c r="G420">
        <v>2022</v>
      </c>
      <c r="H420" t="s">
        <v>517</v>
      </c>
      <c r="I420" t="s">
        <v>122</v>
      </c>
      <c r="J420">
        <v>-849</v>
      </c>
      <c r="K420">
        <v>345</v>
      </c>
      <c r="L420">
        <f t="shared" ref="L420:L421" si="120">J420+K420</f>
        <v>-504</v>
      </c>
      <c r="M420">
        <v>240</v>
      </c>
      <c r="N420">
        <f t="shared" ref="N420:N421" si="121">L420+M420</f>
        <v>-264</v>
      </c>
    </row>
    <row r="421" spans="1:14" x14ac:dyDescent="0.2">
      <c r="A421" t="s">
        <v>698</v>
      </c>
      <c r="B421" s="1" t="s">
        <v>692</v>
      </c>
      <c r="C421" t="s">
        <v>106</v>
      </c>
      <c r="D421" t="s">
        <v>81</v>
      </c>
      <c r="E421">
        <v>7</v>
      </c>
      <c r="F421" t="s">
        <v>646</v>
      </c>
      <c r="G421">
        <v>2022</v>
      </c>
      <c r="H421" t="s">
        <v>699</v>
      </c>
      <c r="I421" t="s">
        <v>122</v>
      </c>
      <c r="J421">
        <v>-849</v>
      </c>
      <c r="K421">
        <v>345</v>
      </c>
      <c r="L421">
        <f t="shared" si="120"/>
        <v>-504</v>
      </c>
      <c r="M421">
        <v>240</v>
      </c>
      <c r="N421">
        <f t="shared" si="121"/>
        <v>-264</v>
      </c>
    </row>
    <row r="422" spans="1:14" x14ac:dyDescent="0.2">
      <c r="A422" t="s">
        <v>740</v>
      </c>
      <c r="B422" s="1" t="s">
        <v>735</v>
      </c>
      <c r="C422" t="s">
        <v>14</v>
      </c>
      <c r="D422" t="s">
        <v>380</v>
      </c>
      <c r="E422">
        <v>14</v>
      </c>
      <c r="F422" t="s">
        <v>646</v>
      </c>
      <c r="G422">
        <v>2022</v>
      </c>
      <c r="H422" t="s">
        <v>687</v>
      </c>
      <c r="I422" t="s">
        <v>85</v>
      </c>
      <c r="J422">
        <v>849</v>
      </c>
      <c r="K422">
        <v>250</v>
      </c>
      <c r="L422">
        <f t="shared" ref="L422:L428" si="122">J422-K422</f>
        <v>599</v>
      </c>
      <c r="M422">
        <v>240</v>
      </c>
      <c r="N422">
        <f t="shared" ref="N422:N428" si="123">L422-M422</f>
        <v>359</v>
      </c>
    </row>
    <row r="423" spans="1:14" x14ac:dyDescent="0.2">
      <c r="A423" t="s">
        <v>741</v>
      </c>
      <c r="B423" s="1" t="s">
        <v>735</v>
      </c>
      <c r="C423" t="s">
        <v>14</v>
      </c>
      <c r="D423" t="s">
        <v>742</v>
      </c>
      <c r="E423">
        <v>14</v>
      </c>
      <c r="F423" t="s">
        <v>646</v>
      </c>
      <c r="G423">
        <v>2022</v>
      </c>
      <c r="H423" t="s">
        <v>604</v>
      </c>
      <c r="I423" t="s">
        <v>85</v>
      </c>
      <c r="J423">
        <v>799</v>
      </c>
      <c r="K423">
        <v>205</v>
      </c>
      <c r="L423">
        <f t="shared" si="122"/>
        <v>594</v>
      </c>
      <c r="M423">
        <v>240</v>
      </c>
      <c r="N423">
        <f t="shared" si="123"/>
        <v>354</v>
      </c>
    </row>
    <row r="424" spans="1:14" x14ac:dyDescent="0.2">
      <c r="A424" t="s">
        <v>743</v>
      </c>
      <c r="B424" s="1" t="s">
        <v>735</v>
      </c>
      <c r="C424" t="s">
        <v>14</v>
      </c>
      <c r="D424" t="s">
        <v>81</v>
      </c>
      <c r="E424">
        <v>14</v>
      </c>
      <c r="F424" t="s">
        <v>646</v>
      </c>
      <c r="G424">
        <v>2022</v>
      </c>
      <c r="H424" t="s">
        <v>549</v>
      </c>
      <c r="I424" t="s">
        <v>163</v>
      </c>
      <c r="J424">
        <v>849</v>
      </c>
      <c r="K424">
        <v>250</v>
      </c>
      <c r="L424">
        <f t="shared" si="122"/>
        <v>599</v>
      </c>
      <c r="M424">
        <v>240</v>
      </c>
      <c r="N424">
        <f t="shared" si="123"/>
        <v>359</v>
      </c>
    </row>
    <row r="425" spans="1:14" x14ac:dyDescent="0.2">
      <c r="A425" t="s">
        <v>744</v>
      </c>
      <c r="B425" s="1" t="s">
        <v>735</v>
      </c>
      <c r="C425" t="s">
        <v>14</v>
      </c>
      <c r="D425" t="s">
        <v>379</v>
      </c>
      <c r="E425">
        <v>14</v>
      </c>
      <c r="F425" t="s">
        <v>646</v>
      </c>
      <c r="G425">
        <v>2022</v>
      </c>
      <c r="H425" t="s">
        <v>745</v>
      </c>
      <c r="I425" t="s">
        <v>62</v>
      </c>
      <c r="J425">
        <v>849</v>
      </c>
      <c r="K425">
        <v>250</v>
      </c>
      <c r="L425">
        <f t="shared" si="122"/>
        <v>599</v>
      </c>
      <c r="M425">
        <v>240</v>
      </c>
      <c r="N425">
        <f t="shared" si="123"/>
        <v>359</v>
      </c>
    </row>
    <row r="426" spans="1:14" x14ac:dyDescent="0.2">
      <c r="A426" t="s">
        <v>746</v>
      </c>
      <c r="B426" s="1" t="s">
        <v>735</v>
      </c>
      <c r="C426" t="s">
        <v>14</v>
      </c>
      <c r="D426" t="s">
        <v>747</v>
      </c>
      <c r="E426">
        <v>14</v>
      </c>
      <c r="F426" t="s">
        <v>646</v>
      </c>
      <c r="G426">
        <v>2022</v>
      </c>
      <c r="H426" t="s">
        <v>748</v>
      </c>
      <c r="I426" t="s">
        <v>62</v>
      </c>
      <c r="J426">
        <v>799</v>
      </c>
      <c r="K426">
        <v>205</v>
      </c>
      <c r="L426">
        <f t="shared" si="122"/>
        <v>594</v>
      </c>
      <c r="M426">
        <v>240</v>
      </c>
      <c r="N426">
        <f t="shared" si="123"/>
        <v>354</v>
      </c>
    </row>
    <row r="427" spans="1:14" x14ac:dyDescent="0.2">
      <c r="A427" t="s">
        <v>749</v>
      </c>
      <c r="B427" s="1" t="s">
        <v>735</v>
      </c>
      <c r="C427" t="s">
        <v>14</v>
      </c>
      <c r="D427" t="s">
        <v>81</v>
      </c>
      <c r="E427">
        <v>14</v>
      </c>
      <c r="F427" t="s">
        <v>646</v>
      </c>
      <c r="G427">
        <v>2022</v>
      </c>
      <c r="H427" t="s">
        <v>750</v>
      </c>
      <c r="I427" t="s">
        <v>122</v>
      </c>
      <c r="J427">
        <v>849</v>
      </c>
      <c r="K427">
        <v>250</v>
      </c>
      <c r="L427">
        <f t="shared" si="122"/>
        <v>599</v>
      </c>
      <c r="M427">
        <v>240</v>
      </c>
      <c r="N427">
        <f t="shared" si="123"/>
        <v>359</v>
      </c>
    </row>
    <row r="428" spans="1:14" x14ac:dyDescent="0.2">
      <c r="A428" t="s">
        <v>736</v>
      </c>
      <c r="B428" s="1" t="s">
        <v>735</v>
      </c>
      <c r="C428" t="s">
        <v>14</v>
      </c>
      <c r="D428" t="s">
        <v>81</v>
      </c>
      <c r="E428">
        <v>14</v>
      </c>
      <c r="F428" t="s">
        <v>646</v>
      </c>
      <c r="G428">
        <v>2022</v>
      </c>
      <c r="H428" t="s">
        <v>157</v>
      </c>
      <c r="I428" t="s">
        <v>97</v>
      </c>
      <c r="J428">
        <v>849</v>
      </c>
      <c r="K428">
        <v>250</v>
      </c>
      <c r="L428">
        <f t="shared" si="122"/>
        <v>599</v>
      </c>
      <c r="M428">
        <v>240</v>
      </c>
      <c r="N428">
        <f t="shared" si="123"/>
        <v>359</v>
      </c>
    </row>
    <row r="429" spans="1:14" x14ac:dyDescent="0.2">
      <c r="A429" t="s">
        <v>737</v>
      </c>
      <c r="B429" s="1" t="s">
        <v>732</v>
      </c>
      <c r="C429" t="s">
        <v>106</v>
      </c>
      <c r="D429" t="s">
        <v>81</v>
      </c>
      <c r="E429">
        <v>13</v>
      </c>
      <c r="F429" t="s">
        <v>646</v>
      </c>
      <c r="G429">
        <v>2022</v>
      </c>
      <c r="H429" t="s">
        <v>738</v>
      </c>
      <c r="I429" t="s">
        <v>28</v>
      </c>
      <c r="J429">
        <v>-849</v>
      </c>
      <c r="K429">
        <v>345</v>
      </c>
      <c r="L429">
        <f>J429+K429</f>
        <v>-504</v>
      </c>
      <c r="M429">
        <v>240</v>
      </c>
      <c r="N429">
        <f>L429+M429</f>
        <v>-264</v>
      </c>
    </row>
    <row r="430" spans="1:14" x14ac:dyDescent="0.2">
      <c r="A430" t="s">
        <v>752</v>
      </c>
      <c r="B430" s="1" t="s">
        <v>751</v>
      </c>
      <c r="C430" t="s">
        <v>14</v>
      </c>
      <c r="D430" t="s">
        <v>425</v>
      </c>
      <c r="E430">
        <v>15</v>
      </c>
      <c r="F430" t="s">
        <v>646</v>
      </c>
      <c r="G430">
        <v>2022</v>
      </c>
      <c r="H430" t="s">
        <v>246</v>
      </c>
      <c r="I430" t="s">
        <v>58</v>
      </c>
      <c r="J430">
        <v>799</v>
      </c>
      <c r="K430">
        <v>205</v>
      </c>
      <c r="L430">
        <f t="shared" ref="L430:L433" si="124">J430-K430</f>
        <v>594</v>
      </c>
      <c r="M430">
        <v>240</v>
      </c>
      <c r="N430">
        <f t="shared" ref="N430:N433" si="125">L430-M430</f>
        <v>354</v>
      </c>
    </row>
    <row r="431" spans="1:14" x14ac:dyDescent="0.2">
      <c r="A431" t="s">
        <v>754</v>
      </c>
      <c r="B431" s="1" t="s">
        <v>753</v>
      </c>
      <c r="C431" t="s">
        <v>14</v>
      </c>
      <c r="D431" t="s">
        <v>528</v>
      </c>
      <c r="E431">
        <v>16</v>
      </c>
      <c r="F431" t="s">
        <v>646</v>
      </c>
      <c r="G431">
        <v>2022</v>
      </c>
      <c r="H431" t="s">
        <v>193</v>
      </c>
      <c r="I431" t="s">
        <v>62</v>
      </c>
      <c r="J431">
        <v>849</v>
      </c>
      <c r="K431">
        <v>250</v>
      </c>
      <c r="L431">
        <f t="shared" si="124"/>
        <v>599</v>
      </c>
      <c r="M431">
        <v>240</v>
      </c>
      <c r="N431">
        <f t="shared" si="125"/>
        <v>359</v>
      </c>
    </row>
    <row r="432" spans="1:14" x14ac:dyDescent="0.2">
      <c r="A432" t="s">
        <v>755</v>
      </c>
      <c r="B432" s="1" t="s">
        <v>751</v>
      </c>
      <c r="C432" t="s">
        <v>14</v>
      </c>
      <c r="D432" t="s">
        <v>586</v>
      </c>
      <c r="E432">
        <v>15</v>
      </c>
      <c r="F432" t="s">
        <v>646</v>
      </c>
      <c r="G432">
        <v>2022</v>
      </c>
      <c r="H432" t="s">
        <v>756</v>
      </c>
      <c r="I432" t="s">
        <v>23</v>
      </c>
      <c r="J432">
        <v>849</v>
      </c>
      <c r="K432">
        <v>250</v>
      </c>
      <c r="L432">
        <f t="shared" si="124"/>
        <v>599</v>
      </c>
      <c r="M432">
        <v>240</v>
      </c>
      <c r="N432">
        <f t="shared" si="125"/>
        <v>359</v>
      </c>
    </row>
    <row r="433" spans="1:14" x14ac:dyDescent="0.2">
      <c r="A433" t="s">
        <v>757</v>
      </c>
      <c r="B433" s="1" t="s">
        <v>751</v>
      </c>
      <c r="C433" t="s">
        <v>14</v>
      </c>
      <c r="D433" t="s">
        <v>758</v>
      </c>
      <c r="E433">
        <v>15</v>
      </c>
      <c r="F433" t="s">
        <v>646</v>
      </c>
      <c r="G433">
        <v>2022</v>
      </c>
      <c r="H433" t="s">
        <v>157</v>
      </c>
      <c r="I433" t="s">
        <v>97</v>
      </c>
      <c r="J433">
        <v>799</v>
      </c>
      <c r="K433">
        <v>205</v>
      </c>
      <c r="L433">
        <f t="shared" si="124"/>
        <v>594</v>
      </c>
      <c r="M433">
        <v>240</v>
      </c>
      <c r="N433">
        <f t="shared" si="125"/>
        <v>354</v>
      </c>
    </row>
    <row r="434" spans="1:14" x14ac:dyDescent="0.2">
      <c r="A434" t="s">
        <v>674</v>
      </c>
      <c r="B434" s="1" t="s">
        <v>673</v>
      </c>
      <c r="C434" t="s">
        <v>106</v>
      </c>
      <c r="D434" t="s">
        <v>81</v>
      </c>
      <c r="E434">
        <v>6</v>
      </c>
      <c r="F434" t="s">
        <v>646</v>
      </c>
      <c r="G434">
        <v>2022</v>
      </c>
      <c r="H434" t="s">
        <v>157</v>
      </c>
      <c r="I434" t="s">
        <v>97</v>
      </c>
      <c r="J434">
        <v>-849</v>
      </c>
      <c r="K434">
        <v>345</v>
      </c>
      <c r="L434">
        <f t="shared" ref="L434:L435" si="126">J434+K434</f>
        <v>-504</v>
      </c>
      <c r="M434">
        <v>240</v>
      </c>
      <c r="N434">
        <f t="shared" ref="N434:N435" si="127">L434+M434</f>
        <v>-264</v>
      </c>
    </row>
    <row r="435" spans="1:14" x14ac:dyDescent="0.2">
      <c r="A435" t="s">
        <v>712</v>
      </c>
      <c r="B435" s="1" t="s">
        <v>710</v>
      </c>
      <c r="C435" t="s">
        <v>106</v>
      </c>
      <c r="D435" t="s">
        <v>477</v>
      </c>
      <c r="E435">
        <v>9</v>
      </c>
      <c r="F435" t="s">
        <v>646</v>
      </c>
      <c r="G435">
        <v>2022</v>
      </c>
      <c r="H435" t="s">
        <v>260</v>
      </c>
      <c r="I435" t="s">
        <v>28</v>
      </c>
      <c r="J435">
        <v>-999</v>
      </c>
      <c r="K435">
        <v>395</v>
      </c>
      <c r="L435">
        <f t="shared" si="126"/>
        <v>-604</v>
      </c>
      <c r="M435">
        <v>240</v>
      </c>
      <c r="N435">
        <f t="shared" si="127"/>
        <v>-364</v>
      </c>
    </row>
    <row r="436" spans="1:14" x14ac:dyDescent="0.2">
      <c r="A436" t="s">
        <v>760</v>
      </c>
      <c r="B436" s="1" t="s">
        <v>759</v>
      </c>
      <c r="C436" t="s">
        <v>14</v>
      </c>
      <c r="D436" t="s">
        <v>166</v>
      </c>
      <c r="E436">
        <v>17</v>
      </c>
      <c r="F436" t="s">
        <v>646</v>
      </c>
      <c r="G436">
        <v>2022</v>
      </c>
      <c r="H436" t="s">
        <v>761</v>
      </c>
      <c r="I436" t="s">
        <v>85</v>
      </c>
      <c r="J436">
        <v>849</v>
      </c>
      <c r="K436">
        <v>250</v>
      </c>
      <c r="L436">
        <f t="shared" ref="L436:L438" si="128">J436-K436</f>
        <v>599</v>
      </c>
      <c r="M436">
        <v>240</v>
      </c>
      <c r="N436">
        <f t="shared" ref="N436:N438" si="129">L436-M436</f>
        <v>359</v>
      </c>
    </row>
    <row r="437" spans="1:14" x14ac:dyDescent="0.2">
      <c r="A437" t="s">
        <v>762</v>
      </c>
      <c r="B437" s="1" t="s">
        <v>753</v>
      </c>
      <c r="C437" t="s">
        <v>14</v>
      </c>
      <c r="D437" t="s">
        <v>586</v>
      </c>
      <c r="E437">
        <v>16</v>
      </c>
      <c r="F437" t="s">
        <v>646</v>
      </c>
      <c r="G437">
        <v>2022</v>
      </c>
      <c r="H437" t="s">
        <v>246</v>
      </c>
      <c r="I437" t="s">
        <v>58</v>
      </c>
      <c r="J437">
        <v>849</v>
      </c>
      <c r="K437">
        <v>250</v>
      </c>
      <c r="L437">
        <f t="shared" si="128"/>
        <v>599</v>
      </c>
      <c r="M437">
        <v>240</v>
      </c>
      <c r="N437">
        <f t="shared" si="129"/>
        <v>359</v>
      </c>
    </row>
    <row r="438" spans="1:14" x14ac:dyDescent="0.2">
      <c r="A438" t="s">
        <v>763</v>
      </c>
      <c r="B438" s="1" t="s">
        <v>753</v>
      </c>
      <c r="C438" t="s">
        <v>14</v>
      </c>
      <c r="D438" t="s">
        <v>133</v>
      </c>
      <c r="E438">
        <v>16</v>
      </c>
      <c r="F438" t="s">
        <v>646</v>
      </c>
      <c r="G438">
        <v>2022</v>
      </c>
      <c r="H438" t="s">
        <v>517</v>
      </c>
      <c r="I438" t="s">
        <v>122</v>
      </c>
      <c r="J438">
        <v>849</v>
      </c>
      <c r="K438">
        <v>250</v>
      </c>
      <c r="L438">
        <f t="shared" si="128"/>
        <v>599</v>
      </c>
      <c r="M438">
        <v>240</v>
      </c>
      <c r="N438">
        <f t="shared" si="129"/>
        <v>359</v>
      </c>
    </row>
    <row r="439" spans="1:14" x14ac:dyDescent="0.2">
      <c r="A439" t="s">
        <v>660</v>
      </c>
      <c r="B439" s="1" t="s">
        <v>654</v>
      </c>
      <c r="C439" t="s">
        <v>106</v>
      </c>
      <c r="D439" t="s">
        <v>384</v>
      </c>
      <c r="E439">
        <v>3</v>
      </c>
      <c r="F439" t="s">
        <v>646</v>
      </c>
      <c r="G439">
        <v>2022</v>
      </c>
      <c r="H439" t="s">
        <v>661</v>
      </c>
      <c r="I439" t="s">
        <v>85</v>
      </c>
      <c r="J439">
        <v>-799</v>
      </c>
      <c r="K439">
        <v>320</v>
      </c>
      <c r="L439">
        <f t="shared" ref="L439:L440" si="130">J439+K439</f>
        <v>-479</v>
      </c>
      <c r="M439">
        <v>240</v>
      </c>
      <c r="N439">
        <f t="shared" ref="N439:N440" si="131">L439+M439</f>
        <v>-239</v>
      </c>
    </row>
    <row r="440" spans="1:14" x14ac:dyDescent="0.2">
      <c r="A440" t="s">
        <v>686</v>
      </c>
      <c r="B440" s="1" t="s">
        <v>673</v>
      </c>
      <c r="C440" t="s">
        <v>106</v>
      </c>
      <c r="D440" t="s">
        <v>380</v>
      </c>
      <c r="E440">
        <v>6</v>
      </c>
      <c r="F440" t="s">
        <v>646</v>
      </c>
      <c r="G440">
        <v>2022</v>
      </c>
      <c r="H440" t="s">
        <v>687</v>
      </c>
      <c r="I440" t="s">
        <v>85</v>
      </c>
      <c r="J440">
        <v>-849</v>
      </c>
      <c r="K440">
        <v>345</v>
      </c>
      <c r="L440">
        <f t="shared" si="130"/>
        <v>-504</v>
      </c>
      <c r="M440">
        <v>240</v>
      </c>
      <c r="N440">
        <f t="shared" si="131"/>
        <v>-264</v>
      </c>
    </row>
    <row r="441" spans="1:14" x14ac:dyDescent="0.2">
      <c r="A441" t="s">
        <v>765</v>
      </c>
      <c r="B441" s="1" t="s">
        <v>764</v>
      </c>
      <c r="C441" t="s">
        <v>43</v>
      </c>
      <c r="D441" t="s">
        <v>766</v>
      </c>
      <c r="E441">
        <v>18</v>
      </c>
      <c r="F441" t="s">
        <v>646</v>
      </c>
      <c r="G441">
        <v>2022</v>
      </c>
      <c r="H441" t="s">
        <v>549</v>
      </c>
      <c r="I441" t="s">
        <v>163</v>
      </c>
      <c r="J441">
        <v>0</v>
      </c>
      <c r="K441">
        <v>0</v>
      </c>
      <c r="L441">
        <v>0</v>
      </c>
      <c r="M441">
        <v>0</v>
      </c>
      <c r="N441">
        <v>0</v>
      </c>
    </row>
    <row r="442" spans="1:14" x14ac:dyDescent="0.2">
      <c r="A442" t="s">
        <v>765</v>
      </c>
      <c r="B442" s="1" t="s">
        <v>764</v>
      </c>
      <c r="C442" t="s">
        <v>14</v>
      </c>
      <c r="D442" t="s">
        <v>766</v>
      </c>
      <c r="E442">
        <v>18</v>
      </c>
      <c r="F442" t="s">
        <v>646</v>
      </c>
      <c r="G442">
        <v>2022</v>
      </c>
      <c r="H442" t="s">
        <v>549</v>
      </c>
      <c r="I442" t="s">
        <v>163</v>
      </c>
      <c r="J442">
        <v>799</v>
      </c>
      <c r="K442">
        <v>205</v>
      </c>
      <c r="L442">
        <f t="shared" ref="L442:L448" si="132">J442-K442</f>
        <v>594</v>
      </c>
      <c r="M442">
        <v>240</v>
      </c>
      <c r="N442">
        <f t="shared" ref="N442:N448" si="133">L442-M442</f>
        <v>354</v>
      </c>
    </row>
    <row r="443" spans="1:14" x14ac:dyDescent="0.2">
      <c r="A443" t="s">
        <v>767</v>
      </c>
      <c r="B443" s="1" t="s">
        <v>759</v>
      </c>
      <c r="C443" t="s">
        <v>14</v>
      </c>
      <c r="D443" t="s">
        <v>768</v>
      </c>
      <c r="E443">
        <v>17</v>
      </c>
      <c r="F443" t="s">
        <v>646</v>
      </c>
      <c r="G443">
        <v>2022</v>
      </c>
      <c r="H443" t="s">
        <v>769</v>
      </c>
      <c r="I443" t="s">
        <v>19</v>
      </c>
      <c r="J443">
        <v>849</v>
      </c>
      <c r="K443">
        <v>250</v>
      </c>
      <c r="L443">
        <f t="shared" si="132"/>
        <v>599</v>
      </c>
      <c r="M443">
        <v>240</v>
      </c>
      <c r="N443">
        <f t="shared" si="133"/>
        <v>359</v>
      </c>
    </row>
    <row r="444" spans="1:14" x14ac:dyDescent="0.2">
      <c r="A444" t="s">
        <v>771</v>
      </c>
      <c r="B444" s="1" t="s">
        <v>770</v>
      </c>
      <c r="C444" t="s">
        <v>14</v>
      </c>
      <c r="D444" t="s">
        <v>528</v>
      </c>
      <c r="E444">
        <v>19</v>
      </c>
      <c r="F444" t="s">
        <v>646</v>
      </c>
      <c r="G444">
        <v>2022</v>
      </c>
      <c r="H444" t="s">
        <v>398</v>
      </c>
      <c r="I444" t="s">
        <v>399</v>
      </c>
      <c r="J444">
        <v>849</v>
      </c>
      <c r="K444">
        <v>250</v>
      </c>
      <c r="L444">
        <f t="shared" si="132"/>
        <v>599</v>
      </c>
      <c r="M444">
        <v>240</v>
      </c>
      <c r="N444">
        <f t="shared" si="133"/>
        <v>359</v>
      </c>
    </row>
    <row r="445" spans="1:14" x14ac:dyDescent="0.2">
      <c r="A445" t="s">
        <v>772</v>
      </c>
      <c r="B445" s="1" t="s">
        <v>770</v>
      </c>
      <c r="C445" t="s">
        <v>14</v>
      </c>
      <c r="D445" t="s">
        <v>387</v>
      </c>
      <c r="E445">
        <v>19</v>
      </c>
      <c r="F445" t="s">
        <v>646</v>
      </c>
      <c r="G445">
        <v>2022</v>
      </c>
      <c r="H445" t="s">
        <v>246</v>
      </c>
      <c r="I445" t="s">
        <v>58</v>
      </c>
      <c r="J445">
        <v>849</v>
      </c>
      <c r="K445">
        <v>250</v>
      </c>
      <c r="L445">
        <f t="shared" si="132"/>
        <v>599</v>
      </c>
      <c r="M445">
        <v>240</v>
      </c>
      <c r="N445">
        <f t="shared" si="133"/>
        <v>359</v>
      </c>
    </row>
    <row r="446" spans="1:14" x14ac:dyDescent="0.2">
      <c r="A446" t="s">
        <v>774</v>
      </c>
      <c r="B446" s="1" t="s">
        <v>773</v>
      </c>
      <c r="C446" t="s">
        <v>14</v>
      </c>
      <c r="D446" t="s">
        <v>308</v>
      </c>
      <c r="E446">
        <v>20</v>
      </c>
      <c r="F446" t="s">
        <v>646</v>
      </c>
      <c r="G446">
        <v>2022</v>
      </c>
      <c r="H446" t="s">
        <v>775</v>
      </c>
      <c r="I446" t="s">
        <v>502</v>
      </c>
      <c r="J446">
        <v>999</v>
      </c>
      <c r="K446">
        <v>325</v>
      </c>
      <c r="L446">
        <f t="shared" si="132"/>
        <v>674</v>
      </c>
      <c r="M446">
        <v>240</v>
      </c>
      <c r="N446">
        <f t="shared" si="133"/>
        <v>434</v>
      </c>
    </row>
    <row r="447" spans="1:14" x14ac:dyDescent="0.2">
      <c r="A447" t="s">
        <v>776</v>
      </c>
      <c r="B447" s="1" t="s">
        <v>764</v>
      </c>
      <c r="C447" t="s">
        <v>14</v>
      </c>
      <c r="D447" t="s">
        <v>379</v>
      </c>
      <c r="E447">
        <v>18</v>
      </c>
      <c r="F447" t="s">
        <v>646</v>
      </c>
      <c r="G447">
        <v>2022</v>
      </c>
      <c r="H447" t="s">
        <v>777</v>
      </c>
      <c r="I447" t="s">
        <v>58</v>
      </c>
      <c r="J447">
        <v>849</v>
      </c>
      <c r="K447">
        <v>250</v>
      </c>
      <c r="L447">
        <f t="shared" si="132"/>
        <v>599</v>
      </c>
      <c r="M447">
        <v>240</v>
      </c>
      <c r="N447">
        <f t="shared" si="133"/>
        <v>359</v>
      </c>
    </row>
    <row r="448" spans="1:14" x14ac:dyDescent="0.2">
      <c r="A448" t="s">
        <v>778</v>
      </c>
      <c r="B448" s="1" t="s">
        <v>770</v>
      </c>
      <c r="C448" t="s">
        <v>14</v>
      </c>
      <c r="D448" t="s">
        <v>81</v>
      </c>
      <c r="E448">
        <v>19</v>
      </c>
      <c r="F448" t="s">
        <v>646</v>
      </c>
      <c r="G448">
        <v>2022</v>
      </c>
      <c r="H448" t="s">
        <v>779</v>
      </c>
      <c r="I448" t="s">
        <v>58</v>
      </c>
      <c r="J448">
        <v>849</v>
      </c>
      <c r="K448">
        <v>250</v>
      </c>
      <c r="L448">
        <f t="shared" si="132"/>
        <v>599</v>
      </c>
      <c r="M448">
        <v>240</v>
      </c>
      <c r="N448">
        <f t="shared" si="133"/>
        <v>359</v>
      </c>
    </row>
    <row r="449" spans="1:14" x14ac:dyDescent="0.2">
      <c r="A449" t="s">
        <v>741</v>
      </c>
      <c r="B449" s="1" t="s">
        <v>735</v>
      </c>
      <c r="C449" t="s">
        <v>106</v>
      </c>
      <c r="D449" t="s">
        <v>742</v>
      </c>
      <c r="E449">
        <v>14</v>
      </c>
      <c r="F449" t="s">
        <v>646</v>
      </c>
      <c r="G449">
        <v>2022</v>
      </c>
      <c r="H449" t="s">
        <v>604</v>
      </c>
      <c r="I449" t="s">
        <v>85</v>
      </c>
      <c r="J449">
        <v>-799</v>
      </c>
      <c r="K449">
        <v>320</v>
      </c>
      <c r="L449">
        <f t="shared" ref="L449:L450" si="134">J449+K449</f>
        <v>-479</v>
      </c>
      <c r="M449">
        <v>240</v>
      </c>
      <c r="N449">
        <f t="shared" ref="N449:N450" si="135">L449+M449</f>
        <v>-239</v>
      </c>
    </row>
    <row r="450" spans="1:14" x14ac:dyDescent="0.2">
      <c r="A450" t="s">
        <v>755</v>
      </c>
      <c r="B450" s="1" t="s">
        <v>751</v>
      </c>
      <c r="C450" t="s">
        <v>106</v>
      </c>
      <c r="D450" t="s">
        <v>586</v>
      </c>
      <c r="E450">
        <v>15</v>
      </c>
      <c r="F450" t="s">
        <v>646</v>
      </c>
      <c r="G450">
        <v>2022</v>
      </c>
      <c r="H450" t="s">
        <v>756</v>
      </c>
      <c r="I450" t="s">
        <v>23</v>
      </c>
      <c r="J450">
        <v>-849</v>
      </c>
      <c r="K450">
        <v>345</v>
      </c>
      <c r="L450">
        <f t="shared" si="134"/>
        <v>-504</v>
      </c>
      <c r="M450">
        <v>240</v>
      </c>
      <c r="N450">
        <f t="shared" si="135"/>
        <v>-264</v>
      </c>
    </row>
    <row r="451" spans="1:14" x14ac:dyDescent="0.2">
      <c r="A451" t="s">
        <v>781</v>
      </c>
      <c r="B451" s="1" t="s">
        <v>780</v>
      </c>
      <c r="C451" t="s">
        <v>14</v>
      </c>
      <c r="D451" t="s">
        <v>448</v>
      </c>
      <c r="E451">
        <v>21</v>
      </c>
      <c r="F451" t="s">
        <v>646</v>
      </c>
      <c r="G451">
        <v>2022</v>
      </c>
      <c r="H451" t="s">
        <v>246</v>
      </c>
      <c r="I451" t="s">
        <v>58</v>
      </c>
      <c r="J451">
        <v>999</v>
      </c>
      <c r="K451">
        <v>325</v>
      </c>
      <c r="L451">
        <f t="shared" ref="L451:L453" si="136">J451-K451</f>
        <v>674</v>
      </c>
      <c r="M451">
        <v>240</v>
      </c>
      <c r="N451">
        <f t="shared" ref="N451:N453" si="137">L451-M451</f>
        <v>434</v>
      </c>
    </row>
    <row r="452" spans="1:14" x14ac:dyDescent="0.2">
      <c r="A452" t="s">
        <v>782</v>
      </c>
      <c r="B452" s="1" t="s">
        <v>773</v>
      </c>
      <c r="C452" t="s">
        <v>14</v>
      </c>
      <c r="D452" t="s">
        <v>683</v>
      </c>
      <c r="E452">
        <v>20</v>
      </c>
      <c r="F452" t="s">
        <v>646</v>
      </c>
      <c r="G452">
        <v>2022</v>
      </c>
      <c r="H452" t="s">
        <v>783</v>
      </c>
      <c r="I452" t="s">
        <v>62</v>
      </c>
      <c r="J452">
        <v>799</v>
      </c>
      <c r="K452">
        <v>205</v>
      </c>
      <c r="L452">
        <f t="shared" si="136"/>
        <v>594</v>
      </c>
      <c r="M452">
        <v>240</v>
      </c>
      <c r="N452">
        <f t="shared" si="137"/>
        <v>354</v>
      </c>
    </row>
    <row r="453" spans="1:14" x14ac:dyDescent="0.2">
      <c r="A453" t="s">
        <v>784</v>
      </c>
      <c r="B453" s="1" t="s">
        <v>773</v>
      </c>
      <c r="C453" t="s">
        <v>14</v>
      </c>
      <c r="D453" t="s">
        <v>169</v>
      </c>
      <c r="E453">
        <v>20</v>
      </c>
      <c r="F453" t="s">
        <v>646</v>
      </c>
      <c r="G453">
        <v>2022</v>
      </c>
      <c r="H453" t="s">
        <v>198</v>
      </c>
      <c r="I453" t="s">
        <v>32</v>
      </c>
      <c r="J453">
        <v>849</v>
      </c>
      <c r="K453">
        <v>250</v>
      </c>
      <c r="L453">
        <f t="shared" si="136"/>
        <v>599</v>
      </c>
      <c r="M453">
        <v>240</v>
      </c>
      <c r="N453">
        <f t="shared" si="137"/>
        <v>359</v>
      </c>
    </row>
    <row r="454" spans="1:14" x14ac:dyDescent="0.2">
      <c r="A454" t="s">
        <v>746</v>
      </c>
      <c r="B454" s="1" t="s">
        <v>735</v>
      </c>
      <c r="C454" t="s">
        <v>106</v>
      </c>
      <c r="D454" t="s">
        <v>747</v>
      </c>
      <c r="E454">
        <v>14</v>
      </c>
      <c r="F454" t="s">
        <v>646</v>
      </c>
      <c r="G454">
        <v>2022</v>
      </c>
      <c r="H454" t="s">
        <v>748</v>
      </c>
      <c r="I454" t="s">
        <v>62</v>
      </c>
      <c r="J454">
        <v>-799</v>
      </c>
      <c r="K454">
        <v>320</v>
      </c>
      <c r="L454">
        <f>J454+K454</f>
        <v>-479</v>
      </c>
      <c r="M454">
        <v>240</v>
      </c>
      <c r="N454">
        <f>L454+M454</f>
        <v>-239</v>
      </c>
    </row>
    <row r="455" spans="1:14" x14ac:dyDescent="0.2">
      <c r="A455" t="s">
        <v>785</v>
      </c>
      <c r="B455" s="1" t="s">
        <v>780</v>
      </c>
      <c r="C455" t="s">
        <v>14</v>
      </c>
      <c r="D455" t="s">
        <v>786</v>
      </c>
      <c r="E455">
        <v>21</v>
      </c>
      <c r="F455" t="s">
        <v>646</v>
      </c>
      <c r="G455">
        <v>2022</v>
      </c>
      <c r="H455" t="s">
        <v>157</v>
      </c>
      <c r="I455" t="s">
        <v>97</v>
      </c>
      <c r="J455">
        <v>799</v>
      </c>
      <c r="K455">
        <v>205</v>
      </c>
      <c r="L455">
        <f>J455-K455</f>
        <v>594</v>
      </c>
      <c r="M455">
        <v>240</v>
      </c>
      <c r="N455">
        <f>L455-M455</f>
        <v>354</v>
      </c>
    </row>
    <row r="456" spans="1:14" x14ac:dyDescent="0.2">
      <c r="A456" t="s">
        <v>754</v>
      </c>
      <c r="B456" s="1" t="s">
        <v>753</v>
      </c>
      <c r="C456" t="s">
        <v>106</v>
      </c>
      <c r="D456" t="s">
        <v>528</v>
      </c>
      <c r="E456">
        <v>16</v>
      </c>
      <c r="F456" t="s">
        <v>646</v>
      </c>
      <c r="G456">
        <v>2022</v>
      </c>
      <c r="H456" t="s">
        <v>193</v>
      </c>
      <c r="I456" t="s">
        <v>62</v>
      </c>
      <c r="J456">
        <v>-849</v>
      </c>
      <c r="K456">
        <v>345</v>
      </c>
      <c r="L456">
        <f>J456+K456</f>
        <v>-504</v>
      </c>
      <c r="M456">
        <v>240</v>
      </c>
      <c r="N456">
        <f>L456+M456</f>
        <v>-264</v>
      </c>
    </row>
    <row r="457" spans="1:14" x14ac:dyDescent="0.2">
      <c r="A457" t="s">
        <v>788</v>
      </c>
      <c r="B457" s="1" t="s">
        <v>787</v>
      </c>
      <c r="C457" t="s">
        <v>14</v>
      </c>
      <c r="D457" t="s">
        <v>76</v>
      </c>
      <c r="E457">
        <v>22</v>
      </c>
      <c r="F457" t="s">
        <v>646</v>
      </c>
      <c r="G457">
        <v>2022</v>
      </c>
      <c r="H457" t="s">
        <v>789</v>
      </c>
      <c r="I457" t="s">
        <v>171</v>
      </c>
      <c r="J457">
        <v>799</v>
      </c>
      <c r="K457">
        <v>205</v>
      </c>
      <c r="L457">
        <f t="shared" ref="L457:L463" si="138">J457-K457</f>
        <v>594</v>
      </c>
      <c r="M457">
        <v>240</v>
      </c>
      <c r="N457">
        <f t="shared" ref="N457:N463" si="139">L457-M457</f>
        <v>354</v>
      </c>
    </row>
    <row r="458" spans="1:14" x14ac:dyDescent="0.2">
      <c r="A458" t="s">
        <v>790</v>
      </c>
      <c r="B458" s="1" t="s">
        <v>787</v>
      </c>
      <c r="C458" t="s">
        <v>14</v>
      </c>
      <c r="D458" t="s">
        <v>642</v>
      </c>
      <c r="E458">
        <v>22</v>
      </c>
      <c r="F458" t="s">
        <v>646</v>
      </c>
      <c r="G458">
        <v>2022</v>
      </c>
      <c r="H458" t="s">
        <v>235</v>
      </c>
      <c r="I458" t="s">
        <v>62</v>
      </c>
      <c r="J458">
        <v>799</v>
      </c>
      <c r="K458">
        <v>205</v>
      </c>
      <c r="L458">
        <f t="shared" si="138"/>
        <v>594</v>
      </c>
      <c r="M458">
        <v>240</v>
      </c>
      <c r="N458">
        <f t="shared" si="139"/>
        <v>354</v>
      </c>
    </row>
    <row r="459" spans="1:14" x14ac:dyDescent="0.2">
      <c r="A459" t="s">
        <v>791</v>
      </c>
      <c r="B459" s="1" t="s">
        <v>787</v>
      </c>
      <c r="C459" t="s">
        <v>14</v>
      </c>
      <c r="D459" t="s">
        <v>792</v>
      </c>
      <c r="E459">
        <v>22</v>
      </c>
      <c r="F459" t="s">
        <v>646</v>
      </c>
      <c r="G459">
        <v>2022</v>
      </c>
      <c r="H459" t="s">
        <v>793</v>
      </c>
      <c r="I459" t="s">
        <v>62</v>
      </c>
      <c r="J459">
        <v>849</v>
      </c>
      <c r="K459">
        <v>250</v>
      </c>
      <c r="L459">
        <f t="shared" si="138"/>
        <v>599</v>
      </c>
      <c r="M459">
        <v>240</v>
      </c>
      <c r="N459">
        <f t="shared" si="139"/>
        <v>359</v>
      </c>
    </row>
    <row r="460" spans="1:14" x14ac:dyDescent="0.2">
      <c r="A460" t="s">
        <v>795</v>
      </c>
      <c r="B460" s="1" t="s">
        <v>794</v>
      </c>
      <c r="C460" t="s">
        <v>14</v>
      </c>
      <c r="D460" t="s">
        <v>81</v>
      </c>
      <c r="E460">
        <v>23</v>
      </c>
      <c r="F460" t="s">
        <v>646</v>
      </c>
      <c r="G460">
        <v>2022</v>
      </c>
      <c r="H460" t="s">
        <v>796</v>
      </c>
      <c r="I460" t="s">
        <v>58</v>
      </c>
      <c r="J460">
        <v>849</v>
      </c>
      <c r="K460">
        <v>250</v>
      </c>
      <c r="L460">
        <f t="shared" si="138"/>
        <v>599</v>
      </c>
      <c r="M460">
        <v>240</v>
      </c>
      <c r="N460">
        <f t="shared" si="139"/>
        <v>359</v>
      </c>
    </row>
    <row r="461" spans="1:14" x14ac:dyDescent="0.2">
      <c r="A461" t="s">
        <v>797</v>
      </c>
      <c r="B461" s="1" t="s">
        <v>794</v>
      </c>
      <c r="C461" t="s">
        <v>14</v>
      </c>
      <c r="D461" t="s">
        <v>798</v>
      </c>
      <c r="E461">
        <v>23</v>
      </c>
      <c r="F461" t="s">
        <v>646</v>
      </c>
      <c r="G461">
        <v>2022</v>
      </c>
      <c r="H461" t="s">
        <v>799</v>
      </c>
      <c r="I461" t="s">
        <v>122</v>
      </c>
      <c r="J461">
        <v>849</v>
      </c>
      <c r="K461">
        <v>250</v>
      </c>
      <c r="L461">
        <f t="shared" si="138"/>
        <v>599</v>
      </c>
      <c r="M461">
        <v>240</v>
      </c>
      <c r="N461">
        <f t="shared" si="139"/>
        <v>359</v>
      </c>
    </row>
    <row r="462" spans="1:14" x14ac:dyDescent="0.2">
      <c r="A462" t="s">
        <v>800</v>
      </c>
      <c r="B462" s="1" t="s">
        <v>794</v>
      </c>
      <c r="C462" t="s">
        <v>14</v>
      </c>
      <c r="D462" t="s">
        <v>801</v>
      </c>
      <c r="E462">
        <v>23</v>
      </c>
      <c r="F462" t="s">
        <v>646</v>
      </c>
      <c r="G462">
        <v>2022</v>
      </c>
      <c r="H462" t="s">
        <v>802</v>
      </c>
      <c r="I462" t="s">
        <v>23</v>
      </c>
      <c r="J462">
        <v>849</v>
      </c>
      <c r="K462">
        <v>250</v>
      </c>
      <c r="L462">
        <f t="shared" si="138"/>
        <v>599</v>
      </c>
      <c r="M462">
        <v>240</v>
      </c>
      <c r="N462">
        <f t="shared" si="139"/>
        <v>359</v>
      </c>
    </row>
    <row r="463" spans="1:14" x14ac:dyDescent="0.2">
      <c r="A463" t="s">
        <v>804</v>
      </c>
      <c r="B463" s="1" t="s">
        <v>803</v>
      </c>
      <c r="C463" t="s">
        <v>14</v>
      </c>
      <c r="D463" t="s">
        <v>504</v>
      </c>
      <c r="E463">
        <v>24</v>
      </c>
      <c r="F463" t="s">
        <v>646</v>
      </c>
      <c r="G463">
        <v>2022</v>
      </c>
      <c r="H463" t="s">
        <v>235</v>
      </c>
      <c r="I463" t="s">
        <v>62</v>
      </c>
      <c r="J463">
        <v>999</v>
      </c>
      <c r="K463">
        <v>325</v>
      </c>
      <c r="L463">
        <f t="shared" si="138"/>
        <v>674</v>
      </c>
      <c r="M463">
        <v>240</v>
      </c>
      <c r="N463">
        <f t="shared" si="139"/>
        <v>434</v>
      </c>
    </row>
    <row r="464" spans="1:14" x14ac:dyDescent="0.2">
      <c r="A464" t="s">
        <v>730</v>
      </c>
      <c r="B464" s="1" t="s">
        <v>721</v>
      </c>
      <c r="C464" t="s">
        <v>106</v>
      </c>
      <c r="D464" t="s">
        <v>81</v>
      </c>
      <c r="E464">
        <v>12</v>
      </c>
      <c r="F464" t="s">
        <v>646</v>
      </c>
      <c r="G464">
        <v>2022</v>
      </c>
      <c r="H464" t="s">
        <v>246</v>
      </c>
      <c r="I464" t="s">
        <v>58</v>
      </c>
      <c r="J464">
        <v>-849</v>
      </c>
      <c r="K464">
        <v>345</v>
      </c>
      <c r="L464">
        <f t="shared" ref="L464:L465" si="140">J464+K464</f>
        <v>-504</v>
      </c>
      <c r="M464">
        <v>240</v>
      </c>
      <c r="N464">
        <f t="shared" ref="N464:N465" si="141">L464+M464</f>
        <v>-264</v>
      </c>
    </row>
    <row r="465" spans="1:14" x14ac:dyDescent="0.2">
      <c r="A465" t="s">
        <v>784</v>
      </c>
      <c r="B465" s="1" t="s">
        <v>773</v>
      </c>
      <c r="C465" t="s">
        <v>106</v>
      </c>
      <c r="D465" t="s">
        <v>169</v>
      </c>
      <c r="E465">
        <v>20</v>
      </c>
      <c r="F465" t="s">
        <v>646</v>
      </c>
      <c r="G465">
        <v>2022</v>
      </c>
      <c r="H465" t="s">
        <v>198</v>
      </c>
      <c r="I465" t="s">
        <v>32</v>
      </c>
      <c r="J465">
        <v>-849</v>
      </c>
      <c r="K465">
        <v>345</v>
      </c>
      <c r="L465">
        <f t="shared" si="140"/>
        <v>-504</v>
      </c>
      <c r="M465">
        <v>240</v>
      </c>
      <c r="N465">
        <f t="shared" si="141"/>
        <v>-264</v>
      </c>
    </row>
    <row r="466" spans="1:14" x14ac:dyDescent="0.2">
      <c r="A466" t="s">
        <v>806</v>
      </c>
      <c r="B466" s="1" t="s">
        <v>805</v>
      </c>
      <c r="C466" t="s">
        <v>14</v>
      </c>
      <c r="D466" t="s">
        <v>308</v>
      </c>
      <c r="E466">
        <v>26</v>
      </c>
      <c r="F466" t="s">
        <v>646</v>
      </c>
      <c r="G466">
        <v>2022</v>
      </c>
      <c r="H466" t="s">
        <v>807</v>
      </c>
      <c r="I466" t="s">
        <v>28</v>
      </c>
      <c r="J466">
        <v>999</v>
      </c>
      <c r="K466">
        <v>325</v>
      </c>
      <c r="L466">
        <f t="shared" ref="L466:L477" si="142">J466-K466</f>
        <v>674</v>
      </c>
      <c r="M466">
        <v>240</v>
      </c>
      <c r="N466">
        <f t="shared" ref="N466:N477" si="143">L466-M466</f>
        <v>434</v>
      </c>
    </row>
    <row r="467" spans="1:14" x14ac:dyDescent="0.2">
      <c r="A467" t="s">
        <v>808</v>
      </c>
      <c r="B467" s="1" t="s">
        <v>805</v>
      </c>
      <c r="C467" t="s">
        <v>14</v>
      </c>
      <c r="D467" t="s">
        <v>809</v>
      </c>
      <c r="E467">
        <v>26</v>
      </c>
      <c r="F467" t="s">
        <v>646</v>
      </c>
      <c r="G467">
        <v>2022</v>
      </c>
      <c r="H467" t="s">
        <v>49</v>
      </c>
      <c r="I467" t="s">
        <v>32</v>
      </c>
      <c r="J467">
        <v>999</v>
      </c>
      <c r="K467">
        <v>325</v>
      </c>
      <c r="L467">
        <f t="shared" si="142"/>
        <v>674</v>
      </c>
      <c r="M467">
        <v>240</v>
      </c>
      <c r="N467">
        <f t="shared" si="143"/>
        <v>434</v>
      </c>
    </row>
    <row r="468" spans="1:14" x14ac:dyDescent="0.2">
      <c r="A468" t="s">
        <v>811</v>
      </c>
      <c r="B468" s="1" t="s">
        <v>810</v>
      </c>
      <c r="C468" t="s">
        <v>14</v>
      </c>
      <c r="D468" t="s">
        <v>812</v>
      </c>
      <c r="E468">
        <v>25</v>
      </c>
      <c r="F468" t="s">
        <v>646</v>
      </c>
      <c r="G468">
        <v>2022</v>
      </c>
      <c r="H468" t="s">
        <v>813</v>
      </c>
      <c r="I468" t="s">
        <v>148</v>
      </c>
      <c r="J468">
        <v>999</v>
      </c>
      <c r="K468">
        <v>325</v>
      </c>
      <c r="L468">
        <f t="shared" si="142"/>
        <v>674</v>
      </c>
      <c r="M468">
        <v>240</v>
      </c>
      <c r="N468">
        <f t="shared" si="143"/>
        <v>434</v>
      </c>
    </row>
    <row r="469" spans="1:14" x14ac:dyDescent="0.2">
      <c r="A469" t="s">
        <v>815</v>
      </c>
      <c r="B469" s="1" t="s">
        <v>814</v>
      </c>
      <c r="C469" t="s">
        <v>14</v>
      </c>
      <c r="D469" t="s">
        <v>81</v>
      </c>
      <c r="E469">
        <v>27</v>
      </c>
      <c r="F469" t="s">
        <v>646</v>
      </c>
      <c r="G469">
        <v>2022</v>
      </c>
      <c r="H469" t="s">
        <v>816</v>
      </c>
      <c r="I469" t="s">
        <v>163</v>
      </c>
      <c r="J469">
        <v>849</v>
      </c>
      <c r="K469">
        <v>250</v>
      </c>
      <c r="L469">
        <f t="shared" si="142"/>
        <v>599</v>
      </c>
      <c r="M469">
        <v>240</v>
      </c>
      <c r="N469">
        <f t="shared" si="143"/>
        <v>359</v>
      </c>
    </row>
    <row r="470" spans="1:14" x14ac:dyDescent="0.2">
      <c r="A470" t="s">
        <v>817</v>
      </c>
      <c r="B470" s="1" t="s">
        <v>814</v>
      </c>
      <c r="C470" t="s">
        <v>14</v>
      </c>
      <c r="D470" t="s">
        <v>81</v>
      </c>
      <c r="E470">
        <v>27</v>
      </c>
      <c r="F470" t="s">
        <v>646</v>
      </c>
      <c r="G470">
        <v>2022</v>
      </c>
      <c r="H470" t="s">
        <v>260</v>
      </c>
      <c r="I470" t="s">
        <v>28</v>
      </c>
      <c r="J470">
        <v>849</v>
      </c>
      <c r="K470">
        <v>250</v>
      </c>
      <c r="L470">
        <f t="shared" si="142"/>
        <v>599</v>
      </c>
      <c r="M470">
        <v>240</v>
      </c>
      <c r="N470">
        <f t="shared" si="143"/>
        <v>359</v>
      </c>
    </row>
    <row r="471" spans="1:14" x14ac:dyDescent="0.2">
      <c r="A471" t="s">
        <v>818</v>
      </c>
      <c r="B471" s="1" t="s">
        <v>805</v>
      </c>
      <c r="C471" t="s">
        <v>14</v>
      </c>
      <c r="D471" t="s">
        <v>819</v>
      </c>
      <c r="E471">
        <v>26</v>
      </c>
      <c r="F471" t="s">
        <v>646</v>
      </c>
      <c r="G471">
        <v>2022</v>
      </c>
      <c r="H471" t="s">
        <v>820</v>
      </c>
      <c r="I471" t="s">
        <v>85</v>
      </c>
      <c r="J471">
        <v>999</v>
      </c>
      <c r="K471">
        <v>325</v>
      </c>
      <c r="L471">
        <f t="shared" si="142"/>
        <v>674</v>
      </c>
      <c r="M471">
        <v>240</v>
      </c>
      <c r="N471">
        <f t="shared" si="143"/>
        <v>434</v>
      </c>
    </row>
    <row r="472" spans="1:14" x14ac:dyDescent="0.2">
      <c r="A472" t="s">
        <v>821</v>
      </c>
      <c r="B472" s="1" t="s">
        <v>805</v>
      </c>
      <c r="C472" t="s">
        <v>14</v>
      </c>
      <c r="D472" t="s">
        <v>822</v>
      </c>
      <c r="E472">
        <v>26</v>
      </c>
      <c r="F472" t="s">
        <v>646</v>
      </c>
      <c r="G472">
        <v>2022</v>
      </c>
      <c r="H472" t="s">
        <v>823</v>
      </c>
      <c r="I472" t="s">
        <v>212</v>
      </c>
      <c r="J472">
        <v>849</v>
      </c>
      <c r="K472">
        <v>250</v>
      </c>
      <c r="L472">
        <f t="shared" si="142"/>
        <v>599</v>
      </c>
      <c r="M472">
        <v>240</v>
      </c>
      <c r="N472">
        <f t="shared" si="143"/>
        <v>359</v>
      </c>
    </row>
    <row r="473" spans="1:14" x14ac:dyDescent="0.2">
      <c r="A473" t="s">
        <v>824</v>
      </c>
      <c r="B473" s="1" t="s">
        <v>805</v>
      </c>
      <c r="C473" t="s">
        <v>14</v>
      </c>
      <c r="D473" t="s">
        <v>504</v>
      </c>
      <c r="E473">
        <v>26</v>
      </c>
      <c r="F473" t="s">
        <v>646</v>
      </c>
      <c r="G473">
        <v>2022</v>
      </c>
      <c r="H473" t="s">
        <v>84</v>
      </c>
      <c r="I473" t="s">
        <v>85</v>
      </c>
      <c r="J473">
        <v>999</v>
      </c>
      <c r="K473">
        <v>325</v>
      </c>
      <c r="L473">
        <f t="shared" si="142"/>
        <v>674</v>
      </c>
      <c r="M473">
        <v>240</v>
      </c>
      <c r="N473">
        <f t="shared" si="143"/>
        <v>434</v>
      </c>
    </row>
    <row r="474" spans="1:14" x14ac:dyDescent="0.2">
      <c r="A474" t="s">
        <v>825</v>
      </c>
      <c r="B474" s="1" t="s">
        <v>805</v>
      </c>
      <c r="C474" t="s">
        <v>14</v>
      </c>
      <c r="D474" t="s">
        <v>81</v>
      </c>
      <c r="E474">
        <v>26</v>
      </c>
      <c r="F474" t="s">
        <v>646</v>
      </c>
      <c r="G474">
        <v>2022</v>
      </c>
      <c r="H474" t="s">
        <v>579</v>
      </c>
      <c r="I474" t="s">
        <v>62</v>
      </c>
      <c r="J474">
        <v>849</v>
      </c>
      <c r="K474">
        <v>250</v>
      </c>
      <c r="L474">
        <f t="shared" si="142"/>
        <v>599</v>
      </c>
      <c r="M474">
        <v>240</v>
      </c>
      <c r="N474">
        <f t="shared" si="143"/>
        <v>359</v>
      </c>
    </row>
    <row r="475" spans="1:14" x14ac:dyDescent="0.2">
      <c r="A475" t="s">
        <v>826</v>
      </c>
      <c r="B475" s="1" t="s">
        <v>810</v>
      </c>
      <c r="C475" t="s">
        <v>14</v>
      </c>
      <c r="D475" t="s">
        <v>81</v>
      </c>
      <c r="E475">
        <v>25</v>
      </c>
      <c r="F475" t="s">
        <v>646</v>
      </c>
      <c r="G475">
        <v>2022</v>
      </c>
      <c r="H475" t="s">
        <v>827</v>
      </c>
      <c r="I475" t="s">
        <v>160</v>
      </c>
      <c r="J475">
        <v>849</v>
      </c>
      <c r="K475">
        <v>250</v>
      </c>
      <c r="L475">
        <f t="shared" si="142"/>
        <v>599</v>
      </c>
      <c r="M475">
        <v>240</v>
      </c>
      <c r="N475">
        <f t="shared" si="143"/>
        <v>359</v>
      </c>
    </row>
    <row r="476" spans="1:14" x14ac:dyDescent="0.2">
      <c r="A476" t="s">
        <v>828</v>
      </c>
      <c r="B476" s="1" t="s">
        <v>805</v>
      </c>
      <c r="C476" t="s">
        <v>14</v>
      </c>
      <c r="D476" t="s">
        <v>380</v>
      </c>
      <c r="E476">
        <v>26</v>
      </c>
      <c r="F476" t="s">
        <v>646</v>
      </c>
      <c r="G476">
        <v>2022</v>
      </c>
      <c r="H476" t="s">
        <v>198</v>
      </c>
      <c r="I476" t="s">
        <v>32</v>
      </c>
      <c r="J476">
        <v>849</v>
      </c>
      <c r="K476">
        <v>250</v>
      </c>
      <c r="L476">
        <f t="shared" si="142"/>
        <v>599</v>
      </c>
      <c r="M476">
        <v>240</v>
      </c>
      <c r="N476">
        <f t="shared" si="143"/>
        <v>359</v>
      </c>
    </row>
    <row r="477" spans="1:14" x14ac:dyDescent="0.2">
      <c r="A477" t="s">
        <v>829</v>
      </c>
      <c r="B477" s="1" t="s">
        <v>814</v>
      </c>
      <c r="C477" t="s">
        <v>14</v>
      </c>
      <c r="D477" t="s">
        <v>548</v>
      </c>
      <c r="E477">
        <v>27</v>
      </c>
      <c r="F477" t="s">
        <v>646</v>
      </c>
      <c r="G477">
        <v>2022</v>
      </c>
      <c r="H477" t="s">
        <v>830</v>
      </c>
      <c r="I477" t="s">
        <v>62</v>
      </c>
      <c r="J477">
        <v>999</v>
      </c>
      <c r="K477">
        <v>325</v>
      </c>
      <c r="L477">
        <f t="shared" si="142"/>
        <v>674</v>
      </c>
      <c r="M477">
        <v>240</v>
      </c>
      <c r="N477">
        <f t="shared" si="143"/>
        <v>434</v>
      </c>
    </row>
    <row r="478" spans="1:14" x14ac:dyDescent="0.2">
      <c r="A478" t="s">
        <v>791</v>
      </c>
      <c r="B478" s="1" t="s">
        <v>787</v>
      </c>
      <c r="C478" t="s">
        <v>106</v>
      </c>
      <c r="D478" t="s">
        <v>792</v>
      </c>
      <c r="E478">
        <v>22</v>
      </c>
      <c r="F478" t="s">
        <v>646</v>
      </c>
      <c r="G478">
        <v>2022</v>
      </c>
      <c r="H478" t="s">
        <v>793</v>
      </c>
      <c r="I478" t="s">
        <v>62</v>
      </c>
      <c r="J478">
        <v>-849</v>
      </c>
      <c r="K478">
        <v>345</v>
      </c>
      <c r="L478">
        <f>J478+K478</f>
        <v>-504</v>
      </c>
      <c r="M478">
        <v>240</v>
      </c>
      <c r="N478">
        <f>L478+M478</f>
        <v>-264</v>
      </c>
    </row>
    <row r="479" spans="1:14" x14ac:dyDescent="0.2">
      <c r="A479" t="s">
        <v>831</v>
      </c>
      <c r="B479" s="1" t="s">
        <v>814</v>
      </c>
      <c r="C479" t="s">
        <v>14</v>
      </c>
      <c r="D479" t="s">
        <v>81</v>
      </c>
      <c r="E479">
        <v>27</v>
      </c>
      <c r="F479" t="s">
        <v>646</v>
      </c>
      <c r="G479">
        <v>2022</v>
      </c>
      <c r="H479" t="s">
        <v>832</v>
      </c>
      <c r="I479" t="s">
        <v>122</v>
      </c>
      <c r="J479">
        <v>849</v>
      </c>
      <c r="K479">
        <v>250</v>
      </c>
      <c r="L479">
        <f t="shared" ref="L479:L480" si="144">J479-K479</f>
        <v>599</v>
      </c>
      <c r="M479">
        <v>240</v>
      </c>
      <c r="N479">
        <f t="shared" ref="N479:N480" si="145">L479-M479</f>
        <v>359</v>
      </c>
    </row>
    <row r="480" spans="1:14" x14ac:dyDescent="0.2">
      <c r="A480" t="s">
        <v>833</v>
      </c>
      <c r="B480" s="1" t="s">
        <v>814</v>
      </c>
      <c r="C480" t="s">
        <v>14</v>
      </c>
      <c r="D480" t="s">
        <v>834</v>
      </c>
      <c r="E480">
        <v>27</v>
      </c>
      <c r="F480" t="s">
        <v>646</v>
      </c>
      <c r="G480">
        <v>2022</v>
      </c>
      <c r="H480" t="s">
        <v>835</v>
      </c>
      <c r="I480" t="s">
        <v>135</v>
      </c>
      <c r="J480">
        <v>849</v>
      </c>
      <c r="K480">
        <v>250</v>
      </c>
      <c r="L480">
        <f t="shared" si="144"/>
        <v>599</v>
      </c>
      <c r="M480">
        <v>240</v>
      </c>
      <c r="N480">
        <f t="shared" si="145"/>
        <v>359</v>
      </c>
    </row>
    <row r="481" spans="1:14" x14ac:dyDescent="0.2">
      <c r="A481" t="s">
        <v>790</v>
      </c>
      <c r="B481" s="1" t="s">
        <v>787</v>
      </c>
      <c r="C481" t="s">
        <v>106</v>
      </c>
      <c r="D481" t="s">
        <v>642</v>
      </c>
      <c r="E481">
        <v>22</v>
      </c>
      <c r="F481" t="s">
        <v>646</v>
      </c>
      <c r="G481">
        <v>2022</v>
      </c>
      <c r="H481" t="s">
        <v>235</v>
      </c>
      <c r="I481" t="s">
        <v>62</v>
      </c>
      <c r="J481">
        <v>-799</v>
      </c>
      <c r="K481">
        <v>320</v>
      </c>
      <c r="L481">
        <f t="shared" ref="L481:L482" si="146">J481+K481</f>
        <v>-479</v>
      </c>
      <c r="M481">
        <v>240</v>
      </c>
      <c r="N481">
        <f t="shared" ref="N481:N482" si="147">L481+M481</f>
        <v>-239</v>
      </c>
    </row>
    <row r="482" spans="1:14" x14ac:dyDescent="0.2">
      <c r="A482" t="s">
        <v>817</v>
      </c>
      <c r="B482" s="1" t="s">
        <v>814</v>
      </c>
      <c r="C482" t="s">
        <v>106</v>
      </c>
      <c r="D482" t="s">
        <v>81</v>
      </c>
      <c r="E482">
        <v>27</v>
      </c>
      <c r="F482" t="s">
        <v>646</v>
      </c>
      <c r="G482">
        <v>2022</v>
      </c>
      <c r="H482" t="s">
        <v>260</v>
      </c>
      <c r="I482" t="s">
        <v>28</v>
      </c>
      <c r="J482">
        <v>-849</v>
      </c>
      <c r="K482">
        <v>345</v>
      </c>
      <c r="L482">
        <f t="shared" si="146"/>
        <v>-504</v>
      </c>
      <c r="M482">
        <v>240</v>
      </c>
      <c r="N482">
        <f t="shared" si="147"/>
        <v>-264</v>
      </c>
    </row>
    <row r="483" spans="1:14" x14ac:dyDescent="0.2">
      <c r="A483" t="s">
        <v>837</v>
      </c>
      <c r="B483" s="1" t="s">
        <v>836</v>
      </c>
      <c r="C483" t="s">
        <v>14</v>
      </c>
      <c r="D483" t="s">
        <v>81</v>
      </c>
      <c r="E483">
        <v>28</v>
      </c>
      <c r="F483" t="s">
        <v>646</v>
      </c>
      <c r="G483">
        <v>2022</v>
      </c>
      <c r="H483" t="s">
        <v>838</v>
      </c>
      <c r="I483" t="s">
        <v>253</v>
      </c>
      <c r="J483">
        <v>849</v>
      </c>
      <c r="K483">
        <v>250</v>
      </c>
      <c r="L483">
        <f t="shared" ref="L483:L485" si="148">J483-K483</f>
        <v>599</v>
      </c>
      <c r="M483">
        <v>240</v>
      </c>
      <c r="N483">
        <f t="shared" ref="N483:N485" si="149">L483-M483</f>
        <v>359</v>
      </c>
    </row>
    <row r="484" spans="1:14" x14ac:dyDescent="0.2">
      <c r="A484" t="s">
        <v>839</v>
      </c>
      <c r="B484" s="1" t="s">
        <v>836</v>
      </c>
      <c r="C484" t="s">
        <v>14</v>
      </c>
      <c r="D484" t="s">
        <v>840</v>
      </c>
      <c r="E484">
        <v>28</v>
      </c>
      <c r="F484" t="s">
        <v>646</v>
      </c>
      <c r="G484">
        <v>2022</v>
      </c>
      <c r="H484" t="s">
        <v>84</v>
      </c>
      <c r="I484" t="s">
        <v>85</v>
      </c>
      <c r="J484">
        <v>999</v>
      </c>
      <c r="K484">
        <v>325</v>
      </c>
      <c r="L484">
        <f t="shared" si="148"/>
        <v>674</v>
      </c>
      <c r="M484">
        <v>240</v>
      </c>
      <c r="N484">
        <f t="shared" si="149"/>
        <v>434</v>
      </c>
    </row>
    <row r="485" spans="1:14" x14ac:dyDescent="0.2">
      <c r="A485" t="s">
        <v>841</v>
      </c>
      <c r="B485" s="1" t="s">
        <v>836</v>
      </c>
      <c r="C485" t="s">
        <v>14</v>
      </c>
      <c r="D485" t="s">
        <v>70</v>
      </c>
      <c r="E485">
        <v>28</v>
      </c>
      <c r="F485" t="s">
        <v>646</v>
      </c>
      <c r="G485">
        <v>2022</v>
      </c>
      <c r="H485" t="s">
        <v>205</v>
      </c>
      <c r="I485" t="s">
        <v>23</v>
      </c>
      <c r="J485">
        <v>849</v>
      </c>
      <c r="K485">
        <v>250</v>
      </c>
      <c r="L485">
        <f t="shared" si="148"/>
        <v>599</v>
      </c>
      <c r="M485">
        <v>240</v>
      </c>
      <c r="N485">
        <f t="shared" si="149"/>
        <v>359</v>
      </c>
    </row>
    <row r="486" spans="1:14" x14ac:dyDescent="0.2">
      <c r="A486" t="s">
        <v>785</v>
      </c>
      <c r="B486" s="1" t="s">
        <v>780</v>
      </c>
      <c r="C486" t="s">
        <v>106</v>
      </c>
      <c r="D486" t="s">
        <v>786</v>
      </c>
      <c r="E486">
        <v>21</v>
      </c>
      <c r="F486" t="s">
        <v>646</v>
      </c>
      <c r="G486">
        <v>2022</v>
      </c>
      <c r="H486" t="s">
        <v>157</v>
      </c>
      <c r="I486" t="s">
        <v>97</v>
      </c>
      <c r="J486">
        <v>-799</v>
      </c>
      <c r="K486">
        <v>320</v>
      </c>
      <c r="L486">
        <f>J486+K486</f>
        <v>-479</v>
      </c>
      <c r="M486">
        <v>240</v>
      </c>
      <c r="N486">
        <f>L486+M486</f>
        <v>-239</v>
      </c>
    </row>
    <row r="487" spans="1:14" x14ac:dyDescent="0.2">
      <c r="A487" t="s">
        <v>843</v>
      </c>
      <c r="B487" s="1" t="s">
        <v>842</v>
      </c>
      <c r="C487" t="s">
        <v>14</v>
      </c>
      <c r="D487" t="s">
        <v>844</v>
      </c>
      <c r="E487">
        <v>29</v>
      </c>
      <c r="F487" t="s">
        <v>646</v>
      </c>
      <c r="G487">
        <v>2022</v>
      </c>
      <c r="H487" t="s">
        <v>838</v>
      </c>
      <c r="I487" t="s">
        <v>253</v>
      </c>
      <c r="J487">
        <v>849</v>
      </c>
      <c r="K487">
        <v>250</v>
      </c>
      <c r="L487">
        <f t="shared" ref="L487:L491" si="150">J487-K487</f>
        <v>599</v>
      </c>
      <c r="M487">
        <v>240</v>
      </c>
      <c r="N487">
        <f t="shared" ref="N487:N491" si="151">L487-M487</f>
        <v>359</v>
      </c>
    </row>
    <row r="488" spans="1:14" x14ac:dyDescent="0.2">
      <c r="A488" t="s">
        <v>845</v>
      </c>
      <c r="B488" s="1" t="s">
        <v>842</v>
      </c>
      <c r="C488" t="s">
        <v>14</v>
      </c>
      <c r="D488" t="s">
        <v>379</v>
      </c>
      <c r="E488">
        <v>29</v>
      </c>
      <c r="F488" t="s">
        <v>646</v>
      </c>
      <c r="G488">
        <v>2022</v>
      </c>
      <c r="H488" t="s">
        <v>846</v>
      </c>
      <c r="I488" t="s">
        <v>122</v>
      </c>
      <c r="J488">
        <v>849</v>
      </c>
      <c r="K488">
        <v>250</v>
      </c>
      <c r="L488">
        <f t="shared" si="150"/>
        <v>599</v>
      </c>
      <c r="M488">
        <v>240</v>
      </c>
      <c r="N488">
        <f t="shared" si="151"/>
        <v>359</v>
      </c>
    </row>
    <row r="489" spans="1:14" x14ac:dyDescent="0.2">
      <c r="A489" t="s">
        <v>847</v>
      </c>
      <c r="B489" s="1" t="s">
        <v>842</v>
      </c>
      <c r="C489" t="s">
        <v>14</v>
      </c>
      <c r="D489" t="s">
        <v>81</v>
      </c>
      <c r="E489">
        <v>29</v>
      </c>
      <c r="F489" t="s">
        <v>646</v>
      </c>
      <c r="G489">
        <v>2022</v>
      </c>
      <c r="H489" t="s">
        <v>848</v>
      </c>
      <c r="I489" t="s">
        <v>376</v>
      </c>
      <c r="J489">
        <v>849</v>
      </c>
      <c r="K489">
        <v>250</v>
      </c>
      <c r="L489">
        <f t="shared" si="150"/>
        <v>599</v>
      </c>
      <c r="M489">
        <v>240</v>
      </c>
      <c r="N489">
        <f t="shared" si="151"/>
        <v>359</v>
      </c>
    </row>
    <row r="490" spans="1:14" x14ac:dyDescent="0.2">
      <c r="A490" t="s">
        <v>849</v>
      </c>
      <c r="B490" s="1" t="s">
        <v>842</v>
      </c>
      <c r="C490" t="s">
        <v>14</v>
      </c>
      <c r="D490" t="s">
        <v>308</v>
      </c>
      <c r="E490">
        <v>29</v>
      </c>
      <c r="F490" t="s">
        <v>646</v>
      </c>
      <c r="G490">
        <v>2022</v>
      </c>
      <c r="H490" t="s">
        <v>235</v>
      </c>
      <c r="I490" t="s">
        <v>62</v>
      </c>
      <c r="J490">
        <v>999</v>
      </c>
      <c r="K490">
        <v>325</v>
      </c>
      <c r="L490">
        <f t="shared" si="150"/>
        <v>674</v>
      </c>
      <c r="M490">
        <v>240</v>
      </c>
      <c r="N490">
        <f t="shared" si="151"/>
        <v>434</v>
      </c>
    </row>
    <row r="491" spans="1:14" x14ac:dyDescent="0.2">
      <c r="A491" t="s">
        <v>850</v>
      </c>
      <c r="B491" s="1" t="s">
        <v>842</v>
      </c>
      <c r="C491" t="s">
        <v>14</v>
      </c>
      <c r="D491" t="s">
        <v>81</v>
      </c>
      <c r="E491">
        <v>29</v>
      </c>
      <c r="F491" t="s">
        <v>646</v>
      </c>
      <c r="G491">
        <v>2022</v>
      </c>
      <c r="H491" t="s">
        <v>84</v>
      </c>
      <c r="I491" t="s">
        <v>85</v>
      </c>
      <c r="J491">
        <v>849</v>
      </c>
      <c r="K491">
        <v>250</v>
      </c>
      <c r="L491">
        <f t="shared" si="150"/>
        <v>599</v>
      </c>
      <c r="M491">
        <v>240</v>
      </c>
      <c r="N491">
        <f t="shared" si="151"/>
        <v>359</v>
      </c>
    </row>
    <row r="492" spans="1:14" x14ac:dyDescent="0.2">
      <c r="A492" t="s">
        <v>658</v>
      </c>
      <c r="B492" s="1" t="s">
        <v>657</v>
      </c>
      <c r="C492" t="s">
        <v>106</v>
      </c>
      <c r="D492" t="s">
        <v>192</v>
      </c>
      <c r="E492">
        <v>2</v>
      </c>
      <c r="F492" t="s">
        <v>646</v>
      </c>
      <c r="G492">
        <v>2022</v>
      </c>
      <c r="H492" t="s">
        <v>659</v>
      </c>
      <c r="I492" t="s">
        <v>28</v>
      </c>
      <c r="J492">
        <v>-799</v>
      </c>
      <c r="K492">
        <v>320</v>
      </c>
      <c r="L492">
        <f>J492+K492</f>
        <v>-479</v>
      </c>
      <c r="M492">
        <v>240</v>
      </c>
      <c r="N492">
        <f>L492+M492</f>
        <v>-239</v>
      </c>
    </row>
    <row r="493" spans="1:14" x14ac:dyDescent="0.2">
      <c r="A493" t="s">
        <v>852</v>
      </c>
      <c r="B493" s="1" t="s">
        <v>851</v>
      </c>
      <c r="C493" t="s">
        <v>14</v>
      </c>
      <c r="D493" t="s">
        <v>379</v>
      </c>
      <c r="E493">
        <v>30</v>
      </c>
      <c r="F493" t="s">
        <v>646</v>
      </c>
      <c r="G493">
        <v>2022</v>
      </c>
      <c r="H493" t="s">
        <v>246</v>
      </c>
      <c r="I493" t="s">
        <v>58</v>
      </c>
      <c r="J493">
        <v>799</v>
      </c>
      <c r="K493">
        <v>205</v>
      </c>
      <c r="L493">
        <f t="shared" ref="L493:L495" si="152">J493-K493</f>
        <v>594</v>
      </c>
      <c r="M493">
        <v>240</v>
      </c>
      <c r="N493">
        <f t="shared" ref="N493:N495" si="153">L493-M493</f>
        <v>354</v>
      </c>
    </row>
    <row r="494" spans="1:14" x14ac:dyDescent="0.2">
      <c r="A494" t="s">
        <v>853</v>
      </c>
      <c r="B494" s="1" t="s">
        <v>851</v>
      </c>
      <c r="C494" t="s">
        <v>14</v>
      </c>
      <c r="D494" t="s">
        <v>822</v>
      </c>
      <c r="E494">
        <v>30</v>
      </c>
      <c r="F494" t="s">
        <v>646</v>
      </c>
      <c r="G494">
        <v>2022</v>
      </c>
      <c r="H494" t="s">
        <v>49</v>
      </c>
      <c r="I494" t="s">
        <v>32</v>
      </c>
      <c r="J494">
        <v>849</v>
      </c>
      <c r="K494">
        <v>250</v>
      </c>
      <c r="L494">
        <f t="shared" si="152"/>
        <v>599</v>
      </c>
      <c r="M494">
        <v>240</v>
      </c>
      <c r="N494">
        <f t="shared" si="153"/>
        <v>359</v>
      </c>
    </row>
    <row r="495" spans="1:14" x14ac:dyDescent="0.2">
      <c r="A495" t="s">
        <v>854</v>
      </c>
      <c r="B495" s="1" t="s">
        <v>851</v>
      </c>
      <c r="C495" t="s">
        <v>14</v>
      </c>
      <c r="D495" t="s">
        <v>81</v>
      </c>
      <c r="E495">
        <v>30</v>
      </c>
      <c r="F495" t="s">
        <v>646</v>
      </c>
      <c r="G495">
        <v>2022</v>
      </c>
      <c r="H495" t="s">
        <v>246</v>
      </c>
      <c r="I495" t="s">
        <v>58</v>
      </c>
      <c r="J495">
        <v>849</v>
      </c>
      <c r="K495">
        <v>250</v>
      </c>
      <c r="L495">
        <f t="shared" si="152"/>
        <v>599</v>
      </c>
      <c r="M495">
        <v>240</v>
      </c>
      <c r="N495">
        <f t="shared" si="153"/>
        <v>359</v>
      </c>
    </row>
    <row r="496" spans="1:14" x14ac:dyDescent="0.2">
      <c r="A496" t="s">
        <v>547</v>
      </c>
      <c r="B496" s="1" t="s">
        <v>546</v>
      </c>
      <c r="C496" t="s">
        <v>106</v>
      </c>
      <c r="D496" t="s">
        <v>548</v>
      </c>
      <c r="E496">
        <v>23</v>
      </c>
      <c r="F496" t="s">
        <v>385</v>
      </c>
      <c r="G496">
        <v>2022</v>
      </c>
      <c r="H496" t="s">
        <v>549</v>
      </c>
      <c r="I496" t="s">
        <v>163</v>
      </c>
      <c r="J496">
        <v>-999</v>
      </c>
      <c r="K496">
        <v>395</v>
      </c>
      <c r="L496">
        <f t="shared" ref="L496:L507" si="154">J496+K496</f>
        <v>-604</v>
      </c>
      <c r="M496">
        <v>240</v>
      </c>
      <c r="N496">
        <f t="shared" ref="N496:N507" si="155">L496+M496</f>
        <v>-364</v>
      </c>
    </row>
    <row r="497" spans="1:14" x14ac:dyDescent="0.2">
      <c r="A497" t="s">
        <v>599</v>
      </c>
      <c r="B497" s="1" t="s">
        <v>587</v>
      </c>
      <c r="C497" t="s">
        <v>106</v>
      </c>
      <c r="D497" t="s">
        <v>81</v>
      </c>
      <c r="E497">
        <v>26</v>
      </c>
      <c r="F497" t="s">
        <v>385</v>
      </c>
      <c r="G497">
        <v>2022</v>
      </c>
      <c r="H497" t="s">
        <v>600</v>
      </c>
      <c r="I497" t="s">
        <v>23</v>
      </c>
      <c r="J497">
        <v>-849</v>
      </c>
      <c r="K497">
        <v>345</v>
      </c>
      <c r="L497">
        <f t="shared" si="154"/>
        <v>-504</v>
      </c>
      <c r="M497">
        <v>240</v>
      </c>
      <c r="N497">
        <f t="shared" si="155"/>
        <v>-264</v>
      </c>
    </row>
    <row r="498" spans="1:14" x14ac:dyDescent="0.2">
      <c r="A498" t="s">
        <v>557</v>
      </c>
      <c r="B498" s="1" t="s">
        <v>539</v>
      </c>
      <c r="C498" t="s">
        <v>106</v>
      </c>
      <c r="D498" t="s">
        <v>81</v>
      </c>
      <c r="E498">
        <v>22</v>
      </c>
      <c r="F498" t="s">
        <v>385</v>
      </c>
      <c r="G498">
        <v>2022</v>
      </c>
      <c r="H498" t="s">
        <v>104</v>
      </c>
      <c r="I498" t="s">
        <v>62</v>
      </c>
      <c r="J498">
        <v>-849</v>
      </c>
      <c r="K498">
        <v>345</v>
      </c>
      <c r="L498">
        <f t="shared" si="154"/>
        <v>-504</v>
      </c>
      <c r="M498">
        <v>240</v>
      </c>
      <c r="N498">
        <f t="shared" si="155"/>
        <v>-264</v>
      </c>
    </row>
    <row r="499" spans="1:14" x14ac:dyDescent="0.2">
      <c r="A499" t="s">
        <v>594</v>
      </c>
      <c r="B499" s="1" t="s">
        <v>587</v>
      </c>
      <c r="C499" t="s">
        <v>106</v>
      </c>
      <c r="D499" t="s">
        <v>528</v>
      </c>
      <c r="E499">
        <v>26</v>
      </c>
      <c r="F499" t="s">
        <v>385</v>
      </c>
      <c r="G499">
        <v>2022</v>
      </c>
      <c r="H499" t="s">
        <v>595</v>
      </c>
      <c r="I499" t="s">
        <v>23</v>
      </c>
      <c r="J499">
        <v>-849</v>
      </c>
      <c r="K499">
        <v>345</v>
      </c>
      <c r="L499">
        <f t="shared" si="154"/>
        <v>-504</v>
      </c>
      <c r="M499">
        <v>240</v>
      </c>
      <c r="N499">
        <f t="shared" si="155"/>
        <v>-264</v>
      </c>
    </row>
    <row r="500" spans="1:14" x14ac:dyDescent="0.2">
      <c r="A500" t="s">
        <v>601</v>
      </c>
      <c r="B500" s="1" t="s">
        <v>587</v>
      </c>
      <c r="C500" t="s">
        <v>106</v>
      </c>
      <c r="D500" t="s">
        <v>81</v>
      </c>
      <c r="E500">
        <v>26</v>
      </c>
      <c r="F500" t="s">
        <v>385</v>
      </c>
      <c r="G500">
        <v>2022</v>
      </c>
      <c r="H500" t="s">
        <v>84</v>
      </c>
      <c r="I500" t="s">
        <v>85</v>
      </c>
      <c r="J500">
        <v>-849</v>
      </c>
      <c r="K500">
        <v>345</v>
      </c>
      <c r="L500">
        <f t="shared" si="154"/>
        <v>-504</v>
      </c>
      <c r="M500">
        <v>240</v>
      </c>
      <c r="N500">
        <f t="shared" si="155"/>
        <v>-264</v>
      </c>
    </row>
    <row r="501" spans="1:14" x14ac:dyDescent="0.2">
      <c r="A501" t="s">
        <v>640</v>
      </c>
      <c r="B501" s="1" t="s">
        <v>632</v>
      </c>
      <c r="C501" t="s">
        <v>106</v>
      </c>
      <c r="D501" t="s">
        <v>545</v>
      </c>
      <c r="E501">
        <v>31</v>
      </c>
      <c r="F501" t="s">
        <v>385</v>
      </c>
      <c r="G501">
        <v>2022</v>
      </c>
      <c r="H501" t="s">
        <v>641</v>
      </c>
      <c r="I501" t="s">
        <v>122</v>
      </c>
      <c r="J501">
        <v>-799</v>
      </c>
      <c r="K501">
        <v>320</v>
      </c>
      <c r="L501">
        <f t="shared" si="154"/>
        <v>-479</v>
      </c>
      <c r="M501">
        <v>240</v>
      </c>
      <c r="N501">
        <f t="shared" si="155"/>
        <v>-239</v>
      </c>
    </row>
    <row r="502" spans="1:14" x14ac:dyDescent="0.2">
      <c r="A502" t="s">
        <v>639</v>
      </c>
      <c r="B502" s="1" t="s">
        <v>632</v>
      </c>
      <c r="C502" t="s">
        <v>106</v>
      </c>
      <c r="D502" t="s">
        <v>81</v>
      </c>
      <c r="E502">
        <v>31</v>
      </c>
      <c r="F502" t="s">
        <v>385</v>
      </c>
      <c r="G502">
        <v>2022</v>
      </c>
      <c r="H502" t="s">
        <v>104</v>
      </c>
      <c r="I502" t="s">
        <v>62</v>
      </c>
      <c r="J502">
        <v>-849</v>
      </c>
      <c r="K502">
        <v>345</v>
      </c>
      <c r="L502">
        <f t="shared" si="154"/>
        <v>-504</v>
      </c>
      <c r="M502">
        <v>240</v>
      </c>
      <c r="N502">
        <f t="shared" si="155"/>
        <v>-264</v>
      </c>
    </row>
    <row r="503" spans="1:14" x14ac:dyDescent="0.2">
      <c r="A503" t="s">
        <v>614</v>
      </c>
      <c r="B503" s="1" t="s">
        <v>610</v>
      </c>
      <c r="C503" t="s">
        <v>106</v>
      </c>
      <c r="D503" t="s">
        <v>615</v>
      </c>
      <c r="E503">
        <v>29</v>
      </c>
      <c r="F503" t="s">
        <v>385</v>
      </c>
      <c r="G503">
        <v>2022</v>
      </c>
      <c r="H503" t="s">
        <v>616</v>
      </c>
      <c r="I503" t="s">
        <v>85</v>
      </c>
      <c r="J503">
        <v>-999</v>
      </c>
      <c r="K503">
        <v>395</v>
      </c>
      <c r="L503">
        <f t="shared" si="154"/>
        <v>-604</v>
      </c>
      <c r="M503">
        <v>240</v>
      </c>
      <c r="N503">
        <f t="shared" si="155"/>
        <v>-364</v>
      </c>
    </row>
    <row r="504" spans="1:14" x14ac:dyDescent="0.2">
      <c r="A504" t="s">
        <v>626</v>
      </c>
      <c r="B504" s="1" t="s">
        <v>608</v>
      </c>
      <c r="C504" t="s">
        <v>106</v>
      </c>
      <c r="D504" t="s">
        <v>81</v>
      </c>
      <c r="E504">
        <v>30</v>
      </c>
      <c r="F504" t="s">
        <v>385</v>
      </c>
      <c r="G504">
        <v>2022</v>
      </c>
      <c r="H504" t="s">
        <v>185</v>
      </c>
      <c r="I504" t="s">
        <v>62</v>
      </c>
      <c r="J504">
        <v>-849</v>
      </c>
      <c r="K504">
        <v>345</v>
      </c>
      <c r="L504">
        <f t="shared" si="154"/>
        <v>-504</v>
      </c>
      <c r="M504">
        <v>240</v>
      </c>
      <c r="N504">
        <f t="shared" si="155"/>
        <v>-264</v>
      </c>
    </row>
    <row r="505" spans="1:14" x14ac:dyDescent="0.2">
      <c r="A505" t="s">
        <v>591</v>
      </c>
      <c r="B505" s="1" t="s">
        <v>582</v>
      </c>
      <c r="C505" t="s">
        <v>106</v>
      </c>
      <c r="D505" t="s">
        <v>81</v>
      </c>
      <c r="E505">
        <v>25</v>
      </c>
      <c r="F505" t="s">
        <v>385</v>
      </c>
      <c r="G505">
        <v>2022</v>
      </c>
      <c r="H505" t="s">
        <v>592</v>
      </c>
      <c r="I505" t="s">
        <v>85</v>
      </c>
      <c r="J505">
        <v>-849</v>
      </c>
      <c r="K505">
        <v>345</v>
      </c>
      <c r="L505">
        <f t="shared" si="154"/>
        <v>-504</v>
      </c>
      <c r="M505">
        <v>240</v>
      </c>
      <c r="N505">
        <f t="shared" si="155"/>
        <v>-264</v>
      </c>
    </row>
    <row r="506" spans="1:14" x14ac:dyDescent="0.2">
      <c r="A506" t="s">
        <v>609</v>
      </c>
      <c r="B506" s="1" t="s">
        <v>608</v>
      </c>
      <c r="C506" t="s">
        <v>106</v>
      </c>
      <c r="D506" t="s">
        <v>477</v>
      </c>
      <c r="E506">
        <v>30</v>
      </c>
      <c r="F506" t="s">
        <v>385</v>
      </c>
      <c r="G506">
        <v>2022</v>
      </c>
      <c r="H506" t="s">
        <v>260</v>
      </c>
      <c r="I506" t="s">
        <v>28</v>
      </c>
      <c r="J506">
        <v>-999</v>
      </c>
      <c r="K506">
        <v>395</v>
      </c>
      <c r="L506">
        <f t="shared" si="154"/>
        <v>-604</v>
      </c>
      <c r="M506">
        <v>240</v>
      </c>
      <c r="N506">
        <f t="shared" si="155"/>
        <v>-364</v>
      </c>
    </row>
    <row r="507" spans="1:14" x14ac:dyDescent="0.2">
      <c r="A507" t="s">
        <v>606</v>
      </c>
      <c r="B507" s="1" t="s">
        <v>596</v>
      </c>
      <c r="C507" t="s">
        <v>106</v>
      </c>
      <c r="D507" t="s">
        <v>607</v>
      </c>
      <c r="E507">
        <v>27</v>
      </c>
      <c r="F507" t="s">
        <v>385</v>
      </c>
      <c r="G507">
        <v>2022</v>
      </c>
      <c r="H507" t="s">
        <v>104</v>
      </c>
      <c r="I507" t="s">
        <v>62</v>
      </c>
      <c r="J507">
        <v>-799</v>
      </c>
      <c r="K507">
        <v>320</v>
      </c>
      <c r="L507">
        <f t="shared" si="154"/>
        <v>-479</v>
      </c>
      <c r="M507">
        <v>240</v>
      </c>
      <c r="N507">
        <f t="shared" si="155"/>
        <v>-239</v>
      </c>
    </row>
    <row r="508" spans="1:14" x14ac:dyDescent="0.2">
      <c r="A508" t="s">
        <v>856</v>
      </c>
      <c r="B508" s="1" t="s">
        <v>855</v>
      </c>
      <c r="C508" t="s">
        <v>14</v>
      </c>
      <c r="D508" t="s">
        <v>834</v>
      </c>
      <c r="E508">
        <v>1</v>
      </c>
      <c r="F508" t="s">
        <v>857</v>
      </c>
      <c r="G508">
        <v>2022</v>
      </c>
      <c r="H508" t="s">
        <v>193</v>
      </c>
      <c r="I508" t="s">
        <v>62</v>
      </c>
      <c r="J508">
        <v>849</v>
      </c>
      <c r="K508">
        <v>250</v>
      </c>
      <c r="L508">
        <f t="shared" ref="L508:L515" si="156">J508-K508</f>
        <v>599</v>
      </c>
      <c r="M508">
        <v>240</v>
      </c>
      <c r="N508">
        <f t="shared" ref="N508:N515" si="157">L508-M508</f>
        <v>359</v>
      </c>
    </row>
    <row r="509" spans="1:14" x14ac:dyDescent="0.2">
      <c r="A509" t="s">
        <v>858</v>
      </c>
      <c r="B509" s="1" t="s">
        <v>855</v>
      </c>
      <c r="C509" t="s">
        <v>14</v>
      </c>
      <c r="D509" t="s">
        <v>81</v>
      </c>
      <c r="E509">
        <v>1</v>
      </c>
      <c r="F509" t="s">
        <v>857</v>
      </c>
      <c r="G509">
        <v>2022</v>
      </c>
      <c r="H509" t="s">
        <v>157</v>
      </c>
      <c r="I509" t="s">
        <v>97</v>
      </c>
      <c r="J509">
        <v>849</v>
      </c>
      <c r="K509">
        <v>250</v>
      </c>
      <c r="L509">
        <f t="shared" si="156"/>
        <v>599</v>
      </c>
      <c r="M509">
        <v>240</v>
      </c>
      <c r="N509">
        <f t="shared" si="157"/>
        <v>359</v>
      </c>
    </row>
    <row r="510" spans="1:14" x14ac:dyDescent="0.2">
      <c r="A510" t="s">
        <v>859</v>
      </c>
      <c r="B510" s="1" t="s">
        <v>855</v>
      </c>
      <c r="C510" t="s">
        <v>14</v>
      </c>
      <c r="D510" t="s">
        <v>860</v>
      </c>
      <c r="E510">
        <v>1</v>
      </c>
      <c r="F510" t="s">
        <v>857</v>
      </c>
      <c r="G510">
        <v>2022</v>
      </c>
      <c r="H510" t="s">
        <v>157</v>
      </c>
      <c r="I510" t="s">
        <v>97</v>
      </c>
      <c r="J510">
        <v>799</v>
      </c>
      <c r="K510">
        <v>205</v>
      </c>
      <c r="L510">
        <f t="shared" si="156"/>
        <v>594</v>
      </c>
      <c r="M510">
        <v>240</v>
      </c>
      <c r="N510">
        <f t="shared" si="157"/>
        <v>354</v>
      </c>
    </row>
    <row r="511" spans="1:14" x14ac:dyDescent="0.2">
      <c r="A511" t="s">
        <v>862</v>
      </c>
      <c r="B511" s="1" t="s">
        <v>861</v>
      </c>
      <c r="C511" t="s">
        <v>14</v>
      </c>
      <c r="D511" t="s">
        <v>863</v>
      </c>
      <c r="E511">
        <v>2</v>
      </c>
      <c r="F511" t="s">
        <v>857</v>
      </c>
      <c r="G511">
        <v>2022</v>
      </c>
      <c r="H511" t="s">
        <v>864</v>
      </c>
      <c r="I511" t="s">
        <v>250</v>
      </c>
      <c r="J511">
        <v>799</v>
      </c>
      <c r="K511">
        <v>205</v>
      </c>
      <c r="L511">
        <f t="shared" si="156"/>
        <v>594</v>
      </c>
      <c r="M511">
        <v>240</v>
      </c>
      <c r="N511">
        <f t="shared" si="157"/>
        <v>354</v>
      </c>
    </row>
    <row r="512" spans="1:14" x14ac:dyDescent="0.2">
      <c r="A512" t="s">
        <v>865</v>
      </c>
      <c r="B512" s="1" t="s">
        <v>855</v>
      </c>
      <c r="C512" t="s">
        <v>14</v>
      </c>
      <c r="D512" t="s">
        <v>81</v>
      </c>
      <c r="E512">
        <v>1</v>
      </c>
      <c r="F512" t="s">
        <v>857</v>
      </c>
      <c r="G512">
        <v>2022</v>
      </c>
      <c r="H512" t="s">
        <v>866</v>
      </c>
      <c r="I512" t="s">
        <v>866</v>
      </c>
      <c r="J512">
        <v>849</v>
      </c>
      <c r="K512">
        <v>250</v>
      </c>
      <c r="L512">
        <f t="shared" si="156"/>
        <v>599</v>
      </c>
      <c r="M512">
        <v>240</v>
      </c>
      <c r="N512">
        <f t="shared" si="157"/>
        <v>359</v>
      </c>
    </row>
    <row r="513" spans="1:14" x14ac:dyDescent="0.2">
      <c r="A513" t="s">
        <v>867</v>
      </c>
      <c r="B513" s="1" t="s">
        <v>855</v>
      </c>
      <c r="C513" t="s">
        <v>14</v>
      </c>
      <c r="D513" t="s">
        <v>81</v>
      </c>
      <c r="E513">
        <v>1</v>
      </c>
      <c r="F513" t="s">
        <v>857</v>
      </c>
      <c r="G513">
        <v>2022</v>
      </c>
      <c r="H513" t="s">
        <v>868</v>
      </c>
      <c r="I513" t="s">
        <v>85</v>
      </c>
      <c r="J513">
        <v>849</v>
      </c>
      <c r="K513">
        <v>250</v>
      </c>
      <c r="L513">
        <f t="shared" si="156"/>
        <v>599</v>
      </c>
      <c r="M513">
        <v>240</v>
      </c>
      <c r="N513">
        <f t="shared" si="157"/>
        <v>359</v>
      </c>
    </row>
    <row r="514" spans="1:14" x14ac:dyDescent="0.2">
      <c r="A514" t="s">
        <v>869</v>
      </c>
      <c r="B514" s="1" t="s">
        <v>861</v>
      </c>
      <c r="C514" t="s">
        <v>14</v>
      </c>
      <c r="D514" t="s">
        <v>819</v>
      </c>
      <c r="E514">
        <v>2</v>
      </c>
      <c r="F514" t="s">
        <v>857</v>
      </c>
      <c r="G514">
        <v>2022</v>
      </c>
      <c r="H514" t="s">
        <v>215</v>
      </c>
      <c r="I514" t="s">
        <v>135</v>
      </c>
      <c r="J514">
        <v>999</v>
      </c>
      <c r="K514">
        <v>325</v>
      </c>
      <c r="L514">
        <f t="shared" si="156"/>
        <v>674</v>
      </c>
      <c r="M514">
        <v>240</v>
      </c>
      <c r="N514">
        <f t="shared" si="157"/>
        <v>434</v>
      </c>
    </row>
    <row r="515" spans="1:14" x14ac:dyDescent="0.2">
      <c r="A515" t="s">
        <v>870</v>
      </c>
      <c r="B515" s="1" t="s">
        <v>855</v>
      </c>
      <c r="C515" t="s">
        <v>14</v>
      </c>
      <c r="D515" t="s">
        <v>81</v>
      </c>
      <c r="E515">
        <v>1</v>
      </c>
      <c r="F515" t="s">
        <v>857</v>
      </c>
      <c r="G515">
        <v>2022</v>
      </c>
      <c r="H515" t="s">
        <v>246</v>
      </c>
      <c r="I515" t="s">
        <v>58</v>
      </c>
      <c r="J515">
        <v>849</v>
      </c>
      <c r="K515">
        <v>250</v>
      </c>
      <c r="L515">
        <f t="shared" si="156"/>
        <v>599</v>
      </c>
      <c r="M515">
        <v>240</v>
      </c>
      <c r="N515">
        <f t="shared" si="157"/>
        <v>359</v>
      </c>
    </row>
    <row r="516" spans="1:14" x14ac:dyDescent="0.2">
      <c r="A516" t="s">
        <v>871</v>
      </c>
      <c r="B516" s="1" t="s">
        <v>861</v>
      </c>
      <c r="C516" t="s">
        <v>43</v>
      </c>
      <c r="D516" t="s">
        <v>308</v>
      </c>
      <c r="E516">
        <v>2</v>
      </c>
      <c r="F516" t="s">
        <v>857</v>
      </c>
      <c r="G516">
        <v>2022</v>
      </c>
      <c r="H516" t="s">
        <v>872</v>
      </c>
      <c r="I516" t="s">
        <v>212</v>
      </c>
      <c r="J516">
        <v>0</v>
      </c>
      <c r="K516">
        <v>0</v>
      </c>
      <c r="L516">
        <v>0</v>
      </c>
      <c r="M516">
        <v>0</v>
      </c>
      <c r="N516">
        <v>0</v>
      </c>
    </row>
    <row r="517" spans="1:14" x14ac:dyDescent="0.2">
      <c r="A517" t="s">
        <v>873</v>
      </c>
      <c r="B517" s="1" t="s">
        <v>861</v>
      </c>
      <c r="C517" t="s">
        <v>43</v>
      </c>
      <c r="D517" t="s">
        <v>379</v>
      </c>
      <c r="E517">
        <v>2</v>
      </c>
      <c r="F517" t="s">
        <v>857</v>
      </c>
      <c r="G517">
        <v>2022</v>
      </c>
      <c r="H517" t="s">
        <v>874</v>
      </c>
      <c r="I517" t="s">
        <v>253</v>
      </c>
      <c r="J517">
        <v>0</v>
      </c>
      <c r="K517">
        <v>0</v>
      </c>
      <c r="L517">
        <v>0</v>
      </c>
      <c r="M517">
        <v>0</v>
      </c>
      <c r="N517">
        <v>0</v>
      </c>
    </row>
    <row r="518" spans="1:14" x14ac:dyDescent="0.2">
      <c r="A518" t="s">
        <v>876</v>
      </c>
      <c r="B518" s="1" t="s">
        <v>875</v>
      </c>
      <c r="C518" t="s">
        <v>43</v>
      </c>
      <c r="D518" t="s">
        <v>308</v>
      </c>
      <c r="E518">
        <v>3</v>
      </c>
      <c r="F518" t="s">
        <v>857</v>
      </c>
      <c r="G518">
        <v>2022</v>
      </c>
      <c r="H518" t="s">
        <v>84</v>
      </c>
      <c r="I518" t="s">
        <v>85</v>
      </c>
      <c r="J518">
        <v>0</v>
      </c>
      <c r="K518">
        <v>0</v>
      </c>
      <c r="L518">
        <v>0</v>
      </c>
      <c r="M518">
        <v>0</v>
      </c>
      <c r="N518">
        <v>0</v>
      </c>
    </row>
    <row r="519" spans="1:14" x14ac:dyDescent="0.2">
      <c r="A519" t="s">
        <v>878</v>
      </c>
      <c r="B519" s="1" t="s">
        <v>877</v>
      </c>
      <c r="C519" t="s">
        <v>14</v>
      </c>
      <c r="D519" t="s">
        <v>879</v>
      </c>
      <c r="E519">
        <v>4</v>
      </c>
      <c r="F519" t="s">
        <v>857</v>
      </c>
      <c r="G519">
        <v>2022</v>
      </c>
      <c r="H519" t="s">
        <v>223</v>
      </c>
      <c r="I519" t="s">
        <v>32</v>
      </c>
      <c r="J519">
        <v>849</v>
      </c>
      <c r="K519">
        <v>250</v>
      </c>
      <c r="L519">
        <f t="shared" ref="L519:L536" si="158">J519-K519</f>
        <v>599</v>
      </c>
      <c r="M519">
        <v>240</v>
      </c>
      <c r="N519">
        <f t="shared" ref="N519:N536" si="159">L519-M519</f>
        <v>359</v>
      </c>
    </row>
    <row r="520" spans="1:14" x14ac:dyDescent="0.2">
      <c r="A520" t="s">
        <v>880</v>
      </c>
      <c r="B520" s="1" t="s">
        <v>875</v>
      </c>
      <c r="C520" t="s">
        <v>14</v>
      </c>
      <c r="D520" t="s">
        <v>881</v>
      </c>
      <c r="E520">
        <v>3</v>
      </c>
      <c r="F520" t="s">
        <v>857</v>
      </c>
      <c r="G520">
        <v>2022</v>
      </c>
      <c r="H520" t="s">
        <v>882</v>
      </c>
      <c r="I520" t="s">
        <v>883</v>
      </c>
      <c r="J520">
        <v>799</v>
      </c>
      <c r="K520">
        <v>205</v>
      </c>
      <c r="L520">
        <f t="shared" si="158"/>
        <v>594</v>
      </c>
      <c r="M520">
        <v>240</v>
      </c>
      <c r="N520">
        <f t="shared" si="159"/>
        <v>354</v>
      </c>
    </row>
    <row r="521" spans="1:14" x14ac:dyDescent="0.2">
      <c r="A521" t="s">
        <v>884</v>
      </c>
      <c r="B521" s="1" t="s">
        <v>861</v>
      </c>
      <c r="C521" t="s">
        <v>14</v>
      </c>
      <c r="D521" t="s">
        <v>81</v>
      </c>
      <c r="E521">
        <v>2</v>
      </c>
      <c r="F521" t="s">
        <v>857</v>
      </c>
      <c r="G521">
        <v>2022</v>
      </c>
      <c r="H521" t="s">
        <v>885</v>
      </c>
      <c r="I521" t="s">
        <v>886</v>
      </c>
      <c r="J521">
        <v>849</v>
      </c>
      <c r="K521">
        <v>250</v>
      </c>
      <c r="L521">
        <f t="shared" si="158"/>
        <v>599</v>
      </c>
      <c r="M521">
        <v>240</v>
      </c>
      <c r="N521">
        <f t="shared" si="159"/>
        <v>359</v>
      </c>
    </row>
    <row r="522" spans="1:14" x14ac:dyDescent="0.2">
      <c r="A522" t="s">
        <v>887</v>
      </c>
      <c r="B522" s="1" t="s">
        <v>861</v>
      </c>
      <c r="C522" t="s">
        <v>14</v>
      </c>
      <c r="D522" t="s">
        <v>81</v>
      </c>
      <c r="E522">
        <v>2</v>
      </c>
      <c r="F522" t="s">
        <v>857</v>
      </c>
      <c r="G522">
        <v>2022</v>
      </c>
      <c r="H522" t="s">
        <v>888</v>
      </c>
      <c r="I522" t="s">
        <v>58</v>
      </c>
      <c r="J522">
        <v>849</v>
      </c>
      <c r="K522">
        <v>250</v>
      </c>
      <c r="L522">
        <f t="shared" si="158"/>
        <v>599</v>
      </c>
      <c r="M522">
        <v>240</v>
      </c>
      <c r="N522">
        <f t="shared" si="159"/>
        <v>359</v>
      </c>
    </row>
    <row r="523" spans="1:14" x14ac:dyDescent="0.2">
      <c r="A523" t="s">
        <v>889</v>
      </c>
      <c r="B523" s="1" t="s">
        <v>861</v>
      </c>
      <c r="C523" t="s">
        <v>14</v>
      </c>
      <c r="D523" t="s">
        <v>890</v>
      </c>
      <c r="E523">
        <v>2</v>
      </c>
      <c r="F523" t="s">
        <v>857</v>
      </c>
      <c r="G523">
        <v>2022</v>
      </c>
      <c r="H523" t="s">
        <v>449</v>
      </c>
      <c r="I523" t="s">
        <v>97</v>
      </c>
      <c r="J523">
        <v>849</v>
      </c>
      <c r="K523">
        <v>250</v>
      </c>
      <c r="L523">
        <f t="shared" si="158"/>
        <v>599</v>
      </c>
      <c r="M523">
        <v>240</v>
      </c>
      <c r="N523">
        <f t="shared" si="159"/>
        <v>359</v>
      </c>
    </row>
    <row r="524" spans="1:14" x14ac:dyDescent="0.2">
      <c r="A524" t="s">
        <v>889</v>
      </c>
      <c r="B524" s="1" t="s">
        <v>861</v>
      </c>
      <c r="C524" t="s">
        <v>14</v>
      </c>
      <c r="D524" t="s">
        <v>891</v>
      </c>
      <c r="E524">
        <v>2</v>
      </c>
      <c r="F524" t="s">
        <v>857</v>
      </c>
      <c r="G524">
        <v>2022</v>
      </c>
      <c r="H524" t="s">
        <v>449</v>
      </c>
      <c r="I524" t="s">
        <v>97</v>
      </c>
      <c r="J524">
        <v>849</v>
      </c>
      <c r="K524">
        <v>250</v>
      </c>
      <c r="L524">
        <f t="shared" si="158"/>
        <v>599</v>
      </c>
      <c r="M524">
        <v>240</v>
      </c>
      <c r="N524">
        <f t="shared" si="159"/>
        <v>359</v>
      </c>
    </row>
    <row r="525" spans="1:14" x14ac:dyDescent="0.2">
      <c r="A525" t="s">
        <v>892</v>
      </c>
      <c r="B525" s="1" t="s">
        <v>875</v>
      </c>
      <c r="C525" t="s">
        <v>14</v>
      </c>
      <c r="D525" t="s">
        <v>893</v>
      </c>
      <c r="E525">
        <v>3</v>
      </c>
      <c r="F525" t="s">
        <v>857</v>
      </c>
      <c r="G525">
        <v>2022</v>
      </c>
      <c r="H525" t="s">
        <v>104</v>
      </c>
      <c r="I525" t="s">
        <v>62</v>
      </c>
      <c r="J525">
        <v>849</v>
      </c>
      <c r="K525">
        <v>250</v>
      </c>
      <c r="L525">
        <f t="shared" si="158"/>
        <v>599</v>
      </c>
      <c r="M525">
        <v>240</v>
      </c>
      <c r="N525">
        <f t="shared" si="159"/>
        <v>359</v>
      </c>
    </row>
    <row r="526" spans="1:14" x14ac:dyDescent="0.2">
      <c r="A526" t="s">
        <v>894</v>
      </c>
      <c r="B526" s="1" t="s">
        <v>861</v>
      </c>
      <c r="C526" t="s">
        <v>14</v>
      </c>
      <c r="D526" t="s">
        <v>895</v>
      </c>
      <c r="E526">
        <v>2</v>
      </c>
      <c r="F526" t="s">
        <v>857</v>
      </c>
      <c r="G526">
        <v>2022</v>
      </c>
      <c r="H526" t="s">
        <v>208</v>
      </c>
      <c r="I526" t="s">
        <v>97</v>
      </c>
      <c r="J526">
        <v>849</v>
      </c>
      <c r="K526">
        <v>250</v>
      </c>
      <c r="L526">
        <f t="shared" si="158"/>
        <v>599</v>
      </c>
      <c r="M526">
        <v>240</v>
      </c>
      <c r="N526">
        <f t="shared" si="159"/>
        <v>359</v>
      </c>
    </row>
    <row r="527" spans="1:14" x14ac:dyDescent="0.2">
      <c r="A527" t="s">
        <v>871</v>
      </c>
      <c r="B527" s="1" t="s">
        <v>861</v>
      </c>
      <c r="C527" t="s">
        <v>14</v>
      </c>
      <c r="D527" t="s">
        <v>308</v>
      </c>
      <c r="E527">
        <v>2</v>
      </c>
      <c r="F527" t="s">
        <v>857</v>
      </c>
      <c r="G527">
        <v>2022</v>
      </c>
      <c r="H527" t="s">
        <v>872</v>
      </c>
      <c r="I527" t="s">
        <v>212</v>
      </c>
      <c r="J527">
        <v>999</v>
      </c>
      <c r="K527">
        <v>325</v>
      </c>
      <c r="L527">
        <f t="shared" si="158"/>
        <v>674</v>
      </c>
      <c r="M527">
        <v>240</v>
      </c>
      <c r="N527">
        <f t="shared" si="159"/>
        <v>434</v>
      </c>
    </row>
    <row r="528" spans="1:14" x14ac:dyDescent="0.2">
      <c r="A528" t="s">
        <v>896</v>
      </c>
      <c r="B528" s="1" t="s">
        <v>861</v>
      </c>
      <c r="C528" t="s">
        <v>14</v>
      </c>
      <c r="D528" t="s">
        <v>897</v>
      </c>
      <c r="E528">
        <v>2</v>
      </c>
      <c r="F528" t="s">
        <v>857</v>
      </c>
      <c r="G528">
        <v>2022</v>
      </c>
      <c r="H528" t="s">
        <v>898</v>
      </c>
      <c r="I528" t="s">
        <v>32</v>
      </c>
      <c r="J528">
        <v>799</v>
      </c>
      <c r="K528">
        <v>205</v>
      </c>
      <c r="L528">
        <f t="shared" si="158"/>
        <v>594</v>
      </c>
      <c r="M528">
        <v>240</v>
      </c>
      <c r="N528">
        <f t="shared" si="159"/>
        <v>354</v>
      </c>
    </row>
    <row r="529" spans="1:14" x14ac:dyDescent="0.2">
      <c r="A529" t="s">
        <v>899</v>
      </c>
      <c r="B529" s="1" t="s">
        <v>875</v>
      </c>
      <c r="C529" t="s">
        <v>14</v>
      </c>
      <c r="D529" t="s">
        <v>642</v>
      </c>
      <c r="E529">
        <v>3</v>
      </c>
      <c r="F529" t="s">
        <v>857</v>
      </c>
      <c r="G529">
        <v>2022</v>
      </c>
      <c r="H529" t="s">
        <v>827</v>
      </c>
      <c r="I529" t="s">
        <v>160</v>
      </c>
      <c r="J529">
        <v>1598</v>
      </c>
      <c r="K529">
        <v>365</v>
      </c>
      <c r="L529">
        <f t="shared" si="158"/>
        <v>1233</v>
      </c>
      <c r="M529">
        <v>240</v>
      </c>
      <c r="N529">
        <f t="shared" si="159"/>
        <v>993</v>
      </c>
    </row>
    <row r="530" spans="1:14" x14ac:dyDescent="0.2">
      <c r="A530" t="s">
        <v>900</v>
      </c>
      <c r="B530" s="1" t="s">
        <v>875</v>
      </c>
      <c r="C530" t="s">
        <v>14</v>
      </c>
      <c r="D530" t="s">
        <v>901</v>
      </c>
      <c r="E530">
        <v>3</v>
      </c>
      <c r="F530" t="s">
        <v>857</v>
      </c>
      <c r="G530">
        <v>2022</v>
      </c>
      <c r="H530" t="s">
        <v>902</v>
      </c>
      <c r="I530" t="s">
        <v>135</v>
      </c>
      <c r="J530">
        <v>799</v>
      </c>
      <c r="K530">
        <v>205</v>
      </c>
      <c r="L530">
        <f t="shared" si="158"/>
        <v>594</v>
      </c>
      <c r="M530">
        <v>240</v>
      </c>
      <c r="N530">
        <f t="shared" si="159"/>
        <v>354</v>
      </c>
    </row>
    <row r="531" spans="1:14" x14ac:dyDescent="0.2">
      <c r="A531" t="s">
        <v>903</v>
      </c>
      <c r="B531" s="1" t="s">
        <v>875</v>
      </c>
      <c r="C531" t="s">
        <v>14</v>
      </c>
      <c r="D531" t="s">
        <v>904</v>
      </c>
      <c r="E531">
        <v>3</v>
      </c>
      <c r="F531" t="s">
        <v>857</v>
      </c>
      <c r="G531">
        <v>2022</v>
      </c>
      <c r="H531" t="s">
        <v>905</v>
      </c>
      <c r="I531" t="s">
        <v>28</v>
      </c>
      <c r="J531">
        <v>799</v>
      </c>
      <c r="K531">
        <v>205</v>
      </c>
      <c r="L531">
        <f t="shared" si="158"/>
        <v>594</v>
      </c>
      <c r="M531">
        <v>240</v>
      </c>
      <c r="N531">
        <f t="shared" si="159"/>
        <v>354</v>
      </c>
    </row>
    <row r="532" spans="1:14" x14ac:dyDescent="0.2">
      <c r="A532" t="s">
        <v>906</v>
      </c>
      <c r="B532" s="1" t="s">
        <v>875</v>
      </c>
      <c r="C532" t="s">
        <v>14</v>
      </c>
      <c r="D532" t="s">
        <v>907</v>
      </c>
      <c r="E532">
        <v>3</v>
      </c>
      <c r="F532" t="s">
        <v>857</v>
      </c>
      <c r="G532">
        <v>2022</v>
      </c>
      <c r="H532" t="s">
        <v>246</v>
      </c>
      <c r="I532" t="s">
        <v>58</v>
      </c>
      <c r="J532">
        <v>849</v>
      </c>
      <c r="K532">
        <v>250</v>
      </c>
      <c r="L532">
        <f t="shared" si="158"/>
        <v>599</v>
      </c>
      <c r="M532">
        <v>240</v>
      </c>
      <c r="N532">
        <f t="shared" si="159"/>
        <v>359</v>
      </c>
    </row>
    <row r="533" spans="1:14" x14ac:dyDescent="0.2">
      <c r="A533" t="s">
        <v>908</v>
      </c>
      <c r="B533" s="1" t="s">
        <v>875</v>
      </c>
      <c r="C533" t="s">
        <v>14</v>
      </c>
      <c r="D533" t="s">
        <v>81</v>
      </c>
      <c r="E533">
        <v>3</v>
      </c>
      <c r="F533" t="s">
        <v>857</v>
      </c>
      <c r="G533">
        <v>2022</v>
      </c>
      <c r="H533" t="s">
        <v>170</v>
      </c>
      <c r="I533" t="s">
        <v>171</v>
      </c>
      <c r="J533">
        <v>849</v>
      </c>
      <c r="K533">
        <v>250</v>
      </c>
      <c r="L533">
        <f t="shared" si="158"/>
        <v>599</v>
      </c>
      <c r="M533">
        <v>240</v>
      </c>
      <c r="N533">
        <f t="shared" si="159"/>
        <v>359</v>
      </c>
    </row>
    <row r="534" spans="1:14" x14ac:dyDescent="0.2">
      <c r="A534" t="s">
        <v>909</v>
      </c>
      <c r="B534" s="1" t="s">
        <v>861</v>
      </c>
      <c r="C534" t="s">
        <v>14</v>
      </c>
      <c r="D534" t="s">
        <v>834</v>
      </c>
      <c r="E534">
        <v>2</v>
      </c>
      <c r="F534" t="s">
        <v>857</v>
      </c>
      <c r="G534">
        <v>2022</v>
      </c>
      <c r="H534" t="s">
        <v>910</v>
      </c>
      <c r="I534" t="s">
        <v>122</v>
      </c>
      <c r="J534">
        <v>849</v>
      </c>
      <c r="K534">
        <v>250</v>
      </c>
      <c r="L534">
        <f t="shared" si="158"/>
        <v>599</v>
      </c>
      <c r="M534">
        <v>240</v>
      </c>
      <c r="N534">
        <f t="shared" si="159"/>
        <v>359</v>
      </c>
    </row>
    <row r="535" spans="1:14" x14ac:dyDescent="0.2">
      <c r="A535" t="s">
        <v>876</v>
      </c>
      <c r="B535" s="1" t="s">
        <v>875</v>
      </c>
      <c r="C535" t="s">
        <v>14</v>
      </c>
      <c r="D535" t="s">
        <v>308</v>
      </c>
      <c r="E535">
        <v>3</v>
      </c>
      <c r="F535" t="s">
        <v>857</v>
      </c>
      <c r="G535">
        <v>2022</v>
      </c>
      <c r="H535" t="s">
        <v>84</v>
      </c>
      <c r="I535" t="s">
        <v>85</v>
      </c>
      <c r="J535">
        <v>999</v>
      </c>
      <c r="K535">
        <v>325</v>
      </c>
      <c r="L535">
        <f t="shared" si="158"/>
        <v>674</v>
      </c>
      <c r="M535">
        <v>240</v>
      </c>
      <c r="N535">
        <f t="shared" si="159"/>
        <v>434</v>
      </c>
    </row>
    <row r="536" spans="1:14" x14ac:dyDescent="0.2">
      <c r="A536" t="s">
        <v>909</v>
      </c>
      <c r="B536" s="1" t="s">
        <v>861</v>
      </c>
      <c r="C536" t="s">
        <v>14</v>
      </c>
      <c r="D536" t="s">
        <v>169</v>
      </c>
      <c r="E536">
        <v>2</v>
      </c>
      <c r="F536" t="s">
        <v>857</v>
      </c>
      <c r="G536">
        <v>2022</v>
      </c>
      <c r="H536" t="s">
        <v>910</v>
      </c>
      <c r="I536" t="s">
        <v>122</v>
      </c>
      <c r="J536">
        <v>799</v>
      </c>
      <c r="K536">
        <v>205</v>
      </c>
      <c r="L536">
        <f t="shared" si="158"/>
        <v>594</v>
      </c>
      <c r="M536">
        <v>240</v>
      </c>
      <c r="N536">
        <f t="shared" si="159"/>
        <v>354</v>
      </c>
    </row>
    <row r="537" spans="1:14" x14ac:dyDescent="0.2">
      <c r="A537" t="s">
        <v>911</v>
      </c>
      <c r="B537" s="1" t="s">
        <v>877</v>
      </c>
      <c r="C537" t="s">
        <v>20</v>
      </c>
      <c r="D537" t="s">
        <v>117</v>
      </c>
      <c r="E537">
        <v>4</v>
      </c>
      <c r="F537" t="s">
        <v>857</v>
      </c>
      <c r="G537">
        <v>2022</v>
      </c>
      <c r="H537" t="s">
        <v>235</v>
      </c>
      <c r="I537" t="s">
        <v>62</v>
      </c>
      <c r="J537">
        <v>0</v>
      </c>
      <c r="K537">
        <v>0</v>
      </c>
      <c r="L537">
        <v>0</v>
      </c>
      <c r="M537">
        <v>0</v>
      </c>
      <c r="N537">
        <v>0</v>
      </c>
    </row>
    <row r="538" spans="1:14" x14ac:dyDescent="0.2">
      <c r="A538" t="s">
        <v>912</v>
      </c>
      <c r="B538" s="1" t="s">
        <v>877</v>
      </c>
      <c r="C538" t="s">
        <v>14</v>
      </c>
      <c r="D538" t="s">
        <v>81</v>
      </c>
      <c r="E538">
        <v>4</v>
      </c>
      <c r="F538" t="s">
        <v>857</v>
      </c>
      <c r="G538">
        <v>2022</v>
      </c>
      <c r="H538" t="s">
        <v>913</v>
      </c>
      <c r="I538" t="s">
        <v>163</v>
      </c>
      <c r="J538">
        <v>849</v>
      </c>
      <c r="K538">
        <v>250</v>
      </c>
      <c r="L538">
        <f t="shared" ref="L538:L545" si="160">J538-K538</f>
        <v>599</v>
      </c>
      <c r="M538">
        <v>240</v>
      </c>
      <c r="N538">
        <f t="shared" ref="N538:N545" si="161">L538-M538</f>
        <v>359</v>
      </c>
    </row>
    <row r="539" spans="1:14" x14ac:dyDescent="0.2">
      <c r="A539" t="s">
        <v>914</v>
      </c>
      <c r="B539" s="1" t="s">
        <v>877</v>
      </c>
      <c r="C539" t="s">
        <v>14</v>
      </c>
      <c r="D539" t="s">
        <v>915</v>
      </c>
      <c r="E539">
        <v>4</v>
      </c>
      <c r="F539" t="s">
        <v>857</v>
      </c>
      <c r="G539">
        <v>2022</v>
      </c>
      <c r="H539" t="s">
        <v>916</v>
      </c>
      <c r="I539" t="s">
        <v>97</v>
      </c>
      <c r="J539">
        <v>799</v>
      </c>
      <c r="K539">
        <v>205</v>
      </c>
      <c r="L539">
        <f t="shared" si="160"/>
        <v>594</v>
      </c>
      <c r="M539">
        <v>240</v>
      </c>
      <c r="N539">
        <f t="shared" si="161"/>
        <v>354</v>
      </c>
    </row>
    <row r="540" spans="1:14" x14ac:dyDescent="0.2">
      <c r="A540" t="s">
        <v>918</v>
      </c>
      <c r="B540" s="1" t="s">
        <v>917</v>
      </c>
      <c r="C540" t="s">
        <v>14</v>
      </c>
      <c r="D540" t="s">
        <v>891</v>
      </c>
      <c r="E540">
        <v>5</v>
      </c>
      <c r="F540" t="s">
        <v>857</v>
      </c>
      <c r="G540">
        <v>2022</v>
      </c>
      <c r="H540" t="s">
        <v>919</v>
      </c>
      <c r="I540" t="s">
        <v>37</v>
      </c>
      <c r="J540">
        <v>849</v>
      </c>
      <c r="K540">
        <v>250</v>
      </c>
      <c r="L540">
        <f t="shared" si="160"/>
        <v>599</v>
      </c>
      <c r="M540">
        <v>240</v>
      </c>
      <c r="N540">
        <f t="shared" si="161"/>
        <v>359</v>
      </c>
    </row>
    <row r="541" spans="1:14" x14ac:dyDescent="0.2">
      <c r="A541" t="s">
        <v>920</v>
      </c>
      <c r="B541" s="1" t="s">
        <v>917</v>
      </c>
      <c r="C541" t="s">
        <v>14</v>
      </c>
      <c r="D541" t="s">
        <v>70</v>
      </c>
      <c r="E541">
        <v>5</v>
      </c>
      <c r="F541" t="s">
        <v>857</v>
      </c>
      <c r="G541">
        <v>2022</v>
      </c>
      <c r="H541" t="s">
        <v>921</v>
      </c>
      <c r="I541" t="s">
        <v>58</v>
      </c>
      <c r="J541">
        <v>849</v>
      </c>
      <c r="K541">
        <v>250</v>
      </c>
      <c r="L541">
        <f t="shared" si="160"/>
        <v>599</v>
      </c>
      <c r="M541">
        <v>240</v>
      </c>
      <c r="N541">
        <f t="shared" si="161"/>
        <v>359</v>
      </c>
    </row>
    <row r="542" spans="1:14" x14ac:dyDescent="0.2">
      <c r="A542" t="s">
        <v>922</v>
      </c>
      <c r="B542" s="1" t="s">
        <v>917</v>
      </c>
      <c r="C542" t="s">
        <v>14</v>
      </c>
      <c r="D542" t="s">
        <v>923</v>
      </c>
      <c r="E542">
        <v>5</v>
      </c>
      <c r="F542" t="s">
        <v>857</v>
      </c>
      <c r="G542">
        <v>2022</v>
      </c>
      <c r="H542" t="s">
        <v>924</v>
      </c>
      <c r="I542" t="s">
        <v>85</v>
      </c>
      <c r="J542">
        <v>849</v>
      </c>
      <c r="K542">
        <v>250</v>
      </c>
      <c r="L542">
        <f t="shared" si="160"/>
        <v>599</v>
      </c>
      <c r="M542">
        <v>240</v>
      </c>
      <c r="N542">
        <f t="shared" si="161"/>
        <v>359</v>
      </c>
    </row>
    <row r="543" spans="1:14" x14ac:dyDescent="0.2">
      <c r="A543" t="s">
        <v>925</v>
      </c>
      <c r="B543" s="1" t="s">
        <v>917</v>
      </c>
      <c r="C543" t="s">
        <v>14</v>
      </c>
      <c r="D543" t="s">
        <v>926</v>
      </c>
      <c r="E543">
        <v>5</v>
      </c>
      <c r="F543" t="s">
        <v>857</v>
      </c>
      <c r="G543">
        <v>2022</v>
      </c>
      <c r="H543" t="s">
        <v>157</v>
      </c>
      <c r="I543" t="s">
        <v>97</v>
      </c>
      <c r="J543">
        <v>799</v>
      </c>
      <c r="K543">
        <v>205</v>
      </c>
      <c r="L543">
        <f t="shared" si="160"/>
        <v>594</v>
      </c>
      <c r="M543">
        <v>240</v>
      </c>
      <c r="N543">
        <f t="shared" si="161"/>
        <v>354</v>
      </c>
    </row>
    <row r="544" spans="1:14" x14ac:dyDescent="0.2">
      <c r="A544" t="s">
        <v>927</v>
      </c>
      <c r="B544" s="1" t="s">
        <v>917</v>
      </c>
      <c r="C544" t="s">
        <v>14</v>
      </c>
      <c r="D544" t="s">
        <v>169</v>
      </c>
      <c r="E544">
        <v>5</v>
      </c>
      <c r="F544" t="s">
        <v>857</v>
      </c>
      <c r="G544">
        <v>2022</v>
      </c>
      <c r="H544" t="s">
        <v>157</v>
      </c>
      <c r="I544" t="s">
        <v>97</v>
      </c>
      <c r="J544">
        <v>799</v>
      </c>
      <c r="K544">
        <v>205</v>
      </c>
      <c r="L544">
        <f t="shared" si="160"/>
        <v>594</v>
      </c>
      <c r="M544">
        <v>240</v>
      </c>
      <c r="N544">
        <f t="shared" si="161"/>
        <v>354</v>
      </c>
    </row>
    <row r="545" spans="1:14" x14ac:dyDescent="0.2">
      <c r="A545" t="s">
        <v>928</v>
      </c>
      <c r="B545" s="1" t="s">
        <v>917</v>
      </c>
      <c r="C545" t="s">
        <v>14</v>
      </c>
      <c r="D545" t="s">
        <v>812</v>
      </c>
      <c r="E545">
        <v>5</v>
      </c>
      <c r="F545" t="s">
        <v>857</v>
      </c>
      <c r="G545">
        <v>2022</v>
      </c>
      <c r="H545" t="s">
        <v>929</v>
      </c>
      <c r="I545" t="s">
        <v>144</v>
      </c>
      <c r="J545">
        <v>999</v>
      </c>
      <c r="K545">
        <v>325</v>
      </c>
      <c r="L545">
        <f t="shared" si="160"/>
        <v>674</v>
      </c>
      <c r="M545">
        <v>240</v>
      </c>
      <c r="N545">
        <f t="shared" si="161"/>
        <v>434</v>
      </c>
    </row>
    <row r="546" spans="1:14" x14ac:dyDescent="0.2">
      <c r="A546" t="s">
        <v>931</v>
      </c>
      <c r="B546" s="1" t="s">
        <v>930</v>
      </c>
      <c r="C546" t="s">
        <v>43</v>
      </c>
      <c r="D546" t="s">
        <v>81</v>
      </c>
      <c r="E546">
        <v>6</v>
      </c>
      <c r="F546" t="s">
        <v>857</v>
      </c>
      <c r="G546">
        <v>2022</v>
      </c>
      <c r="H546" t="s">
        <v>170</v>
      </c>
      <c r="I546" t="s">
        <v>171</v>
      </c>
      <c r="J546">
        <v>0</v>
      </c>
      <c r="K546">
        <v>0</v>
      </c>
      <c r="L546">
        <v>0</v>
      </c>
      <c r="M546">
        <v>0</v>
      </c>
      <c r="N546">
        <v>0</v>
      </c>
    </row>
    <row r="547" spans="1:14" x14ac:dyDescent="0.2">
      <c r="A547" t="s">
        <v>933</v>
      </c>
      <c r="B547" s="1" t="s">
        <v>932</v>
      </c>
      <c r="C547" t="s">
        <v>43</v>
      </c>
      <c r="D547" t="s">
        <v>891</v>
      </c>
      <c r="E547">
        <v>7</v>
      </c>
      <c r="F547" t="s">
        <v>857</v>
      </c>
      <c r="G547">
        <v>2022</v>
      </c>
      <c r="H547" t="s">
        <v>934</v>
      </c>
      <c r="I547" t="s">
        <v>163</v>
      </c>
      <c r="J547">
        <v>0</v>
      </c>
      <c r="K547">
        <v>0</v>
      </c>
      <c r="L547">
        <v>0</v>
      </c>
      <c r="M547">
        <v>0</v>
      </c>
      <c r="N547">
        <v>0</v>
      </c>
    </row>
    <row r="548" spans="1:14" x14ac:dyDescent="0.2">
      <c r="A548" t="s">
        <v>935</v>
      </c>
      <c r="B548" s="1" t="s">
        <v>930</v>
      </c>
      <c r="C548" t="s">
        <v>14</v>
      </c>
      <c r="D548" t="s">
        <v>895</v>
      </c>
      <c r="E548">
        <v>6</v>
      </c>
      <c r="F548" t="s">
        <v>857</v>
      </c>
      <c r="G548">
        <v>2022</v>
      </c>
      <c r="H548" t="s">
        <v>359</v>
      </c>
      <c r="I548" t="s">
        <v>85</v>
      </c>
      <c r="J548">
        <v>849</v>
      </c>
      <c r="K548">
        <v>250</v>
      </c>
      <c r="L548">
        <f t="shared" ref="L548:L555" si="162">J548-K548</f>
        <v>599</v>
      </c>
      <c r="M548">
        <v>240</v>
      </c>
      <c r="N548">
        <f t="shared" ref="N548:N555" si="163">L548-M548</f>
        <v>359</v>
      </c>
    </row>
    <row r="549" spans="1:14" x14ac:dyDescent="0.2">
      <c r="A549" t="s">
        <v>936</v>
      </c>
      <c r="B549" s="1" t="s">
        <v>930</v>
      </c>
      <c r="C549" t="s">
        <v>14</v>
      </c>
      <c r="D549" t="s">
        <v>81</v>
      </c>
      <c r="E549">
        <v>6</v>
      </c>
      <c r="F549" t="s">
        <v>857</v>
      </c>
      <c r="G549">
        <v>2022</v>
      </c>
      <c r="H549" t="s">
        <v>235</v>
      </c>
      <c r="I549" t="s">
        <v>62</v>
      </c>
      <c r="J549">
        <v>849</v>
      </c>
      <c r="K549">
        <v>250</v>
      </c>
      <c r="L549">
        <f t="shared" si="162"/>
        <v>599</v>
      </c>
      <c r="M549">
        <v>240</v>
      </c>
      <c r="N549">
        <f t="shared" si="163"/>
        <v>359</v>
      </c>
    </row>
    <row r="550" spans="1:14" x14ac:dyDescent="0.2">
      <c r="A550" t="s">
        <v>937</v>
      </c>
      <c r="B550" s="1" t="s">
        <v>930</v>
      </c>
      <c r="C550" t="s">
        <v>14</v>
      </c>
      <c r="D550" t="s">
        <v>81</v>
      </c>
      <c r="E550">
        <v>6</v>
      </c>
      <c r="F550" t="s">
        <v>857</v>
      </c>
      <c r="G550">
        <v>2022</v>
      </c>
      <c r="H550" t="s">
        <v>938</v>
      </c>
      <c r="I550" t="s">
        <v>85</v>
      </c>
      <c r="J550">
        <v>849</v>
      </c>
      <c r="K550">
        <v>250</v>
      </c>
      <c r="L550">
        <f t="shared" si="162"/>
        <v>599</v>
      </c>
      <c r="M550">
        <v>240</v>
      </c>
      <c r="N550">
        <f t="shared" si="163"/>
        <v>359</v>
      </c>
    </row>
    <row r="551" spans="1:14" x14ac:dyDescent="0.2">
      <c r="A551" t="s">
        <v>939</v>
      </c>
      <c r="B551" s="1" t="s">
        <v>930</v>
      </c>
      <c r="C551" t="s">
        <v>14</v>
      </c>
      <c r="D551" t="s">
        <v>940</v>
      </c>
      <c r="E551">
        <v>6</v>
      </c>
      <c r="F551" t="s">
        <v>857</v>
      </c>
      <c r="G551">
        <v>2022</v>
      </c>
      <c r="H551" t="s">
        <v>170</v>
      </c>
      <c r="I551" t="s">
        <v>171</v>
      </c>
      <c r="J551">
        <v>799</v>
      </c>
      <c r="K551">
        <v>205</v>
      </c>
      <c r="L551">
        <f t="shared" si="162"/>
        <v>594</v>
      </c>
      <c r="M551">
        <v>240</v>
      </c>
      <c r="N551">
        <f t="shared" si="163"/>
        <v>354</v>
      </c>
    </row>
    <row r="552" spans="1:14" x14ac:dyDescent="0.2">
      <c r="A552" t="s">
        <v>941</v>
      </c>
      <c r="B552" s="1" t="s">
        <v>932</v>
      </c>
      <c r="C552" t="s">
        <v>14</v>
      </c>
      <c r="D552" t="s">
        <v>942</v>
      </c>
      <c r="E552">
        <v>7</v>
      </c>
      <c r="F552" t="s">
        <v>857</v>
      </c>
      <c r="G552">
        <v>2022</v>
      </c>
      <c r="H552" t="s">
        <v>943</v>
      </c>
      <c r="I552" t="s">
        <v>58</v>
      </c>
      <c r="J552">
        <v>799</v>
      </c>
      <c r="K552">
        <v>205</v>
      </c>
      <c r="L552">
        <f t="shared" si="162"/>
        <v>594</v>
      </c>
      <c r="M552">
        <v>240</v>
      </c>
      <c r="N552">
        <f t="shared" si="163"/>
        <v>354</v>
      </c>
    </row>
    <row r="553" spans="1:14" x14ac:dyDescent="0.2">
      <c r="A553" t="s">
        <v>944</v>
      </c>
      <c r="B553" s="1" t="s">
        <v>932</v>
      </c>
      <c r="C553" t="s">
        <v>14</v>
      </c>
      <c r="D553" t="s">
        <v>893</v>
      </c>
      <c r="E553">
        <v>7</v>
      </c>
      <c r="F553" t="s">
        <v>857</v>
      </c>
      <c r="G553">
        <v>2022</v>
      </c>
      <c r="H553" t="s">
        <v>945</v>
      </c>
      <c r="I553" t="s">
        <v>85</v>
      </c>
      <c r="J553">
        <v>849</v>
      </c>
      <c r="K553">
        <v>250</v>
      </c>
      <c r="L553">
        <f t="shared" si="162"/>
        <v>599</v>
      </c>
      <c r="M553">
        <v>240</v>
      </c>
      <c r="N553">
        <f t="shared" si="163"/>
        <v>359</v>
      </c>
    </row>
    <row r="554" spans="1:14" x14ac:dyDescent="0.2">
      <c r="A554" t="s">
        <v>947</v>
      </c>
      <c r="B554" s="1" t="s">
        <v>946</v>
      </c>
      <c r="C554" t="s">
        <v>14</v>
      </c>
      <c r="D554" t="s">
        <v>895</v>
      </c>
      <c r="E554">
        <v>9</v>
      </c>
      <c r="F554" t="s">
        <v>857</v>
      </c>
      <c r="G554">
        <v>2022</v>
      </c>
      <c r="H554" t="s">
        <v>170</v>
      </c>
      <c r="I554" t="s">
        <v>171</v>
      </c>
      <c r="J554">
        <v>849</v>
      </c>
      <c r="K554">
        <v>250</v>
      </c>
      <c r="L554">
        <f t="shared" si="162"/>
        <v>599</v>
      </c>
      <c r="M554">
        <v>240</v>
      </c>
      <c r="N554">
        <f t="shared" si="163"/>
        <v>359</v>
      </c>
    </row>
    <row r="555" spans="1:14" x14ac:dyDescent="0.2">
      <c r="A555" t="s">
        <v>949</v>
      </c>
      <c r="B555" s="1" t="s">
        <v>948</v>
      </c>
      <c r="C555" t="s">
        <v>14</v>
      </c>
      <c r="D555" t="s">
        <v>891</v>
      </c>
      <c r="E555">
        <v>8</v>
      </c>
      <c r="F555" t="s">
        <v>857</v>
      </c>
      <c r="G555">
        <v>2022</v>
      </c>
      <c r="H555" t="s">
        <v>246</v>
      </c>
      <c r="I555" t="s">
        <v>58</v>
      </c>
      <c r="J555">
        <v>849</v>
      </c>
      <c r="K555">
        <v>250</v>
      </c>
      <c r="L555">
        <f t="shared" si="162"/>
        <v>599</v>
      </c>
      <c r="M555">
        <v>240</v>
      </c>
      <c r="N555">
        <f t="shared" si="163"/>
        <v>359</v>
      </c>
    </row>
    <row r="556" spans="1:14" x14ac:dyDescent="0.2">
      <c r="A556" t="s">
        <v>951</v>
      </c>
      <c r="B556" s="1" t="s">
        <v>950</v>
      </c>
      <c r="C556" t="s">
        <v>43</v>
      </c>
      <c r="D556" t="s">
        <v>834</v>
      </c>
      <c r="E556">
        <v>10</v>
      </c>
      <c r="F556" t="s">
        <v>857</v>
      </c>
      <c r="G556">
        <v>2022</v>
      </c>
      <c r="H556" t="s">
        <v>952</v>
      </c>
      <c r="I556" t="s">
        <v>62</v>
      </c>
      <c r="J556">
        <v>0</v>
      </c>
      <c r="K556">
        <v>0</v>
      </c>
      <c r="L556">
        <v>0</v>
      </c>
      <c r="M556">
        <v>0</v>
      </c>
      <c r="N556">
        <v>0</v>
      </c>
    </row>
    <row r="557" spans="1:14" x14ac:dyDescent="0.2">
      <c r="A557" t="s">
        <v>908</v>
      </c>
      <c r="B557" s="1" t="s">
        <v>875</v>
      </c>
      <c r="C557" t="s">
        <v>106</v>
      </c>
      <c r="D557" t="s">
        <v>81</v>
      </c>
      <c r="E557">
        <v>3</v>
      </c>
      <c r="F557" t="s">
        <v>857</v>
      </c>
      <c r="G557">
        <v>2022</v>
      </c>
      <c r="H557" t="s">
        <v>170</v>
      </c>
      <c r="I557" t="s">
        <v>171</v>
      </c>
      <c r="J557">
        <v>-849</v>
      </c>
      <c r="K557">
        <v>345</v>
      </c>
      <c r="L557">
        <f t="shared" ref="L557:L559" si="164">J557+K557</f>
        <v>-504</v>
      </c>
      <c r="M557">
        <v>240</v>
      </c>
      <c r="N557">
        <f t="shared" ref="N557:N559" si="165">L557+M557</f>
        <v>-264</v>
      </c>
    </row>
    <row r="558" spans="1:14" x14ac:dyDescent="0.2">
      <c r="A558" t="s">
        <v>944</v>
      </c>
      <c r="B558" s="1" t="s">
        <v>932</v>
      </c>
      <c r="C558" t="s">
        <v>106</v>
      </c>
      <c r="D558" t="s">
        <v>893</v>
      </c>
      <c r="E558">
        <v>7</v>
      </c>
      <c r="F558" t="s">
        <v>857</v>
      </c>
      <c r="G558">
        <v>2022</v>
      </c>
      <c r="H558" t="s">
        <v>945</v>
      </c>
      <c r="I558" t="s">
        <v>85</v>
      </c>
      <c r="J558">
        <v>-849</v>
      </c>
      <c r="K558">
        <v>345</v>
      </c>
      <c r="L558">
        <f t="shared" si="164"/>
        <v>-504</v>
      </c>
      <c r="M558">
        <v>240</v>
      </c>
      <c r="N558">
        <f t="shared" si="165"/>
        <v>-264</v>
      </c>
    </row>
    <row r="559" spans="1:14" x14ac:dyDescent="0.2">
      <c r="A559" t="s">
        <v>858</v>
      </c>
      <c r="B559" s="1" t="s">
        <v>855</v>
      </c>
      <c r="C559" t="s">
        <v>106</v>
      </c>
      <c r="D559" t="s">
        <v>81</v>
      </c>
      <c r="E559">
        <v>1</v>
      </c>
      <c r="F559" t="s">
        <v>857</v>
      </c>
      <c r="G559">
        <v>2022</v>
      </c>
      <c r="H559" t="s">
        <v>157</v>
      </c>
      <c r="I559" t="s">
        <v>97</v>
      </c>
      <c r="J559">
        <v>-849</v>
      </c>
      <c r="K559">
        <v>345</v>
      </c>
      <c r="L559">
        <f t="shared" si="164"/>
        <v>-504</v>
      </c>
      <c r="M559">
        <v>240</v>
      </c>
      <c r="N559">
        <f t="shared" si="165"/>
        <v>-264</v>
      </c>
    </row>
    <row r="560" spans="1:14" x14ac:dyDescent="0.2">
      <c r="A560" t="s">
        <v>953</v>
      </c>
      <c r="B560" s="1" t="s">
        <v>946</v>
      </c>
      <c r="C560" t="s">
        <v>14</v>
      </c>
      <c r="D560" t="s">
        <v>954</v>
      </c>
      <c r="E560">
        <v>9</v>
      </c>
      <c r="F560" t="s">
        <v>857</v>
      </c>
      <c r="G560">
        <v>2022</v>
      </c>
      <c r="H560" t="s">
        <v>223</v>
      </c>
      <c r="I560" t="s">
        <v>32</v>
      </c>
      <c r="J560">
        <v>799</v>
      </c>
      <c r="K560">
        <v>205</v>
      </c>
      <c r="L560">
        <f t="shared" ref="L560:L569" si="166">J560-K560</f>
        <v>594</v>
      </c>
      <c r="M560">
        <v>240</v>
      </c>
      <c r="N560">
        <f t="shared" ref="N560:N569" si="167">L560-M560</f>
        <v>354</v>
      </c>
    </row>
    <row r="561" spans="1:14" x14ac:dyDescent="0.2">
      <c r="A561" t="s">
        <v>955</v>
      </c>
      <c r="B561" s="1" t="s">
        <v>950</v>
      </c>
      <c r="C561" t="s">
        <v>14</v>
      </c>
      <c r="D561" t="s">
        <v>895</v>
      </c>
      <c r="E561">
        <v>10</v>
      </c>
      <c r="F561" t="s">
        <v>857</v>
      </c>
      <c r="G561">
        <v>2022</v>
      </c>
      <c r="H561" t="s">
        <v>101</v>
      </c>
      <c r="I561" t="s">
        <v>62</v>
      </c>
      <c r="J561">
        <v>849</v>
      </c>
      <c r="K561">
        <v>250</v>
      </c>
      <c r="L561">
        <f t="shared" si="166"/>
        <v>599</v>
      </c>
      <c r="M561">
        <v>240</v>
      </c>
      <c r="N561">
        <f t="shared" si="167"/>
        <v>359</v>
      </c>
    </row>
    <row r="562" spans="1:14" x14ac:dyDescent="0.2">
      <c r="A562" t="s">
        <v>956</v>
      </c>
      <c r="B562" s="1" t="s">
        <v>950</v>
      </c>
      <c r="C562" t="s">
        <v>14</v>
      </c>
      <c r="D562" t="s">
        <v>957</v>
      </c>
      <c r="E562">
        <v>10</v>
      </c>
      <c r="F562" t="s">
        <v>857</v>
      </c>
      <c r="G562">
        <v>2022</v>
      </c>
      <c r="H562" t="s">
        <v>215</v>
      </c>
      <c r="I562" t="s">
        <v>135</v>
      </c>
      <c r="J562">
        <v>799</v>
      </c>
      <c r="K562">
        <v>205</v>
      </c>
      <c r="L562">
        <f t="shared" si="166"/>
        <v>594</v>
      </c>
      <c r="M562">
        <v>240</v>
      </c>
      <c r="N562">
        <f t="shared" si="167"/>
        <v>354</v>
      </c>
    </row>
    <row r="563" spans="1:14" x14ac:dyDescent="0.2">
      <c r="A563" t="s">
        <v>958</v>
      </c>
      <c r="B563" s="1" t="s">
        <v>946</v>
      </c>
      <c r="C563" t="s">
        <v>14</v>
      </c>
      <c r="D563" t="s">
        <v>169</v>
      </c>
      <c r="E563">
        <v>9</v>
      </c>
      <c r="F563" t="s">
        <v>857</v>
      </c>
      <c r="G563">
        <v>2022</v>
      </c>
      <c r="H563" t="s">
        <v>104</v>
      </c>
      <c r="I563" t="s">
        <v>62</v>
      </c>
      <c r="J563">
        <v>799</v>
      </c>
      <c r="K563">
        <v>205</v>
      </c>
      <c r="L563">
        <f t="shared" si="166"/>
        <v>594</v>
      </c>
      <c r="M563">
        <v>240</v>
      </c>
      <c r="N563">
        <f t="shared" si="167"/>
        <v>354</v>
      </c>
    </row>
    <row r="564" spans="1:14" x14ac:dyDescent="0.2">
      <c r="A564" t="s">
        <v>959</v>
      </c>
      <c r="B564" s="1" t="s">
        <v>946</v>
      </c>
      <c r="C564" t="s">
        <v>14</v>
      </c>
      <c r="D564" t="s">
        <v>895</v>
      </c>
      <c r="E564">
        <v>9</v>
      </c>
      <c r="F564" t="s">
        <v>857</v>
      </c>
      <c r="G564">
        <v>2022</v>
      </c>
      <c r="H564" t="s">
        <v>960</v>
      </c>
      <c r="I564" t="s">
        <v>23</v>
      </c>
      <c r="J564">
        <v>849</v>
      </c>
      <c r="K564">
        <v>250</v>
      </c>
      <c r="L564">
        <f t="shared" si="166"/>
        <v>599</v>
      </c>
      <c r="M564">
        <v>240</v>
      </c>
      <c r="N564">
        <f t="shared" si="167"/>
        <v>359</v>
      </c>
    </row>
    <row r="565" spans="1:14" x14ac:dyDescent="0.2">
      <c r="A565" t="s">
        <v>961</v>
      </c>
      <c r="B565" s="1" t="s">
        <v>946</v>
      </c>
      <c r="C565" t="s">
        <v>14</v>
      </c>
      <c r="D565" t="s">
        <v>840</v>
      </c>
      <c r="E565">
        <v>9</v>
      </c>
      <c r="F565" t="s">
        <v>857</v>
      </c>
      <c r="G565">
        <v>2022</v>
      </c>
      <c r="H565" t="s">
        <v>962</v>
      </c>
      <c r="I565" t="s">
        <v>62</v>
      </c>
      <c r="J565">
        <v>999</v>
      </c>
      <c r="K565">
        <v>325</v>
      </c>
      <c r="L565">
        <f t="shared" si="166"/>
        <v>674</v>
      </c>
      <c r="M565">
        <v>240</v>
      </c>
      <c r="N565">
        <f t="shared" si="167"/>
        <v>434</v>
      </c>
    </row>
    <row r="566" spans="1:14" x14ac:dyDescent="0.2">
      <c r="A566" t="s">
        <v>964</v>
      </c>
      <c r="B566" s="1" t="s">
        <v>963</v>
      </c>
      <c r="C566" t="s">
        <v>14</v>
      </c>
      <c r="D566" t="s">
        <v>504</v>
      </c>
      <c r="E566">
        <v>11</v>
      </c>
      <c r="F566" t="s">
        <v>857</v>
      </c>
      <c r="G566">
        <v>2022</v>
      </c>
      <c r="H566" t="s">
        <v>965</v>
      </c>
      <c r="I566" t="s">
        <v>122</v>
      </c>
      <c r="J566">
        <v>999</v>
      </c>
      <c r="K566">
        <v>325</v>
      </c>
      <c r="L566">
        <f t="shared" si="166"/>
        <v>674</v>
      </c>
      <c r="M566">
        <v>240</v>
      </c>
      <c r="N566">
        <f t="shared" si="167"/>
        <v>434</v>
      </c>
    </row>
    <row r="567" spans="1:14" x14ac:dyDescent="0.2">
      <c r="A567" t="s">
        <v>966</v>
      </c>
      <c r="B567" s="1" t="s">
        <v>963</v>
      </c>
      <c r="C567" t="s">
        <v>14</v>
      </c>
      <c r="D567" t="s">
        <v>967</v>
      </c>
      <c r="E567">
        <v>11</v>
      </c>
      <c r="F567" t="s">
        <v>857</v>
      </c>
      <c r="G567">
        <v>2022</v>
      </c>
      <c r="H567" t="s">
        <v>246</v>
      </c>
      <c r="I567" t="s">
        <v>58</v>
      </c>
      <c r="J567">
        <v>799</v>
      </c>
      <c r="K567">
        <v>205</v>
      </c>
      <c r="L567">
        <f t="shared" si="166"/>
        <v>594</v>
      </c>
      <c r="M567">
        <v>240</v>
      </c>
      <c r="N567">
        <f t="shared" si="167"/>
        <v>354</v>
      </c>
    </row>
    <row r="568" spans="1:14" x14ac:dyDescent="0.2">
      <c r="A568" t="s">
        <v>951</v>
      </c>
      <c r="B568" s="1" t="s">
        <v>950</v>
      </c>
      <c r="C568" t="s">
        <v>14</v>
      </c>
      <c r="D568" t="s">
        <v>834</v>
      </c>
      <c r="E568">
        <v>10</v>
      </c>
      <c r="F568" t="s">
        <v>857</v>
      </c>
      <c r="G568">
        <v>2022</v>
      </c>
      <c r="H568" t="s">
        <v>952</v>
      </c>
      <c r="I568" t="s">
        <v>62</v>
      </c>
      <c r="J568">
        <v>849</v>
      </c>
      <c r="K568">
        <v>250</v>
      </c>
      <c r="L568">
        <f t="shared" si="166"/>
        <v>599</v>
      </c>
      <c r="M568">
        <v>240</v>
      </c>
      <c r="N568">
        <f t="shared" si="167"/>
        <v>359</v>
      </c>
    </row>
    <row r="569" spans="1:14" x14ac:dyDescent="0.2">
      <c r="A569" t="s">
        <v>968</v>
      </c>
      <c r="B569" s="1" t="s">
        <v>950</v>
      </c>
      <c r="C569" t="s">
        <v>14</v>
      </c>
      <c r="D569" t="s">
        <v>380</v>
      </c>
      <c r="E569">
        <v>10</v>
      </c>
      <c r="F569" t="s">
        <v>857</v>
      </c>
      <c r="G569">
        <v>2022</v>
      </c>
      <c r="H569" t="s">
        <v>969</v>
      </c>
      <c r="I569" t="s">
        <v>58</v>
      </c>
      <c r="J569">
        <v>849</v>
      </c>
      <c r="K569">
        <v>250</v>
      </c>
      <c r="L569">
        <f t="shared" si="166"/>
        <v>599</v>
      </c>
      <c r="M569">
        <v>240</v>
      </c>
      <c r="N569">
        <f t="shared" si="167"/>
        <v>359</v>
      </c>
    </row>
    <row r="570" spans="1:14" x14ac:dyDescent="0.2">
      <c r="A570" t="s">
        <v>920</v>
      </c>
      <c r="B570" s="1" t="s">
        <v>917</v>
      </c>
      <c r="C570" t="s">
        <v>106</v>
      </c>
      <c r="D570" t="s">
        <v>70</v>
      </c>
      <c r="E570">
        <v>5</v>
      </c>
      <c r="F570" t="s">
        <v>857</v>
      </c>
      <c r="G570">
        <v>2022</v>
      </c>
      <c r="H570" t="s">
        <v>921</v>
      </c>
      <c r="I570" t="s">
        <v>58</v>
      </c>
      <c r="J570">
        <v>-849</v>
      </c>
      <c r="K570">
        <v>345</v>
      </c>
      <c r="L570">
        <f t="shared" ref="L570:L572" si="168">J570+K570</f>
        <v>-504</v>
      </c>
      <c r="M570">
        <v>240</v>
      </c>
      <c r="N570">
        <f t="shared" ref="N570:N572" si="169">L570+M570</f>
        <v>-264</v>
      </c>
    </row>
    <row r="571" spans="1:14" x14ac:dyDescent="0.2">
      <c r="A571" t="s">
        <v>958</v>
      </c>
      <c r="B571" s="1" t="s">
        <v>946</v>
      </c>
      <c r="C571" t="s">
        <v>106</v>
      </c>
      <c r="D571" t="s">
        <v>169</v>
      </c>
      <c r="E571">
        <v>9</v>
      </c>
      <c r="F571" t="s">
        <v>857</v>
      </c>
      <c r="G571">
        <v>2022</v>
      </c>
      <c r="H571" t="s">
        <v>104</v>
      </c>
      <c r="I571" t="s">
        <v>62</v>
      </c>
      <c r="J571">
        <v>-799</v>
      </c>
      <c r="K571">
        <v>320</v>
      </c>
      <c r="L571">
        <f t="shared" si="168"/>
        <v>-479</v>
      </c>
      <c r="M571">
        <v>240</v>
      </c>
      <c r="N571">
        <f t="shared" si="169"/>
        <v>-239</v>
      </c>
    </row>
    <row r="572" spans="1:14" x14ac:dyDescent="0.2">
      <c r="A572" t="s">
        <v>880</v>
      </c>
      <c r="B572" s="1" t="s">
        <v>875</v>
      </c>
      <c r="C572" t="s">
        <v>106</v>
      </c>
      <c r="D572" t="s">
        <v>881</v>
      </c>
      <c r="E572">
        <v>3</v>
      </c>
      <c r="F572" t="s">
        <v>857</v>
      </c>
      <c r="G572">
        <v>2022</v>
      </c>
      <c r="H572" t="s">
        <v>882</v>
      </c>
      <c r="I572" t="s">
        <v>883</v>
      </c>
      <c r="J572">
        <v>-799</v>
      </c>
      <c r="K572">
        <v>320</v>
      </c>
      <c r="L572">
        <f t="shared" si="168"/>
        <v>-479</v>
      </c>
      <c r="M572">
        <v>240</v>
      </c>
      <c r="N572">
        <f t="shared" si="169"/>
        <v>-239</v>
      </c>
    </row>
    <row r="573" spans="1:14" x14ac:dyDescent="0.2">
      <c r="A573" t="s">
        <v>971</v>
      </c>
      <c r="B573" s="1" t="s">
        <v>970</v>
      </c>
      <c r="C573" t="s">
        <v>43</v>
      </c>
      <c r="D573" t="s">
        <v>81</v>
      </c>
      <c r="E573">
        <v>12</v>
      </c>
      <c r="F573" t="s">
        <v>857</v>
      </c>
      <c r="G573">
        <v>2022</v>
      </c>
      <c r="H573" t="s">
        <v>157</v>
      </c>
      <c r="I573" t="s">
        <v>97</v>
      </c>
      <c r="J573">
        <v>0</v>
      </c>
      <c r="K573">
        <v>0</v>
      </c>
      <c r="L573">
        <v>0</v>
      </c>
      <c r="M573">
        <v>0</v>
      </c>
      <c r="N573">
        <v>0</v>
      </c>
    </row>
    <row r="574" spans="1:14" x14ac:dyDescent="0.2">
      <c r="A574" t="s">
        <v>936</v>
      </c>
      <c r="B574" s="1" t="s">
        <v>930</v>
      </c>
      <c r="C574" t="s">
        <v>106</v>
      </c>
      <c r="D574" t="s">
        <v>81</v>
      </c>
      <c r="E574">
        <v>6</v>
      </c>
      <c r="F574" t="s">
        <v>857</v>
      </c>
      <c r="G574">
        <v>2022</v>
      </c>
      <c r="H574" t="s">
        <v>235</v>
      </c>
      <c r="I574" t="s">
        <v>62</v>
      </c>
      <c r="J574">
        <v>-849</v>
      </c>
      <c r="K574">
        <v>345</v>
      </c>
      <c r="L574">
        <f>J574+K574</f>
        <v>-504</v>
      </c>
      <c r="M574">
        <v>240</v>
      </c>
      <c r="N574">
        <f>L574+M574</f>
        <v>-264</v>
      </c>
    </row>
    <row r="575" spans="1:14" x14ac:dyDescent="0.2">
      <c r="A575" t="s">
        <v>972</v>
      </c>
      <c r="B575" s="1" t="s">
        <v>970</v>
      </c>
      <c r="C575" t="s">
        <v>14</v>
      </c>
      <c r="D575" t="s">
        <v>548</v>
      </c>
      <c r="E575">
        <v>12</v>
      </c>
      <c r="F575" t="s">
        <v>857</v>
      </c>
      <c r="G575">
        <v>2022</v>
      </c>
      <c r="H575" t="s">
        <v>246</v>
      </c>
      <c r="I575" t="s">
        <v>58</v>
      </c>
      <c r="J575">
        <v>999</v>
      </c>
      <c r="K575">
        <v>325</v>
      </c>
      <c r="L575">
        <f t="shared" ref="L575:L577" si="170">J575-K575</f>
        <v>674</v>
      </c>
      <c r="M575">
        <v>240</v>
      </c>
      <c r="N575">
        <f t="shared" ref="N575:N577" si="171">L575-M575</f>
        <v>434</v>
      </c>
    </row>
    <row r="576" spans="1:14" x14ac:dyDescent="0.2">
      <c r="A576" t="s">
        <v>973</v>
      </c>
      <c r="B576" s="1" t="s">
        <v>963</v>
      </c>
      <c r="C576" t="s">
        <v>14</v>
      </c>
      <c r="D576" t="s">
        <v>448</v>
      </c>
      <c r="E576">
        <v>11</v>
      </c>
      <c r="F576" t="s">
        <v>857</v>
      </c>
      <c r="G576">
        <v>2022</v>
      </c>
      <c r="H576" t="s">
        <v>246</v>
      </c>
      <c r="I576" t="s">
        <v>58</v>
      </c>
      <c r="J576">
        <v>999</v>
      </c>
      <c r="K576">
        <v>325</v>
      </c>
      <c r="L576">
        <f t="shared" si="170"/>
        <v>674</v>
      </c>
      <c r="M576">
        <v>240</v>
      </c>
      <c r="N576">
        <f t="shared" si="171"/>
        <v>434</v>
      </c>
    </row>
    <row r="577" spans="1:14" x14ac:dyDescent="0.2">
      <c r="A577" t="s">
        <v>974</v>
      </c>
      <c r="B577" s="1" t="s">
        <v>963</v>
      </c>
      <c r="C577" t="s">
        <v>14</v>
      </c>
      <c r="D577" t="s">
        <v>975</v>
      </c>
      <c r="E577">
        <v>11</v>
      </c>
      <c r="F577" t="s">
        <v>857</v>
      </c>
      <c r="G577">
        <v>2022</v>
      </c>
      <c r="H577" t="s">
        <v>157</v>
      </c>
      <c r="I577" t="s">
        <v>97</v>
      </c>
      <c r="J577">
        <v>799</v>
      </c>
      <c r="K577">
        <v>205</v>
      </c>
      <c r="L577">
        <f t="shared" si="170"/>
        <v>594</v>
      </c>
      <c r="M577">
        <v>240</v>
      </c>
      <c r="N577">
        <f t="shared" si="171"/>
        <v>354</v>
      </c>
    </row>
    <row r="578" spans="1:14" x14ac:dyDescent="0.2">
      <c r="A578" t="s">
        <v>928</v>
      </c>
      <c r="B578" s="1" t="s">
        <v>917</v>
      </c>
      <c r="C578" t="s">
        <v>106</v>
      </c>
      <c r="D578" t="s">
        <v>812</v>
      </c>
      <c r="E578">
        <v>5</v>
      </c>
      <c r="F578" t="s">
        <v>857</v>
      </c>
      <c r="G578">
        <v>2022</v>
      </c>
      <c r="H578" t="s">
        <v>929</v>
      </c>
      <c r="I578" t="s">
        <v>144</v>
      </c>
      <c r="J578">
        <v>-999</v>
      </c>
      <c r="K578">
        <v>395</v>
      </c>
      <c r="L578">
        <f>J578+K578</f>
        <v>-604</v>
      </c>
      <c r="M578">
        <v>240</v>
      </c>
      <c r="N578">
        <f>L578+M578</f>
        <v>-364</v>
      </c>
    </row>
    <row r="579" spans="1:14" x14ac:dyDescent="0.2">
      <c r="A579" t="s">
        <v>976</v>
      </c>
      <c r="B579" s="1" t="s">
        <v>970</v>
      </c>
      <c r="C579" t="s">
        <v>14</v>
      </c>
      <c r="D579" t="s">
        <v>977</v>
      </c>
      <c r="E579">
        <v>12</v>
      </c>
      <c r="F579" t="s">
        <v>857</v>
      </c>
      <c r="G579">
        <v>2022</v>
      </c>
      <c r="H579" t="s">
        <v>978</v>
      </c>
      <c r="I579" t="s">
        <v>122</v>
      </c>
      <c r="J579">
        <v>799</v>
      </c>
      <c r="K579">
        <v>205</v>
      </c>
      <c r="L579">
        <f t="shared" ref="L579:L584" si="172">J579-K579</f>
        <v>594</v>
      </c>
      <c r="M579">
        <v>240</v>
      </c>
      <c r="N579">
        <f t="shared" ref="N579:N584" si="173">L579-M579</f>
        <v>354</v>
      </c>
    </row>
    <row r="580" spans="1:14" x14ac:dyDescent="0.2">
      <c r="A580" t="s">
        <v>980</v>
      </c>
      <c r="B580" s="1" t="s">
        <v>979</v>
      </c>
      <c r="C580" t="s">
        <v>14</v>
      </c>
      <c r="D580" t="s">
        <v>448</v>
      </c>
      <c r="E580">
        <v>13</v>
      </c>
      <c r="F580" t="s">
        <v>857</v>
      </c>
      <c r="G580">
        <v>2022</v>
      </c>
      <c r="H580" t="s">
        <v>246</v>
      </c>
      <c r="I580" t="s">
        <v>58</v>
      </c>
      <c r="J580">
        <v>999</v>
      </c>
      <c r="K580">
        <v>325</v>
      </c>
      <c r="L580">
        <f t="shared" si="172"/>
        <v>674</v>
      </c>
      <c r="M580">
        <v>240</v>
      </c>
      <c r="N580">
        <f t="shared" si="173"/>
        <v>434</v>
      </c>
    </row>
    <row r="581" spans="1:14" x14ac:dyDescent="0.2">
      <c r="A581" t="s">
        <v>981</v>
      </c>
      <c r="B581" s="1" t="s">
        <v>970</v>
      </c>
      <c r="C581" t="s">
        <v>14</v>
      </c>
      <c r="D581" t="s">
        <v>982</v>
      </c>
      <c r="E581">
        <v>12</v>
      </c>
      <c r="F581" t="s">
        <v>857</v>
      </c>
      <c r="G581">
        <v>2022</v>
      </c>
      <c r="H581" t="s">
        <v>983</v>
      </c>
      <c r="I581" t="s">
        <v>253</v>
      </c>
      <c r="J581">
        <v>799</v>
      </c>
      <c r="K581">
        <v>205</v>
      </c>
      <c r="L581">
        <f t="shared" si="172"/>
        <v>594</v>
      </c>
      <c r="M581">
        <v>240</v>
      </c>
      <c r="N581">
        <f t="shared" si="173"/>
        <v>354</v>
      </c>
    </row>
    <row r="582" spans="1:14" x14ac:dyDescent="0.2">
      <c r="A582" t="s">
        <v>984</v>
      </c>
      <c r="B582" s="1" t="s">
        <v>970</v>
      </c>
      <c r="C582" t="s">
        <v>14</v>
      </c>
      <c r="D582" t="s">
        <v>169</v>
      </c>
      <c r="E582">
        <v>12</v>
      </c>
      <c r="F582" t="s">
        <v>857</v>
      </c>
      <c r="G582">
        <v>2022</v>
      </c>
      <c r="H582" t="s">
        <v>246</v>
      </c>
      <c r="I582" t="s">
        <v>58</v>
      </c>
      <c r="J582">
        <v>799</v>
      </c>
      <c r="K582">
        <v>205</v>
      </c>
      <c r="L582">
        <f t="shared" si="172"/>
        <v>594</v>
      </c>
      <c r="M582">
        <v>240</v>
      </c>
      <c r="N582">
        <f t="shared" si="173"/>
        <v>354</v>
      </c>
    </row>
    <row r="583" spans="1:14" x14ac:dyDescent="0.2">
      <c r="A583" t="s">
        <v>971</v>
      </c>
      <c r="B583" s="1" t="s">
        <v>970</v>
      </c>
      <c r="C583" t="s">
        <v>14</v>
      </c>
      <c r="D583" t="s">
        <v>81</v>
      </c>
      <c r="E583">
        <v>12</v>
      </c>
      <c r="F583" t="s">
        <v>857</v>
      </c>
      <c r="G583">
        <v>2022</v>
      </c>
      <c r="H583" t="s">
        <v>157</v>
      </c>
      <c r="I583" t="s">
        <v>97</v>
      </c>
      <c r="J583">
        <v>849</v>
      </c>
      <c r="K583">
        <v>250</v>
      </c>
      <c r="L583">
        <f t="shared" si="172"/>
        <v>599</v>
      </c>
      <c r="M583">
        <v>240</v>
      </c>
      <c r="N583">
        <f t="shared" si="173"/>
        <v>359</v>
      </c>
    </row>
    <row r="584" spans="1:14" x14ac:dyDescent="0.2">
      <c r="A584" t="s">
        <v>985</v>
      </c>
      <c r="B584" s="1" t="s">
        <v>970</v>
      </c>
      <c r="C584" t="s">
        <v>14</v>
      </c>
      <c r="D584" t="s">
        <v>893</v>
      </c>
      <c r="E584">
        <v>12</v>
      </c>
      <c r="F584" t="s">
        <v>857</v>
      </c>
      <c r="G584">
        <v>2022</v>
      </c>
      <c r="H584" t="s">
        <v>986</v>
      </c>
      <c r="I584" t="s">
        <v>97</v>
      </c>
      <c r="J584">
        <v>849</v>
      </c>
      <c r="K584">
        <v>250</v>
      </c>
      <c r="L584">
        <f t="shared" si="172"/>
        <v>599</v>
      </c>
      <c r="M584">
        <v>240</v>
      </c>
      <c r="N584">
        <f t="shared" si="173"/>
        <v>359</v>
      </c>
    </row>
    <row r="585" spans="1:14" x14ac:dyDescent="0.2">
      <c r="A585" t="s">
        <v>894</v>
      </c>
      <c r="B585" s="1" t="s">
        <v>861</v>
      </c>
      <c r="C585" t="s">
        <v>106</v>
      </c>
      <c r="D585" t="s">
        <v>895</v>
      </c>
      <c r="E585">
        <v>2</v>
      </c>
      <c r="F585" t="s">
        <v>857</v>
      </c>
      <c r="G585">
        <v>2022</v>
      </c>
      <c r="H585" t="s">
        <v>208</v>
      </c>
      <c r="I585" t="s">
        <v>97</v>
      </c>
      <c r="J585">
        <v>-849</v>
      </c>
      <c r="K585">
        <v>345</v>
      </c>
      <c r="L585">
        <f t="shared" ref="L585:L586" si="174">J585+K585</f>
        <v>-504</v>
      </c>
      <c r="M585">
        <v>240</v>
      </c>
      <c r="N585">
        <f t="shared" ref="N585:N586" si="175">L585+M585</f>
        <v>-264</v>
      </c>
    </row>
    <row r="586" spans="1:14" x14ac:dyDescent="0.2">
      <c r="A586" t="s">
        <v>935</v>
      </c>
      <c r="B586" s="1" t="s">
        <v>930</v>
      </c>
      <c r="C586" t="s">
        <v>106</v>
      </c>
      <c r="D586" t="s">
        <v>895</v>
      </c>
      <c r="E586">
        <v>6</v>
      </c>
      <c r="F586" t="s">
        <v>857</v>
      </c>
      <c r="G586">
        <v>2022</v>
      </c>
      <c r="H586" t="s">
        <v>359</v>
      </c>
      <c r="I586" t="s">
        <v>85</v>
      </c>
      <c r="J586">
        <v>-849</v>
      </c>
      <c r="K586">
        <v>345</v>
      </c>
      <c r="L586">
        <f t="shared" si="174"/>
        <v>-504</v>
      </c>
      <c r="M586">
        <v>240</v>
      </c>
      <c r="N586">
        <f t="shared" si="175"/>
        <v>-264</v>
      </c>
    </row>
    <row r="587" spans="1:14" x14ac:dyDescent="0.2">
      <c r="A587" t="s">
        <v>988</v>
      </c>
      <c r="B587" s="1" t="s">
        <v>987</v>
      </c>
      <c r="C587" t="s">
        <v>14</v>
      </c>
      <c r="D587" t="s">
        <v>989</v>
      </c>
      <c r="E587">
        <v>14</v>
      </c>
      <c r="F587" t="s">
        <v>857</v>
      </c>
      <c r="G587">
        <v>2022</v>
      </c>
      <c r="H587" t="s">
        <v>31</v>
      </c>
      <c r="I587" t="s">
        <v>32</v>
      </c>
      <c r="J587">
        <v>799</v>
      </c>
      <c r="K587">
        <v>205</v>
      </c>
      <c r="L587">
        <f t="shared" ref="L587:L588" si="176">J587-K587</f>
        <v>594</v>
      </c>
      <c r="M587">
        <v>240</v>
      </c>
      <c r="N587">
        <f t="shared" ref="N587:N588" si="177">L587-M587</f>
        <v>354</v>
      </c>
    </row>
    <row r="588" spans="1:14" x14ac:dyDescent="0.2">
      <c r="A588" t="s">
        <v>990</v>
      </c>
      <c r="B588" s="1" t="s">
        <v>979</v>
      </c>
      <c r="C588" t="s">
        <v>14</v>
      </c>
      <c r="D588" t="s">
        <v>822</v>
      </c>
      <c r="E588">
        <v>13</v>
      </c>
      <c r="F588" t="s">
        <v>857</v>
      </c>
      <c r="G588">
        <v>2022</v>
      </c>
      <c r="H588" t="s">
        <v>991</v>
      </c>
      <c r="I588" t="s">
        <v>212</v>
      </c>
      <c r="J588">
        <v>849</v>
      </c>
      <c r="K588">
        <v>250</v>
      </c>
      <c r="L588">
        <f t="shared" si="176"/>
        <v>599</v>
      </c>
      <c r="M588">
        <v>240</v>
      </c>
      <c r="N588">
        <f t="shared" si="177"/>
        <v>359</v>
      </c>
    </row>
    <row r="589" spans="1:14" x14ac:dyDescent="0.2">
      <c r="A589" t="s">
        <v>992</v>
      </c>
      <c r="B589" s="1" t="s">
        <v>987</v>
      </c>
      <c r="C589" t="s">
        <v>43</v>
      </c>
      <c r="D589" t="s">
        <v>993</v>
      </c>
      <c r="E589">
        <v>14</v>
      </c>
      <c r="F589" t="s">
        <v>857</v>
      </c>
      <c r="G589">
        <v>2022</v>
      </c>
      <c r="H589" t="s">
        <v>173</v>
      </c>
      <c r="I589" t="s">
        <v>62</v>
      </c>
      <c r="J589">
        <v>0</v>
      </c>
      <c r="K589">
        <v>0</v>
      </c>
      <c r="L589">
        <v>0</v>
      </c>
      <c r="M589">
        <v>0</v>
      </c>
      <c r="N589">
        <v>0</v>
      </c>
    </row>
    <row r="590" spans="1:14" x14ac:dyDescent="0.2">
      <c r="A590" t="s">
        <v>976</v>
      </c>
      <c r="B590" s="1" t="s">
        <v>970</v>
      </c>
      <c r="C590" t="s">
        <v>106</v>
      </c>
      <c r="D590" t="s">
        <v>977</v>
      </c>
      <c r="E590">
        <v>12</v>
      </c>
      <c r="F590" t="s">
        <v>857</v>
      </c>
      <c r="G590">
        <v>2022</v>
      </c>
      <c r="H590" t="s">
        <v>978</v>
      </c>
      <c r="I590" t="s">
        <v>122</v>
      </c>
      <c r="J590">
        <v>-799</v>
      </c>
      <c r="K590">
        <v>320</v>
      </c>
      <c r="L590">
        <f>J590+K590</f>
        <v>-479</v>
      </c>
      <c r="M590">
        <v>240</v>
      </c>
      <c r="N590">
        <f>L590+M590</f>
        <v>-239</v>
      </c>
    </row>
    <row r="591" spans="1:14" x14ac:dyDescent="0.2">
      <c r="A591" t="s">
        <v>994</v>
      </c>
      <c r="B591" s="1" t="s">
        <v>987</v>
      </c>
      <c r="C591" t="s">
        <v>14</v>
      </c>
      <c r="D591" t="s">
        <v>70</v>
      </c>
      <c r="E591">
        <v>14</v>
      </c>
      <c r="F591" t="s">
        <v>857</v>
      </c>
      <c r="G591">
        <v>2022</v>
      </c>
      <c r="H591" t="s">
        <v>705</v>
      </c>
      <c r="I591" t="s">
        <v>62</v>
      </c>
      <c r="J591">
        <v>849</v>
      </c>
      <c r="K591">
        <v>250</v>
      </c>
      <c r="L591">
        <f t="shared" ref="L591:L599" si="178">J591-K591</f>
        <v>599</v>
      </c>
      <c r="M591">
        <v>240</v>
      </c>
      <c r="N591">
        <f t="shared" ref="N591:N599" si="179">L591-M591</f>
        <v>359</v>
      </c>
    </row>
    <row r="592" spans="1:14" x14ac:dyDescent="0.2">
      <c r="A592" t="s">
        <v>995</v>
      </c>
      <c r="B592" s="1" t="s">
        <v>987</v>
      </c>
      <c r="C592" t="s">
        <v>14</v>
      </c>
      <c r="D592" t="s">
        <v>81</v>
      </c>
      <c r="E592">
        <v>14</v>
      </c>
      <c r="F592" t="s">
        <v>857</v>
      </c>
      <c r="G592">
        <v>2022</v>
      </c>
      <c r="H592" t="s">
        <v>157</v>
      </c>
      <c r="I592" t="s">
        <v>97</v>
      </c>
      <c r="J592">
        <v>849</v>
      </c>
      <c r="K592">
        <v>250</v>
      </c>
      <c r="L592">
        <f t="shared" si="178"/>
        <v>599</v>
      </c>
      <c r="M592">
        <v>240</v>
      </c>
      <c r="N592">
        <f t="shared" si="179"/>
        <v>359</v>
      </c>
    </row>
    <row r="593" spans="1:14" x14ac:dyDescent="0.2">
      <c r="A593" t="s">
        <v>996</v>
      </c>
      <c r="B593" s="1" t="s">
        <v>987</v>
      </c>
      <c r="C593" t="s">
        <v>14</v>
      </c>
      <c r="D593" t="s">
        <v>834</v>
      </c>
      <c r="E593">
        <v>14</v>
      </c>
      <c r="F593" t="s">
        <v>857</v>
      </c>
      <c r="G593">
        <v>2022</v>
      </c>
      <c r="H593" t="s">
        <v>157</v>
      </c>
      <c r="I593" t="s">
        <v>97</v>
      </c>
      <c r="J593">
        <v>849</v>
      </c>
      <c r="K593">
        <v>250</v>
      </c>
      <c r="L593">
        <f t="shared" si="178"/>
        <v>599</v>
      </c>
      <c r="M593">
        <v>240</v>
      </c>
      <c r="N593">
        <f t="shared" si="179"/>
        <v>359</v>
      </c>
    </row>
    <row r="594" spans="1:14" x14ac:dyDescent="0.2">
      <c r="A594" t="s">
        <v>992</v>
      </c>
      <c r="B594" s="1" t="s">
        <v>987</v>
      </c>
      <c r="C594" t="s">
        <v>14</v>
      </c>
      <c r="D594" t="s">
        <v>993</v>
      </c>
      <c r="E594">
        <v>14</v>
      </c>
      <c r="F594" t="s">
        <v>857</v>
      </c>
      <c r="G594">
        <v>2022</v>
      </c>
      <c r="H594" t="s">
        <v>173</v>
      </c>
      <c r="I594" t="s">
        <v>62</v>
      </c>
      <c r="J594">
        <v>799</v>
      </c>
      <c r="K594">
        <v>205</v>
      </c>
      <c r="L594">
        <f t="shared" si="178"/>
        <v>594</v>
      </c>
      <c r="M594">
        <v>240</v>
      </c>
      <c r="N594">
        <f t="shared" si="179"/>
        <v>354</v>
      </c>
    </row>
    <row r="595" spans="1:14" x14ac:dyDescent="0.2">
      <c r="A595" t="s">
        <v>997</v>
      </c>
      <c r="B595" s="1" t="s">
        <v>987</v>
      </c>
      <c r="C595" t="s">
        <v>14</v>
      </c>
      <c r="D595" t="s">
        <v>940</v>
      </c>
      <c r="E595">
        <v>14</v>
      </c>
      <c r="F595" t="s">
        <v>857</v>
      </c>
      <c r="G595">
        <v>2022</v>
      </c>
      <c r="H595" t="s">
        <v>965</v>
      </c>
      <c r="I595" t="s">
        <v>122</v>
      </c>
      <c r="J595">
        <v>799</v>
      </c>
      <c r="K595">
        <v>205</v>
      </c>
      <c r="L595">
        <f t="shared" si="178"/>
        <v>594</v>
      </c>
      <c r="M595">
        <v>240</v>
      </c>
      <c r="N595">
        <f t="shared" si="179"/>
        <v>354</v>
      </c>
    </row>
    <row r="596" spans="1:14" x14ac:dyDescent="0.2">
      <c r="A596" t="s">
        <v>998</v>
      </c>
      <c r="B596" s="1" t="s">
        <v>987</v>
      </c>
      <c r="C596" t="s">
        <v>14</v>
      </c>
      <c r="D596" t="s">
        <v>840</v>
      </c>
      <c r="E596">
        <v>14</v>
      </c>
      <c r="F596" t="s">
        <v>857</v>
      </c>
      <c r="G596">
        <v>2022</v>
      </c>
      <c r="H596" t="s">
        <v>999</v>
      </c>
      <c r="I596" t="s">
        <v>257</v>
      </c>
      <c r="J596">
        <v>999</v>
      </c>
      <c r="K596">
        <v>325</v>
      </c>
      <c r="L596">
        <f t="shared" si="178"/>
        <v>674</v>
      </c>
      <c r="M596">
        <v>240</v>
      </c>
      <c r="N596">
        <f t="shared" si="179"/>
        <v>434</v>
      </c>
    </row>
    <row r="597" spans="1:14" x14ac:dyDescent="0.2">
      <c r="A597" t="s">
        <v>1001</v>
      </c>
      <c r="B597" s="1" t="s">
        <v>1000</v>
      </c>
      <c r="C597" t="s">
        <v>14</v>
      </c>
      <c r="D597" t="s">
        <v>1002</v>
      </c>
      <c r="E597">
        <v>15</v>
      </c>
      <c r="F597" t="s">
        <v>857</v>
      </c>
      <c r="G597">
        <v>2022</v>
      </c>
      <c r="H597" t="s">
        <v>1003</v>
      </c>
      <c r="I597" t="s">
        <v>122</v>
      </c>
      <c r="J597">
        <v>849</v>
      </c>
      <c r="K597">
        <v>250</v>
      </c>
      <c r="L597">
        <f t="shared" si="178"/>
        <v>599</v>
      </c>
      <c r="M597">
        <v>240</v>
      </c>
      <c r="N597">
        <f t="shared" si="179"/>
        <v>359</v>
      </c>
    </row>
    <row r="598" spans="1:14" x14ac:dyDescent="0.2">
      <c r="A598" t="s">
        <v>1004</v>
      </c>
      <c r="B598" s="1" t="s">
        <v>987</v>
      </c>
      <c r="C598" t="s">
        <v>14</v>
      </c>
      <c r="D598" t="s">
        <v>895</v>
      </c>
      <c r="E598">
        <v>14</v>
      </c>
      <c r="F598" t="s">
        <v>857</v>
      </c>
      <c r="G598">
        <v>2022</v>
      </c>
      <c r="H598" t="s">
        <v>435</v>
      </c>
      <c r="I598" t="s">
        <v>58</v>
      </c>
      <c r="J598">
        <v>849</v>
      </c>
      <c r="K598">
        <v>250</v>
      </c>
      <c r="L598">
        <f t="shared" si="178"/>
        <v>599</v>
      </c>
      <c r="M598">
        <v>240</v>
      </c>
      <c r="N598">
        <f t="shared" si="179"/>
        <v>359</v>
      </c>
    </row>
    <row r="599" spans="1:14" x14ac:dyDescent="0.2">
      <c r="A599" t="s">
        <v>1005</v>
      </c>
      <c r="B599" s="1" t="s">
        <v>1000</v>
      </c>
      <c r="C599" t="s">
        <v>14</v>
      </c>
      <c r="D599" t="s">
        <v>893</v>
      </c>
      <c r="E599">
        <v>15</v>
      </c>
      <c r="F599" t="s">
        <v>857</v>
      </c>
      <c r="G599">
        <v>2022</v>
      </c>
      <c r="H599" t="s">
        <v>1006</v>
      </c>
      <c r="I599" t="s">
        <v>85</v>
      </c>
      <c r="J599">
        <v>849</v>
      </c>
      <c r="K599">
        <v>250</v>
      </c>
      <c r="L599">
        <f t="shared" si="178"/>
        <v>599</v>
      </c>
      <c r="M599">
        <v>240</v>
      </c>
      <c r="N599">
        <f t="shared" si="179"/>
        <v>359</v>
      </c>
    </row>
    <row r="600" spans="1:14" x14ac:dyDescent="0.2">
      <c r="A600" t="s">
        <v>959</v>
      </c>
      <c r="B600" s="1" t="s">
        <v>946</v>
      </c>
      <c r="C600" t="s">
        <v>106</v>
      </c>
      <c r="D600" t="s">
        <v>895</v>
      </c>
      <c r="E600">
        <v>9</v>
      </c>
      <c r="F600" t="s">
        <v>857</v>
      </c>
      <c r="G600">
        <v>2022</v>
      </c>
      <c r="H600" t="s">
        <v>960</v>
      </c>
      <c r="I600" t="s">
        <v>23</v>
      </c>
      <c r="J600">
        <v>-849</v>
      </c>
      <c r="K600">
        <v>345</v>
      </c>
      <c r="L600">
        <f>J600+K600</f>
        <v>-504</v>
      </c>
      <c r="M600">
        <v>240</v>
      </c>
      <c r="N600">
        <f>L600+M600</f>
        <v>-264</v>
      </c>
    </row>
    <row r="601" spans="1:14" x14ac:dyDescent="0.2">
      <c r="A601" t="s">
        <v>1007</v>
      </c>
      <c r="B601" s="1" t="s">
        <v>1000</v>
      </c>
      <c r="C601" t="s">
        <v>14</v>
      </c>
      <c r="D601" t="s">
        <v>425</v>
      </c>
      <c r="E601">
        <v>15</v>
      </c>
      <c r="F601" t="s">
        <v>857</v>
      </c>
      <c r="G601">
        <v>2022</v>
      </c>
      <c r="H601" t="s">
        <v>359</v>
      </c>
      <c r="I601" t="s">
        <v>85</v>
      </c>
      <c r="J601">
        <v>799</v>
      </c>
      <c r="K601">
        <v>205</v>
      </c>
      <c r="L601">
        <f t="shared" ref="L601:L602" si="180">J601-K601</f>
        <v>594</v>
      </c>
      <c r="M601">
        <v>240</v>
      </c>
      <c r="N601">
        <f t="shared" ref="N601:N602" si="181">L601-M601</f>
        <v>354</v>
      </c>
    </row>
    <row r="602" spans="1:14" x14ac:dyDescent="0.2">
      <c r="A602" t="s">
        <v>1009</v>
      </c>
      <c r="B602" s="1" t="s">
        <v>1008</v>
      </c>
      <c r="C602" t="s">
        <v>14</v>
      </c>
      <c r="D602" t="s">
        <v>1010</v>
      </c>
      <c r="E602">
        <v>16</v>
      </c>
      <c r="F602" t="s">
        <v>857</v>
      </c>
      <c r="G602">
        <v>2022</v>
      </c>
      <c r="H602" t="s">
        <v>272</v>
      </c>
      <c r="I602" t="s">
        <v>23</v>
      </c>
      <c r="J602">
        <v>799</v>
      </c>
      <c r="K602">
        <v>205</v>
      </c>
      <c r="L602">
        <f t="shared" si="180"/>
        <v>594</v>
      </c>
      <c r="M602">
        <v>240</v>
      </c>
      <c r="N602">
        <f t="shared" si="181"/>
        <v>354</v>
      </c>
    </row>
    <row r="603" spans="1:14" x14ac:dyDescent="0.2">
      <c r="A603" t="s">
        <v>951</v>
      </c>
      <c r="B603" s="1" t="s">
        <v>950</v>
      </c>
      <c r="C603" t="s">
        <v>106</v>
      </c>
      <c r="D603" t="s">
        <v>834</v>
      </c>
      <c r="E603">
        <v>10</v>
      </c>
      <c r="F603" t="s">
        <v>857</v>
      </c>
      <c r="G603">
        <v>2022</v>
      </c>
      <c r="H603" t="s">
        <v>952</v>
      </c>
      <c r="I603" t="s">
        <v>62</v>
      </c>
      <c r="J603">
        <v>-849</v>
      </c>
      <c r="K603">
        <v>345</v>
      </c>
      <c r="L603">
        <f t="shared" ref="L603:L605" si="182">J603+K603</f>
        <v>-504</v>
      </c>
      <c r="M603">
        <v>240</v>
      </c>
      <c r="N603">
        <f t="shared" ref="N603:N605" si="183">L603+M603</f>
        <v>-264</v>
      </c>
    </row>
    <row r="604" spans="1:14" x14ac:dyDescent="0.2">
      <c r="A604" t="s">
        <v>953</v>
      </c>
      <c r="B604" s="1" t="s">
        <v>946</v>
      </c>
      <c r="C604" t="s">
        <v>106</v>
      </c>
      <c r="D604" t="s">
        <v>954</v>
      </c>
      <c r="E604">
        <v>9</v>
      </c>
      <c r="F604" t="s">
        <v>857</v>
      </c>
      <c r="G604">
        <v>2022</v>
      </c>
      <c r="H604" t="s">
        <v>223</v>
      </c>
      <c r="I604" t="s">
        <v>32</v>
      </c>
      <c r="J604">
        <v>-799</v>
      </c>
      <c r="K604">
        <v>320</v>
      </c>
      <c r="L604">
        <f t="shared" si="182"/>
        <v>-479</v>
      </c>
      <c r="M604">
        <v>240</v>
      </c>
      <c r="N604">
        <f t="shared" si="183"/>
        <v>-239</v>
      </c>
    </row>
    <row r="605" spans="1:14" x14ac:dyDescent="0.2">
      <c r="A605" t="s">
        <v>974</v>
      </c>
      <c r="B605" s="1" t="s">
        <v>963</v>
      </c>
      <c r="C605" t="s">
        <v>106</v>
      </c>
      <c r="D605" t="s">
        <v>975</v>
      </c>
      <c r="E605">
        <v>11</v>
      </c>
      <c r="F605" t="s">
        <v>857</v>
      </c>
      <c r="G605">
        <v>2022</v>
      </c>
      <c r="H605" t="s">
        <v>157</v>
      </c>
      <c r="I605" t="s">
        <v>97</v>
      </c>
      <c r="J605">
        <v>-799</v>
      </c>
      <c r="K605">
        <v>320</v>
      </c>
      <c r="L605">
        <f t="shared" si="182"/>
        <v>-479</v>
      </c>
      <c r="M605">
        <v>240</v>
      </c>
      <c r="N605">
        <f t="shared" si="183"/>
        <v>-239</v>
      </c>
    </row>
    <row r="606" spans="1:14" x14ac:dyDescent="0.2">
      <c r="A606" t="s">
        <v>1011</v>
      </c>
      <c r="B606" s="1" t="s">
        <v>1008</v>
      </c>
      <c r="C606" t="s">
        <v>20</v>
      </c>
      <c r="D606" t="s">
        <v>1012</v>
      </c>
      <c r="E606">
        <v>16</v>
      </c>
      <c r="F606" t="s">
        <v>857</v>
      </c>
      <c r="G606">
        <v>2022</v>
      </c>
      <c r="H606" t="s">
        <v>246</v>
      </c>
      <c r="I606" t="s">
        <v>58</v>
      </c>
      <c r="J606">
        <v>0</v>
      </c>
      <c r="K606">
        <v>0</v>
      </c>
      <c r="L606">
        <v>0</v>
      </c>
      <c r="M606">
        <v>0</v>
      </c>
      <c r="N606">
        <v>0</v>
      </c>
    </row>
    <row r="607" spans="1:14" x14ac:dyDescent="0.2">
      <c r="A607" t="s">
        <v>1014</v>
      </c>
      <c r="B607" s="1" t="s">
        <v>1013</v>
      </c>
      <c r="C607" t="s">
        <v>14</v>
      </c>
      <c r="D607" t="s">
        <v>1015</v>
      </c>
      <c r="E607">
        <v>17</v>
      </c>
      <c r="F607" t="s">
        <v>857</v>
      </c>
      <c r="G607">
        <v>2022</v>
      </c>
      <c r="H607" t="s">
        <v>705</v>
      </c>
      <c r="I607" t="s">
        <v>62</v>
      </c>
      <c r="J607">
        <v>849</v>
      </c>
      <c r="K607">
        <v>250</v>
      </c>
      <c r="L607">
        <f t="shared" ref="L607:L609" si="184">J607-K607</f>
        <v>599</v>
      </c>
      <c r="M607">
        <v>240</v>
      </c>
      <c r="N607">
        <f t="shared" ref="N607:N609" si="185">L607-M607</f>
        <v>359</v>
      </c>
    </row>
    <row r="608" spans="1:14" x14ac:dyDescent="0.2">
      <c r="A608" t="s">
        <v>1016</v>
      </c>
      <c r="B608" s="1" t="s">
        <v>1008</v>
      </c>
      <c r="C608" t="s">
        <v>14</v>
      </c>
      <c r="D608" t="s">
        <v>881</v>
      </c>
      <c r="E608">
        <v>16</v>
      </c>
      <c r="F608" t="s">
        <v>857</v>
      </c>
      <c r="G608">
        <v>2022</v>
      </c>
      <c r="H608" t="s">
        <v>882</v>
      </c>
      <c r="I608" t="s">
        <v>883</v>
      </c>
      <c r="J608">
        <v>799</v>
      </c>
      <c r="K608">
        <v>205</v>
      </c>
      <c r="L608">
        <f t="shared" si="184"/>
        <v>594</v>
      </c>
      <c r="M608">
        <v>240</v>
      </c>
      <c r="N608">
        <f t="shared" si="185"/>
        <v>354</v>
      </c>
    </row>
    <row r="609" spans="1:14" x14ac:dyDescent="0.2">
      <c r="A609" t="s">
        <v>1017</v>
      </c>
      <c r="B609" s="1" t="s">
        <v>1008</v>
      </c>
      <c r="C609" t="s">
        <v>14</v>
      </c>
      <c r="D609" t="s">
        <v>1018</v>
      </c>
      <c r="E609">
        <v>16</v>
      </c>
      <c r="F609" t="s">
        <v>857</v>
      </c>
      <c r="G609">
        <v>2022</v>
      </c>
      <c r="H609" t="s">
        <v>170</v>
      </c>
      <c r="I609" t="s">
        <v>171</v>
      </c>
      <c r="J609">
        <v>899</v>
      </c>
      <c r="K609">
        <v>295</v>
      </c>
      <c r="L609">
        <f t="shared" si="184"/>
        <v>604</v>
      </c>
      <c r="M609">
        <v>240</v>
      </c>
      <c r="N609">
        <f t="shared" si="185"/>
        <v>364</v>
      </c>
    </row>
    <row r="610" spans="1:14" x14ac:dyDescent="0.2">
      <c r="A610" t="s">
        <v>1020</v>
      </c>
      <c r="B610" s="1" t="s">
        <v>1019</v>
      </c>
      <c r="C610" t="s">
        <v>20</v>
      </c>
      <c r="D610" t="s">
        <v>895</v>
      </c>
      <c r="E610">
        <v>18</v>
      </c>
      <c r="F610" t="s">
        <v>857</v>
      </c>
      <c r="G610">
        <v>2022</v>
      </c>
      <c r="H610" t="s">
        <v>991</v>
      </c>
      <c r="I610" t="s">
        <v>212</v>
      </c>
      <c r="J610">
        <v>0</v>
      </c>
      <c r="K610">
        <v>0</v>
      </c>
      <c r="L610">
        <v>0</v>
      </c>
      <c r="M610">
        <v>0</v>
      </c>
      <c r="N610">
        <v>0</v>
      </c>
    </row>
    <row r="611" spans="1:14" x14ac:dyDescent="0.2">
      <c r="A611" t="s">
        <v>1021</v>
      </c>
      <c r="B611" s="1" t="s">
        <v>1013</v>
      </c>
      <c r="C611" t="s">
        <v>14</v>
      </c>
      <c r="D611" t="s">
        <v>425</v>
      </c>
      <c r="E611">
        <v>17</v>
      </c>
      <c r="F611" t="s">
        <v>857</v>
      </c>
      <c r="G611">
        <v>2022</v>
      </c>
      <c r="H611" t="s">
        <v>1022</v>
      </c>
      <c r="I611" t="s">
        <v>28</v>
      </c>
      <c r="J611">
        <v>799</v>
      </c>
      <c r="K611">
        <v>205</v>
      </c>
      <c r="L611">
        <f t="shared" ref="L611:L613" si="186">J611-K611</f>
        <v>594</v>
      </c>
      <c r="M611">
        <v>240</v>
      </c>
      <c r="N611">
        <f t="shared" ref="N611:N613" si="187">L611-M611</f>
        <v>354</v>
      </c>
    </row>
    <row r="612" spans="1:14" x14ac:dyDescent="0.2">
      <c r="A612" t="s">
        <v>1023</v>
      </c>
      <c r="B612" s="1" t="s">
        <v>1013</v>
      </c>
      <c r="C612" t="s">
        <v>14</v>
      </c>
      <c r="D612" t="s">
        <v>891</v>
      </c>
      <c r="E612">
        <v>17</v>
      </c>
      <c r="F612" t="s">
        <v>857</v>
      </c>
      <c r="G612">
        <v>2022</v>
      </c>
      <c r="H612" t="s">
        <v>246</v>
      </c>
      <c r="I612" t="s">
        <v>58</v>
      </c>
      <c r="J612">
        <v>849</v>
      </c>
      <c r="K612">
        <v>250</v>
      </c>
      <c r="L612">
        <f t="shared" si="186"/>
        <v>599</v>
      </c>
      <c r="M612">
        <v>240</v>
      </c>
      <c r="N612">
        <f t="shared" si="187"/>
        <v>359</v>
      </c>
    </row>
    <row r="613" spans="1:14" x14ac:dyDescent="0.2">
      <c r="A613" t="s">
        <v>1024</v>
      </c>
      <c r="B613" s="1" t="s">
        <v>1013</v>
      </c>
      <c r="C613" t="s">
        <v>14</v>
      </c>
      <c r="D613" t="s">
        <v>1025</v>
      </c>
      <c r="E613">
        <v>17</v>
      </c>
      <c r="F613" t="s">
        <v>857</v>
      </c>
      <c r="G613">
        <v>2022</v>
      </c>
      <c r="H613" t="s">
        <v>157</v>
      </c>
      <c r="I613" t="s">
        <v>97</v>
      </c>
      <c r="J613">
        <v>849</v>
      </c>
      <c r="K613">
        <v>250</v>
      </c>
      <c r="L613">
        <f t="shared" si="186"/>
        <v>599</v>
      </c>
      <c r="M613">
        <v>240</v>
      </c>
      <c r="N613">
        <f t="shared" si="187"/>
        <v>359</v>
      </c>
    </row>
    <row r="614" spans="1:14" x14ac:dyDescent="0.2">
      <c r="A614" t="s">
        <v>949</v>
      </c>
      <c r="B614" s="1" t="s">
        <v>948</v>
      </c>
      <c r="C614" t="s">
        <v>106</v>
      </c>
      <c r="D614" t="s">
        <v>891</v>
      </c>
      <c r="E614">
        <v>8</v>
      </c>
      <c r="F614" t="s">
        <v>857</v>
      </c>
      <c r="G614">
        <v>2022</v>
      </c>
      <c r="H614" t="s">
        <v>246</v>
      </c>
      <c r="I614" t="s">
        <v>58</v>
      </c>
      <c r="J614">
        <v>-849</v>
      </c>
      <c r="K614">
        <v>345</v>
      </c>
      <c r="L614">
        <f t="shared" ref="L614:L616" si="188">J614+K614</f>
        <v>-504</v>
      </c>
      <c r="M614">
        <v>240</v>
      </c>
      <c r="N614">
        <f t="shared" ref="N614:N616" si="189">L614+M614</f>
        <v>-264</v>
      </c>
    </row>
    <row r="615" spans="1:14" x14ac:dyDescent="0.2">
      <c r="A615" t="s">
        <v>906</v>
      </c>
      <c r="B615" s="1" t="s">
        <v>875</v>
      </c>
      <c r="C615" t="s">
        <v>106</v>
      </c>
      <c r="D615" t="s">
        <v>907</v>
      </c>
      <c r="E615">
        <v>3</v>
      </c>
      <c r="F615" t="s">
        <v>857</v>
      </c>
      <c r="G615">
        <v>2022</v>
      </c>
      <c r="H615" t="s">
        <v>246</v>
      </c>
      <c r="I615" t="s">
        <v>58</v>
      </c>
      <c r="J615">
        <v>-849</v>
      </c>
      <c r="K615">
        <v>345</v>
      </c>
      <c r="L615">
        <f t="shared" si="188"/>
        <v>-504</v>
      </c>
      <c r="M615">
        <v>240</v>
      </c>
      <c r="N615">
        <f t="shared" si="189"/>
        <v>-264</v>
      </c>
    </row>
    <row r="616" spans="1:14" x14ac:dyDescent="0.2">
      <c r="A616" t="s">
        <v>961</v>
      </c>
      <c r="B616" s="1" t="s">
        <v>946</v>
      </c>
      <c r="C616" t="s">
        <v>106</v>
      </c>
      <c r="D616" t="s">
        <v>840</v>
      </c>
      <c r="E616">
        <v>9</v>
      </c>
      <c r="F616" t="s">
        <v>857</v>
      </c>
      <c r="G616">
        <v>2022</v>
      </c>
      <c r="H616" t="s">
        <v>962</v>
      </c>
      <c r="I616" t="s">
        <v>62</v>
      </c>
      <c r="J616">
        <v>-999</v>
      </c>
      <c r="K616">
        <v>395</v>
      </c>
      <c r="L616">
        <f t="shared" si="188"/>
        <v>-604</v>
      </c>
      <c r="M616">
        <v>240</v>
      </c>
      <c r="N616">
        <f t="shared" si="189"/>
        <v>-364</v>
      </c>
    </row>
    <row r="617" spans="1:14" x14ac:dyDescent="0.2">
      <c r="A617" t="s">
        <v>1026</v>
      </c>
      <c r="B617" s="1" t="s">
        <v>1019</v>
      </c>
      <c r="C617" t="s">
        <v>14</v>
      </c>
      <c r="D617" t="s">
        <v>81</v>
      </c>
      <c r="E617">
        <v>18</v>
      </c>
      <c r="F617" t="s">
        <v>857</v>
      </c>
      <c r="G617">
        <v>2022</v>
      </c>
      <c r="H617" t="s">
        <v>104</v>
      </c>
      <c r="I617" t="s">
        <v>62</v>
      </c>
      <c r="J617">
        <v>849</v>
      </c>
      <c r="K617">
        <v>250</v>
      </c>
      <c r="L617">
        <f t="shared" ref="L617:L622" si="190">J617-K617</f>
        <v>599</v>
      </c>
      <c r="M617">
        <v>240</v>
      </c>
      <c r="N617">
        <f t="shared" ref="N617:N622" si="191">L617-M617</f>
        <v>359</v>
      </c>
    </row>
    <row r="618" spans="1:14" x14ac:dyDescent="0.2">
      <c r="A618" t="s">
        <v>1027</v>
      </c>
      <c r="B618" s="1" t="s">
        <v>1019</v>
      </c>
      <c r="C618" t="s">
        <v>14</v>
      </c>
      <c r="D618" t="s">
        <v>425</v>
      </c>
      <c r="E618">
        <v>18</v>
      </c>
      <c r="F618" t="s">
        <v>857</v>
      </c>
      <c r="G618">
        <v>2022</v>
      </c>
      <c r="H618" t="s">
        <v>235</v>
      </c>
      <c r="I618" t="s">
        <v>62</v>
      </c>
      <c r="J618">
        <v>799</v>
      </c>
      <c r="K618">
        <v>205</v>
      </c>
      <c r="L618">
        <f t="shared" si="190"/>
        <v>594</v>
      </c>
      <c r="M618">
        <v>240</v>
      </c>
      <c r="N618">
        <f t="shared" si="191"/>
        <v>354</v>
      </c>
    </row>
    <row r="619" spans="1:14" x14ac:dyDescent="0.2">
      <c r="A619" t="s">
        <v>1028</v>
      </c>
      <c r="B619" s="1" t="s">
        <v>1019</v>
      </c>
      <c r="C619" t="s">
        <v>14</v>
      </c>
      <c r="D619" t="s">
        <v>425</v>
      </c>
      <c r="E619">
        <v>18</v>
      </c>
      <c r="F619" t="s">
        <v>857</v>
      </c>
      <c r="G619">
        <v>2022</v>
      </c>
      <c r="H619" t="s">
        <v>84</v>
      </c>
      <c r="I619" t="s">
        <v>85</v>
      </c>
      <c r="J619">
        <v>799</v>
      </c>
      <c r="K619">
        <v>205</v>
      </c>
      <c r="L619">
        <f t="shared" si="190"/>
        <v>594</v>
      </c>
      <c r="M619">
        <v>240</v>
      </c>
      <c r="N619">
        <f t="shared" si="191"/>
        <v>354</v>
      </c>
    </row>
    <row r="620" spans="1:14" x14ac:dyDescent="0.2">
      <c r="A620" t="s">
        <v>1029</v>
      </c>
      <c r="B620" s="1" t="s">
        <v>1008</v>
      </c>
      <c r="C620" t="s">
        <v>14</v>
      </c>
      <c r="D620" t="s">
        <v>890</v>
      </c>
      <c r="E620">
        <v>16</v>
      </c>
      <c r="F620" t="s">
        <v>857</v>
      </c>
      <c r="G620">
        <v>2022</v>
      </c>
      <c r="H620" t="s">
        <v>1030</v>
      </c>
      <c r="I620" t="s">
        <v>212</v>
      </c>
      <c r="J620">
        <v>849</v>
      </c>
      <c r="K620">
        <v>250</v>
      </c>
      <c r="L620">
        <f t="shared" si="190"/>
        <v>599</v>
      </c>
      <c r="M620">
        <v>240</v>
      </c>
      <c r="N620">
        <f t="shared" si="191"/>
        <v>359</v>
      </c>
    </row>
    <row r="621" spans="1:14" x14ac:dyDescent="0.2">
      <c r="A621" t="s">
        <v>1031</v>
      </c>
      <c r="B621" s="1" t="s">
        <v>1008</v>
      </c>
      <c r="C621" t="s">
        <v>14</v>
      </c>
      <c r="D621" t="s">
        <v>1018</v>
      </c>
      <c r="E621">
        <v>16</v>
      </c>
      <c r="F621" t="s">
        <v>857</v>
      </c>
      <c r="G621">
        <v>2022</v>
      </c>
      <c r="H621" t="s">
        <v>1032</v>
      </c>
      <c r="I621" t="s">
        <v>253</v>
      </c>
      <c r="J621">
        <v>899</v>
      </c>
      <c r="K621">
        <v>295</v>
      </c>
      <c r="L621">
        <f t="shared" si="190"/>
        <v>604</v>
      </c>
      <c r="M621">
        <v>240</v>
      </c>
      <c r="N621">
        <f t="shared" si="191"/>
        <v>364</v>
      </c>
    </row>
    <row r="622" spans="1:14" x14ac:dyDescent="0.2">
      <c r="A622" t="s">
        <v>1033</v>
      </c>
      <c r="B622" s="1" t="s">
        <v>1019</v>
      </c>
      <c r="C622" t="s">
        <v>14</v>
      </c>
      <c r="D622" t="s">
        <v>942</v>
      </c>
      <c r="E622">
        <v>18</v>
      </c>
      <c r="F622" t="s">
        <v>857</v>
      </c>
      <c r="G622">
        <v>2022</v>
      </c>
      <c r="H622" t="s">
        <v>1034</v>
      </c>
      <c r="I622" t="s">
        <v>85</v>
      </c>
      <c r="J622">
        <v>799</v>
      </c>
      <c r="K622">
        <v>205</v>
      </c>
      <c r="L622">
        <f t="shared" si="190"/>
        <v>594</v>
      </c>
      <c r="M622">
        <v>240</v>
      </c>
      <c r="N622">
        <f t="shared" si="191"/>
        <v>354</v>
      </c>
    </row>
    <row r="623" spans="1:14" x14ac:dyDescent="0.2">
      <c r="A623" t="s">
        <v>988</v>
      </c>
      <c r="B623" s="1" t="s">
        <v>987</v>
      </c>
      <c r="C623" t="s">
        <v>106</v>
      </c>
      <c r="D623" t="s">
        <v>989</v>
      </c>
      <c r="E623">
        <v>14</v>
      </c>
      <c r="F623" t="s">
        <v>857</v>
      </c>
      <c r="G623">
        <v>2022</v>
      </c>
      <c r="H623" t="s">
        <v>31</v>
      </c>
      <c r="I623" t="s">
        <v>32</v>
      </c>
      <c r="J623">
        <v>-799</v>
      </c>
      <c r="K623">
        <v>320</v>
      </c>
      <c r="L623">
        <f>J623+K623</f>
        <v>-479</v>
      </c>
      <c r="M623">
        <v>240</v>
      </c>
      <c r="N623">
        <f>L623+M623</f>
        <v>-239</v>
      </c>
    </row>
    <row r="624" spans="1:14" x14ac:dyDescent="0.2">
      <c r="A624" t="s">
        <v>1036</v>
      </c>
      <c r="B624" s="1" t="s">
        <v>1035</v>
      </c>
      <c r="C624" t="s">
        <v>14</v>
      </c>
      <c r="D624" t="s">
        <v>1037</v>
      </c>
      <c r="E624">
        <v>19</v>
      </c>
      <c r="F624" t="s">
        <v>857</v>
      </c>
      <c r="G624">
        <v>2022</v>
      </c>
      <c r="H624" t="s">
        <v>246</v>
      </c>
      <c r="I624" t="s">
        <v>58</v>
      </c>
      <c r="J624">
        <v>799</v>
      </c>
      <c r="K624">
        <v>205</v>
      </c>
      <c r="L624">
        <f t="shared" ref="L624:L625" si="192">J624-K624</f>
        <v>594</v>
      </c>
      <c r="M624">
        <v>240</v>
      </c>
      <c r="N624">
        <f t="shared" ref="N624:N625" si="193">L624-M624</f>
        <v>354</v>
      </c>
    </row>
    <row r="625" spans="1:14" x14ac:dyDescent="0.2">
      <c r="A625" t="s">
        <v>1036</v>
      </c>
      <c r="B625" s="1" t="s">
        <v>1035</v>
      </c>
      <c r="C625" t="s">
        <v>14</v>
      </c>
      <c r="D625" t="s">
        <v>1010</v>
      </c>
      <c r="E625">
        <v>19</v>
      </c>
      <c r="F625" t="s">
        <v>857</v>
      </c>
      <c r="G625">
        <v>2022</v>
      </c>
      <c r="H625" t="s">
        <v>246</v>
      </c>
      <c r="I625" t="s">
        <v>58</v>
      </c>
      <c r="J625">
        <v>799</v>
      </c>
      <c r="K625">
        <v>205</v>
      </c>
      <c r="L625">
        <f t="shared" si="192"/>
        <v>594</v>
      </c>
      <c r="M625">
        <v>240</v>
      </c>
      <c r="N625">
        <f t="shared" si="193"/>
        <v>354</v>
      </c>
    </row>
    <row r="626" spans="1:14" x14ac:dyDescent="0.2">
      <c r="A626" t="s">
        <v>1039</v>
      </c>
      <c r="B626" s="1" t="s">
        <v>1038</v>
      </c>
      <c r="C626" t="s">
        <v>43</v>
      </c>
      <c r="D626" t="s">
        <v>81</v>
      </c>
      <c r="E626">
        <v>20</v>
      </c>
      <c r="F626" t="s">
        <v>857</v>
      </c>
      <c r="G626">
        <v>2022</v>
      </c>
      <c r="H626" t="s">
        <v>84</v>
      </c>
      <c r="I626" t="s">
        <v>85</v>
      </c>
      <c r="J626">
        <v>0</v>
      </c>
      <c r="K626">
        <v>0</v>
      </c>
      <c r="L626">
        <v>0</v>
      </c>
      <c r="M626">
        <v>0</v>
      </c>
      <c r="N626">
        <v>0</v>
      </c>
    </row>
    <row r="627" spans="1:14" x14ac:dyDescent="0.2">
      <c r="A627" t="s">
        <v>1041</v>
      </c>
      <c r="B627" s="1" t="s">
        <v>1040</v>
      </c>
      <c r="C627" t="s">
        <v>14</v>
      </c>
      <c r="D627" t="s">
        <v>1042</v>
      </c>
      <c r="E627">
        <v>21</v>
      </c>
      <c r="F627" t="s">
        <v>857</v>
      </c>
      <c r="G627">
        <v>2022</v>
      </c>
      <c r="H627" t="s">
        <v>1043</v>
      </c>
      <c r="I627" t="s">
        <v>19</v>
      </c>
      <c r="J627">
        <v>899</v>
      </c>
      <c r="K627">
        <v>295</v>
      </c>
      <c r="L627">
        <f t="shared" ref="L627:L632" si="194">J627-K627</f>
        <v>604</v>
      </c>
      <c r="M627">
        <v>240</v>
      </c>
      <c r="N627">
        <f t="shared" ref="N627:N632" si="195">L627-M627</f>
        <v>364</v>
      </c>
    </row>
    <row r="628" spans="1:14" x14ac:dyDescent="0.2">
      <c r="A628" t="s">
        <v>1044</v>
      </c>
      <c r="B628" s="1" t="s">
        <v>1038</v>
      </c>
      <c r="C628" t="s">
        <v>14</v>
      </c>
      <c r="D628" t="s">
        <v>897</v>
      </c>
      <c r="E628">
        <v>20</v>
      </c>
      <c r="F628" t="s">
        <v>857</v>
      </c>
      <c r="G628">
        <v>2022</v>
      </c>
      <c r="H628" t="s">
        <v>1045</v>
      </c>
      <c r="I628" t="s">
        <v>122</v>
      </c>
      <c r="J628">
        <v>799</v>
      </c>
      <c r="K628">
        <v>205</v>
      </c>
      <c r="L628">
        <f t="shared" si="194"/>
        <v>594</v>
      </c>
      <c r="M628">
        <v>240</v>
      </c>
      <c r="N628">
        <f t="shared" si="195"/>
        <v>354</v>
      </c>
    </row>
    <row r="629" spans="1:14" x14ac:dyDescent="0.2">
      <c r="A629" t="s">
        <v>1046</v>
      </c>
      <c r="B629" s="1" t="s">
        <v>1038</v>
      </c>
      <c r="C629" t="s">
        <v>14</v>
      </c>
      <c r="D629" t="s">
        <v>1047</v>
      </c>
      <c r="E629">
        <v>20</v>
      </c>
      <c r="F629" t="s">
        <v>857</v>
      </c>
      <c r="G629">
        <v>2022</v>
      </c>
      <c r="H629" t="s">
        <v>1048</v>
      </c>
      <c r="I629" t="s">
        <v>28</v>
      </c>
      <c r="J629">
        <v>799</v>
      </c>
      <c r="K629">
        <v>205</v>
      </c>
      <c r="L629">
        <f t="shared" si="194"/>
        <v>594</v>
      </c>
      <c r="M629">
        <v>240</v>
      </c>
      <c r="N629">
        <f t="shared" si="195"/>
        <v>354</v>
      </c>
    </row>
    <row r="630" spans="1:14" x14ac:dyDescent="0.2">
      <c r="A630" t="s">
        <v>1049</v>
      </c>
      <c r="B630" s="1" t="s">
        <v>1038</v>
      </c>
      <c r="C630" t="s">
        <v>14</v>
      </c>
      <c r="D630" t="s">
        <v>1015</v>
      </c>
      <c r="E630">
        <v>20</v>
      </c>
      <c r="F630" t="s">
        <v>857</v>
      </c>
      <c r="G630">
        <v>2022</v>
      </c>
      <c r="H630" t="s">
        <v>567</v>
      </c>
      <c r="I630" t="s">
        <v>23</v>
      </c>
      <c r="J630">
        <v>849</v>
      </c>
      <c r="K630">
        <v>250</v>
      </c>
      <c r="L630">
        <f t="shared" si="194"/>
        <v>599</v>
      </c>
      <c r="M630">
        <v>240</v>
      </c>
      <c r="N630">
        <f t="shared" si="195"/>
        <v>359</v>
      </c>
    </row>
    <row r="631" spans="1:14" x14ac:dyDescent="0.2">
      <c r="A631" t="s">
        <v>1039</v>
      </c>
      <c r="B631" s="1" t="s">
        <v>1038</v>
      </c>
      <c r="C631" t="s">
        <v>14</v>
      </c>
      <c r="D631" t="s">
        <v>81</v>
      </c>
      <c r="E631">
        <v>20</v>
      </c>
      <c r="F631" t="s">
        <v>857</v>
      </c>
      <c r="G631">
        <v>2022</v>
      </c>
      <c r="H631" t="s">
        <v>84</v>
      </c>
      <c r="I631" t="s">
        <v>85</v>
      </c>
      <c r="J631">
        <v>849</v>
      </c>
      <c r="K631">
        <v>250</v>
      </c>
      <c r="L631">
        <f t="shared" si="194"/>
        <v>599</v>
      </c>
      <c r="M631">
        <v>240</v>
      </c>
      <c r="N631">
        <f t="shared" si="195"/>
        <v>359</v>
      </c>
    </row>
    <row r="632" spans="1:14" x14ac:dyDescent="0.2">
      <c r="A632" t="s">
        <v>1050</v>
      </c>
      <c r="B632" s="1" t="s">
        <v>1038</v>
      </c>
      <c r="C632" t="s">
        <v>14</v>
      </c>
      <c r="D632" t="s">
        <v>379</v>
      </c>
      <c r="E632">
        <v>20</v>
      </c>
      <c r="F632" t="s">
        <v>857</v>
      </c>
      <c r="G632">
        <v>2022</v>
      </c>
      <c r="H632" t="s">
        <v>1051</v>
      </c>
      <c r="I632" t="s">
        <v>62</v>
      </c>
      <c r="J632">
        <v>799</v>
      </c>
      <c r="K632">
        <v>205</v>
      </c>
      <c r="L632">
        <f t="shared" si="194"/>
        <v>594</v>
      </c>
      <c r="M632">
        <v>240</v>
      </c>
      <c r="N632">
        <f t="shared" si="195"/>
        <v>354</v>
      </c>
    </row>
    <row r="633" spans="1:14" x14ac:dyDescent="0.2">
      <c r="A633" t="s">
        <v>1027</v>
      </c>
      <c r="B633" s="1" t="s">
        <v>1019</v>
      </c>
      <c r="C633" t="s">
        <v>106</v>
      </c>
      <c r="D633" t="s">
        <v>425</v>
      </c>
      <c r="E633">
        <v>18</v>
      </c>
      <c r="F633" t="s">
        <v>857</v>
      </c>
      <c r="G633">
        <v>2022</v>
      </c>
      <c r="H633" t="s">
        <v>235</v>
      </c>
      <c r="I633" t="s">
        <v>62</v>
      </c>
      <c r="J633">
        <v>-799</v>
      </c>
      <c r="K633">
        <v>320</v>
      </c>
      <c r="L633">
        <f t="shared" ref="L633:L635" si="196">J633+K633</f>
        <v>-479</v>
      </c>
      <c r="M633">
        <v>240</v>
      </c>
      <c r="N633">
        <f t="shared" ref="N633:N635" si="197">L633+M633</f>
        <v>-239</v>
      </c>
    </row>
    <row r="634" spans="1:14" x14ac:dyDescent="0.2">
      <c r="A634" t="s">
        <v>1001</v>
      </c>
      <c r="B634" s="1" t="s">
        <v>1000</v>
      </c>
      <c r="C634" t="s">
        <v>106</v>
      </c>
      <c r="D634" t="s">
        <v>1002</v>
      </c>
      <c r="E634">
        <v>15</v>
      </c>
      <c r="F634" t="s">
        <v>857</v>
      </c>
      <c r="G634">
        <v>2022</v>
      </c>
      <c r="H634" t="s">
        <v>1003</v>
      </c>
      <c r="I634" t="s">
        <v>122</v>
      </c>
      <c r="J634">
        <v>-849</v>
      </c>
      <c r="K634">
        <v>345</v>
      </c>
      <c r="L634">
        <f t="shared" si="196"/>
        <v>-504</v>
      </c>
      <c r="M634">
        <v>240</v>
      </c>
      <c r="N634">
        <f t="shared" si="197"/>
        <v>-264</v>
      </c>
    </row>
    <row r="635" spans="1:14" x14ac:dyDescent="0.2">
      <c r="A635" t="s">
        <v>1004</v>
      </c>
      <c r="B635" s="1" t="s">
        <v>987</v>
      </c>
      <c r="C635" t="s">
        <v>106</v>
      </c>
      <c r="D635" t="s">
        <v>895</v>
      </c>
      <c r="E635">
        <v>14</v>
      </c>
      <c r="F635" t="s">
        <v>857</v>
      </c>
      <c r="G635">
        <v>2022</v>
      </c>
      <c r="H635" t="s">
        <v>435</v>
      </c>
      <c r="I635" t="s">
        <v>58</v>
      </c>
      <c r="J635">
        <v>-849</v>
      </c>
      <c r="K635">
        <v>345</v>
      </c>
      <c r="L635">
        <f t="shared" si="196"/>
        <v>-504</v>
      </c>
      <c r="M635">
        <v>240</v>
      </c>
      <c r="N635">
        <f t="shared" si="197"/>
        <v>-264</v>
      </c>
    </row>
    <row r="636" spans="1:14" x14ac:dyDescent="0.2">
      <c r="A636" t="s">
        <v>1052</v>
      </c>
      <c r="B636" s="1" t="s">
        <v>1040</v>
      </c>
      <c r="C636" t="s">
        <v>14</v>
      </c>
      <c r="D636" t="s">
        <v>284</v>
      </c>
      <c r="E636">
        <v>21</v>
      </c>
      <c r="F636" t="s">
        <v>857</v>
      </c>
      <c r="G636">
        <v>2022</v>
      </c>
      <c r="H636" t="s">
        <v>1053</v>
      </c>
      <c r="I636" t="s">
        <v>886</v>
      </c>
      <c r="J636">
        <v>999</v>
      </c>
      <c r="K636">
        <v>325</v>
      </c>
      <c r="L636">
        <f t="shared" ref="L636:L641" si="198">J636-K636</f>
        <v>674</v>
      </c>
      <c r="M636">
        <v>240</v>
      </c>
      <c r="N636">
        <f t="shared" ref="N636:N641" si="199">L636-M636</f>
        <v>434</v>
      </c>
    </row>
    <row r="637" spans="1:14" x14ac:dyDescent="0.2">
      <c r="A637" t="s">
        <v>1052</v>
      </c>
      <c r="B637" s="1" t="s">
        <v>1040</v>
      </c>
      <c r="C637" t="s">
        <v>14</v>
      </c>
      <c r="D637" t="s">
        <v>448</v>
      </c>
      <c r="E637">
        <v>21</v>
      </c>
      <c r="F637" t="s">
        <v>857</v>
      </c>
      <c r="G637">
        <v>2022</v>
      </c>
      <c r="H637" t="s">
        <v>1053</v>
      </c>
      <c r="I637" t="s">
        <v>886</v>
      </c>
      <c r="J637">
        <v>999</v>
      </c>
      <c r="K637">
        <v>325</v>
      </c>
      <c r="L637">
        <f t="shared" si="198"/>
        <v>674</v>
      </c>
      <c r="M637">
        <v>240</v>
      </c>
      <c r="N637">
        <f t="shared" si="199"/>
        <v>434</v>
      </c>
    </row>
    <row r="638" spans="1:14" x14ac:dyDescent="0.2">
      <c r="A638" t="s">
        <v>1054</v>
      </c>
      <c r="B638" s="1" t="s">
        <v>1040</v>
      </c>
      <c r="C638" t="s">
        <v>14</v>
      </c>
      <c r="D638" t="s">
        <v>70</v>
      </c>
      <c r="E638">
        <v>21</v>
      </c>
      <c r="F638" t="s">
        <v>857</v>
      </c>
      <c r="G638">
        <v>2022</v>
      </c>
      <c r="H638" t="s">
        <v>1055</v>
      </c>
      <c r="I638" t="s">
        <v>160</v>
      </c>
      <c r="J638">
        <v>849</v>
      </c>
      <c r="K638">
        <v>250</v>
      </c>
      <c r="L638">
        <f t="shared" si="198"/>
        <v>599</v>
      </c>
      <c r="M638">
        <v>240</v>
      </c>
      <c r="N638">
        <f t="shared" si="199"/>
        <v>359</v>
      </c>
    </row>
    <row r="639" spans="1:14" x14ac:dyDescent="0.2">
      <c r="A639" t="s">
        <v>1057</v>
      </c>
      <c r="B639" s="1" t="s">
        <v>1056</v>
      </c>
      <c r="C639" t="s">
        <v>14</v>
      </c>
      <c r="D639" t="s">
        <v>490</v>
      </c>
      <c r="E639">
        <v>22</v>
      </c>
      <c r="F639" t="s">
        <v>857</v>
      </c>
      <c r="G639">
        <v>2022</v>
      </c>
      <c r="H639" t="s">
        <v>101</v>
      </c>
      <c r="I639" t="s">
        <v>62</v>
      </c>
      <c r="J639">
        <v>999</v>
      </c>
      <c r="K639">
        <v>325</v>
      </c>
      <c r="L639">
        <f t="shared" si="198"/>
        <v>674</v>
      </c>
      <c r="M639">
        <v>240</v>
      </c>
      <c r="N639">
        <f t="shared" si="199"/>
        <v>434</v>
      </c>
    </row>
    <row r="640" spans="1:14" x14ac:dyDescent="0.2">
      <c r="A640" t="s">
        <v>1058</v>
      </c>
      <c r="B640" s="1" t="s">
        <v>1040</v>
      </c>
      <c r="C640" t="s">
        <v>14</v>
      </c>
      <c r="D640" t="s">
        <v>548</v>
      </c>
      <c r="E640">
        <v>21</v>
      </c>
      <c r="F640" t="s">
        <v>857</v>
      </c>
      <c r="G640">
        <v>2022</v>
      </c>
      <c r="H640" t="s">
        <v>1059</v>
      </c>
      <c r="I640" t="s">
        <v>163</v>
      </c>
      <c r="J640">
        <v>999</v>
      </c>
      <c r="K640">
        <v>325</v>
      </c>
      <c r="L640">
        <f t="shared" si="198"/>
        <v>674</v>
      </c>
      <c r="M640">
        <v>240</v>
      </c>
      <c r="N640">
        <f t="shared" si="199"/>
        <v>434</v>
      </c>
    </row>
    <row r="641" spans="1:14" x14ac:dyDescent="0.2">
      <c r="A641" t="s">
        <v>1060</v>
      </c>
      <c r="B641" s="1" t="s">
        <v>1056</v>
      </c>
      <c r="C641" t="s">
        <v>14</v>
      </c>
      <c r="D641" t="s">
        <v>989</v>
      </c>
      <c r="E641">
        <v>22</v>
      </c>
      <c r="F641" t="s">
        <v>857</v>
      </c>
      <c r="G641">
        <v>2022</v>
      </c>
      <c r="H641" t="s">
        <v>1061</v>
      </c>
      <c r="I641" t="s">
        <v>97</v>
      </c>
      <c r="J641">
        <v>799</v>
      </c>
      <c r="K641">
        <v>205</v>
      </c>
      <c r="L641">
        <f t="shared" si="198"/>
        <v>594</v>
      </c>
      <c r="M641">
        <v>240</v>
      </c>
      <c r="N641">
        <f t="shared" si="199"/>
        <v>354</v>
      </c>
    </row>
    <row r="642" spans="1:14" x14ac:dyDescent="0.2">
      <c r="A642" t="s">
        <v>1007</v>
      </c>
      <c r="B642" s="1" t="s">
        <v>1000</v>
      </c>
      <c r="C642" t="s">
        <v>106</v>
      </c>
      <c r="D642" t="s">
        <v>425</v>
      </c>
      <c r="E642">
        <v>15</v>
      </c>
      <c r="F642" t="s">
        <v>857</v>
      </c>
      <c r="G642">
        <v>2022</v>
      </c>
      <c r="H642" t="s">
        <v>359</v>
      </c>
      <c r="I642" t="s">
        <v>85</v>
      </c>
      <c r="J642">
        <v>-799</v>
      </c>
      <c r="K642">
        <v>320</v>
      </c>
      <c r="L642">
        <f>J642+K642</f>
        <v>-479</v>
      </c>
      <c r="M642">
        <v>240</v>
      </c>
      <c r="N642">
        <f>L642+M642</f>
        <v>-239</v>
      </c>
    </row>
    <row r="643" spans="1:14" x14ac:dyDescent="0.2">
      <c r="A643" t="s">
        <v>1063</v>
      </c>
      <c r="B643" s="1" t="s">
        <v>1062</v>
      </c>
      <c r="C643" t="s">
        <v>43</v>
      </c>
      <c r="D643" t="s">
        <v>81</v>
      </c>
      <c r="E643">
        <v>23</v>
      </c>
      <c r="F643" t="s">
        <v>857</v>
      </c>
      <c r="G643">
        <v>2022</v>
      </c>
      <c r="H643" t="s">
        <v>235</v>
      </c>
      <c r="I643" t="s">
        <v>62</v>
      </c>
      <c r="J643">
        <v>0</v>
      </c>
      <c r="K643">
        <v>0</v>
      </c>
      <c r="L643">
        <v>0</v>
      </c>
      <c r="M643">
        <v>0</v>
      </c>
      <c r="N643">
        <v>0</v>
      </c>
    </row>
    <row r="644" spans="1:14" x14ac:dyDescent="0.2">
      <c r="A644" t="s">
        <v>1064</v>
      </c>
      <c r="B644" s="1" t="s">
        <v>1056</v>
      </c>
      <c r="C644" t="s">
        <v>20</v>
      </c>
      <c r="D644" t="s">
        <v>380</v>
      </c>
      <c r="E644">
        <v>22</v>
      </c>
      <c r="F644" t="s">
        <v>857</v>
      </c>
      <c r="G644">
        <v>2022</v>
      </c>
      <c r="H644" t="s">
        <v>246</v>
      </c>
      <c r="I644" t="s">
        <v>58</v>
      </c>
      <c r="J644">
        <v>0</v>
      </c>
      <c r="K644">
        <v>0</v>
      </c>
      <c r="L644">
        <v>0</v>
      </c>
      <c r="M644">
        <v>0</v>
      </c>
      <c r="N644">
        <v>0</v>
      </c>
    </row>
    <row r="645" spans="1:14" x14ac:dyDescent="0.2">
      <c r="A645" t="s">
        <v>1065</v>
      </c>
      <c r="B645" s="1" t="s">
        <v>1056</v>
      </c>
      <c r="C645" t="s">
        <v>14</v>
      </c>
      <c r="D645" t="s">
        <v>81</v>
      </c>
      <c r="E645">
        <v>22</v>
      </c>
      <c r="F645" t="s">
        <v>857</v>
      </c>
      <c r="G645">
        <v>2022</v>
      </c>
      <c r="H645" t="s">
        <v>246</v>
      </c>
      <c r="I645" t="s">
        <v>58</v>
      </c>
      <c r="J645">
        <v>849</v>
      </c>
      <c r="K645">
        <v>250</v>
      </c>
      <c r="L645">
        <f t="shared" ref="L645:L650" si="200">J645-K645</f>
        <v>599</v>
      </c>
      <c r="M645">
        <v>240</v>
      </c>
      <c r="N645">
        <f t="shared" ref="N645:N650" si="201">L645-M645</f>
        <v>359</v>
      </c>
    </row>
    <row r="646" spans="1:14" x14ac:dyDescent="0.2">
      <c r="A646" t="s">
        <v>1066</v>
      </c>
      <c r="B646" s="1" t="s">
        <v>1056</v>
      </c>
      <c r="C646" t="s">
        <v>14</v>
      </c>
      <c r="D646" t="s">
        <v>895</v>
      </c>
      <c r="E646">
        <v>22</v>
      </c>
      <c r="F646" t="s">
        <v>857</v>
      </c>
      <c r="G646">
        <v>2022</v>
      </c>
      <c r="H646" t="s">
        <v>1067</v>
      </c>
      <c r="I646" t="s">
        <v>212</v>
      </c>
      <c r="J646">
        <v>849</v>
      </c>
      <c r="K646">
        <v>250</v>
      </c>
      <c r="L646">
        <f t="shared" si="200"/>
        <v>599</v>
      </c>
      <c r="M646">
        <v>240</v>
      </c>
      <c r="N646">
        <f t="shared" si="201"/>
        <v>359</v>
      </c>
    </row>
    <row r="647" spans="1:14" x14ac:dyDescent="0.2">
      <c r="A647" t="s">
        <v>1068</v>
      </c>
      <c r="B647" s="1" t="s">
        <v>1056</v>
      </c>
      <c r="C647" t="s">
        <v>14</v>
      </c>
      <c r="D647" t="s">
        <v>989</v>
      </c>
      <c r="E647">
        <v>22</v>
      </c>
      <c r="F647" t="s">
        <v>857</v>
      </c>
      <c r="G647">
        <v>2022</v>
      </c>
      <c r="H647" t="s">
        <v>246</v>
      </c>
      <c r="I647" t="s">
        <v>58</v>
      </c>
      <c r="J647">
        <v>799</v>
      </c>
      <c r="K647">
        <v>205</v>
      </c>
      <c r="L647">
        <f t="shared" si="200"/>
        <v>594</v>
      </c>
      <c r="M647">
        <v>240</v>
      </c>
      <c r="N647">
        <f t="shared" si="201"/>
        <v>354</v>
      </c>
    </row>
    <row r="648" spans="1:14" x14ac:dyDescent="0.2">
      <c r="A648" t="s">
        <v>1069</v>
      </c>
      <c r="B648" s="1" t="s">
        <v>1056</v>
      </c>
      <c r="C648" t="s">
        <v>14</v>
      </c>
      <c r="D648" t="s">
        <v>284</v>
      </c>
      <c r="E648">
        <v>22</v>
      </c>
      <c r="F648" t="s">
        <v>857</v>
      </c>
      <c r="G648">
        <v>2022</v>
      </c>
      <c r="H648" t="s">
        <v>104</v>
      </c>
      <c r="I648" t="s">
        <v>62</v>
      </c>
      <c r="J648">
        <v>999</v>
      </c>
      <c r="K648">
        <v>325</v>
      </c>
      <c r="L648">
        <f t="shared" si="200"/>
        <v>674</v>
      </c>
      <c r="M648">
        <v>240</v>
      </c>
      <c r="N648">
        <f t="shared" si="201"/>
        <v>434</v>
      </c>
    </row>
    <row r="649" spans="1:14" x14ac:dyDescent="0.2">
      <c r="A649" t="s">
        <v>1070</v>
      </c>
      <c r="B649" s="1" t="s">
        <v>1062</v>
      </c>
      <c r="C649" t="s">
        <v>14</v>
      </c>
      <c r="D649" t="s">
        <v>840</v>
      </c>
      <c r="E649">
        <v>23</v>
      </c>
      <c r="F649" t="s">
        <v>857</v>
      </c>
      <c r="G649">
        <v>2022</v>
      </c>
      <c r="H649" t="s">
        <v>49</v>
      </c>
      <c r="I649" t="s">
        <v>32</v>
      </c>
      <c r="J649">
        <v>999</v>
      </c>
      <c r="K649">
        <v>325</v>
      </c>
      <c r="L649">
        <f t="shared" si="200"/>
        <v>674</v>
      </c>
      <c r="M649">
        <v>240</v>
      </c>
      <c r="N649">
        <f t="shared" si="201"/>
        <v>434</v>
      </c>
    </row>
    <row r="650" spans="1:14" x14ac:dyDescent="0.2">
      <c r="A650" t="s">
        <v>1071</v>
      </c>
      <c r="B650" s="1" t="s">
        <v>1062</v>
      </c>
      <c r="C650" t="s">
        <v>14</v>
      </c>
      <c r="D650" t="s">
        <v>895</v>
      </c>
      <c r="E650">
        <v>23</v>
      </c>
      <c r="F650" t="s">
        <v>857</v>
      </c>
      <c r="G650">
        <v>2022</v>
      </c>
      <c r="H650" t="s">
        <v>91</v>
      </c>
      <c r="I650" t="s">
        <v>23</v>
      </c>
      <c r="J650">
        <v>849</v>
      </c>
      <c r="K650">
        <v>250</v>
      </c>
      <c r="L650">
        <f t="shared" si="200"/>
        <v>599</v>
      </c>
      <c r="M650">
        <v>240</v>
      </c>
      <c r="N650">
        <f t="shared" si="201"/>
        <v>359</v>
      </c>
    </row>
    <row r="651" spans="1:14" x14ac:dyDescent="0.2">
      <c r="A651" t="s">
        <v>966</v>
      </c>
      <c r="B651" s="1" t="s">
        <v>963</v>
      </c>
      <c r="C651" t="s">
        <v>106</v>
      </c>
      <c r="D651" t="s">
        <v>967</v>
      </c>
      <c r="E651">
        <v>11</v>
      </c>
      <c r="F651" t="s">
        <v>857</v>
      </c>
      <c r="G651">
        <v>2022</v>
      </c>
      <c r="H651" t="s">
        <v>246</v>
      </c>
      <c r="I651" t="s">
        <v>58</v>
      </c>
      <c r="J651">
        <v>-799</v>
      </c>
      <c r="K651">
        <v>320</v>
      </c>
      <c r="L651">
        <f>J651+K651</f>
        <v>-479</v>
      </c>
      <c r="M651">
        <v>240</v>
      </c>
      <c r="N651">
        <f>L651+M651</f>
        <v>-239</v>
      </c>
    </row>
    <row r="652" spans="1:14" x14ac:dyDescent="0.2">
      <c r="A652" t="s">
        <v>1073</v>
      </c>
      <c r="B652" s="1" t="s">
        <v>1072</v>
      </c>
      <c r="C652" t="s">
        <v>43</v>
      </c>
      <c r="D652" t="s">
        <v>490</v>
      </c>
      <c r="E652">
        <v>24</v>
      </c>
      <c r="F652" t="s">
        <v>857</v>
      </c>
      <c r="G652">
        <v>2022</v>
      </c>
      <c r="H652" t="s">
        <v>1074</v>
      </c>
      <c r="I652" t="s">
        <v>37</v>
      </c>
      <c r="J652">
        <v>0</v>
      </c>
      <c r="K652">
        <v>0</v>
      </c>
      <c r="L652">
        <v>0</v>
      </c>
      <c r="M652">
        <v>0</v>
      </c>
      <c r="N652">
        <v>0</v>
      </c>
    </row>
    <row r="653" spans="1:14" x14ac:dyDescent="0.2">
      <c r="A653" t="s">
        <v>1075</v>
      </c>
      <c r="B653" s="1" t="s">
        <v>1062</v>
      </c>
      <c r="C653" t="s">
        <v>43</v>
      </c>
      <c r="D653" t="s">
        <v>1076</v>
      </c>
      <c r="E653">
        <v>23</v>
      </c>
      <c r="F653" t="s">
        <v>857</v>
      </c>
      <c r="G653">
        <v>2022</v>
      </c>
      <c r="H653" t="s">
        <v>272</v>
      </c>
      <c r="I653" t="s">
        <v>23</v>
      </c>
      <c r="J653">
        <v>0</v>
      </c>
      <c r="K653">
        <v>0</v>
      </c>
      <c r="L653">
        <v>0</v>
      </c>
      <c r="M653">
        <v>0</v>
      </c>
      <c r="N653">
        <v>0</v>
      </c>
    </row>
    <row r="654" spans="1:14" x14ac:dyDescent="0.2">
      <c r="A654" t="s">
        <v>1077</v>
      </c>
      <c r="B654" s="1" t="s">
        <v>1072</v>
      </c>
      <c r="C654" t="s">
        <v>43</v>
      </c>
      <c r="D654" t="s">
        <v>822</v>
      </c>
      <c r="E654">
        <v>24</v>
      </c>
      <c r="F654" t="s">
        <v>857</v>
      </c>
      <c r="G654">
        <v>2022</v>
      </c>
      <c r="H654" t="s">
        <v>1078</v>
      </c>
      <c r="I654" t="s">
        <v>37</v>
      </c>
      <c r="J654">
        <v>0</v>
      </c>
      <c r="K654">
        <v>0</v>
      </c>
      <c r="L654">
        <v>0</v>
      </c>
      <c r="M654">
        <v>0</v>
      </c>
      <c r="N654">
        <v>0</v>
      </c>
    </row>
    <row r="655" spans="1:14" x14ac:dyDescent="0.2">
      <c r="A655" t="s">
        <v>1079</v>
      </c>
      <c r="B655" s="1" t="s">
        <v>1062</v>
      </c>
      <c r="C655" t="s">
        <v>14</v>
      </c>
      <c r="D655" t="s">
        <v>445</v>
      </c>
      <c r="E655">
        <v>23</v>
      </c>
      <c r="F655" t="s">
        <v>857</v>
      </c>
      <c r="G655">
        <v>2022</v>
      </c>
      <c r="H655" t="s">
        <v>1080</v>
      </c>
      <c r="I655" t="s">
        <v>455</v>
      </c>
      <c r="J655">
        <v>999</v>
      </c>
      <c r="K655">
        <v>325</v>
      </c>
      <c r="L655">
        <f t="shared" ref="L655:L678" si="202">J655-K655</f>
        <v>674</v>
      </c>
      <c r="M655">
        <v>240</v>
      </c>
      <c r="N655">
        <f t="shared" ref="N655:N678" si="203">L655-M655</f>
        <v>434</v>
      </c>
    </row>
    <row r="656" spans="1:14" x14ac:dyDescent="0.2">
      <c r="A656" t="s">
        <v>1073</v>
      </c>
      <c r="B656" s="1" t="s">
        <v>1072</v>
      </c>
      <c r="C656" t="s">
        <v>14</v>
      </c>
      <c r="D656" t="s">
        <v>490</v>
      </c>
      <c r="E656">
        <v>24</v>
      </c>
      <c r="F656" t="s">
        <v>857</v>
      </c>
      <c r="G656">
        <v>2022</v>
      </c>
      <c r="H656" t="s">
        <v>1074</v>
      </c>
      <c r="I656" t="s">
        <v>37</v>
      </c>
      <c r="J656">
        <v>899</v>
      </c>
      <c r="K656">
        <v>295</v>
      </c>
      <c r="L656">
        <f t="shared" si="202"/>
        <v>604</v>
      </c>
      <c r="M656">
        <v>240</v>
      </c>
      <c r="N656">
        <f t="shared" si="203"/>
        <v>364</v>
      </c>
    </row>
    <row r="657" spans="1:14" x14ac:dyDescent="0.2">
      <c r="A657" t="s">
        <v>1081</v>
      </c>
      <c r="B657" s="1" t="s">
        <v>1072</v>
      </c>
      <c r="C657" t="s">
        <v>14</v>
      </c>
      <c r="D657" t="s">
        <v>881</v>
      </c>
      <c r="E657">
        <v>24</v>
      </c>
      <c r="F657" t="s">
        <v>857</v>
      </c>
      <c r="G657">
        <v>2022</v>
      </c>
      <c r="H657" t="s">
        <v>1082</v>
      </c>
      <c r="I657" t="s">
        <v>502</v>
      </c>
      <c r="J657">
        <v>799</v>
      </c>
      <c r="K657">
        <v>205</v>
      </c>
      <c r="L657">
        <f t="shared" si="202"/>
        <v>594</v>
      </c>
      <c r="M657">
        <v>240</v>
      </c>
      <c r="N657">
        <f t="shared" si="203"/>
        <v>354</v>
      </c>
    </row>
    <row r="658" spans="1:14" x14ac:dyDescent="0.2">
      <c r="A658" t="s">
        <v>1083</v>
      </c>
      <c r="B658" s="1" t="s">
        <v>1072</v>
      </c>
      <c r="C658" t="s">
        <v>14</v>
      </c>
      <c r="D658" t="s">
        <v>879</v>
      </c>
      <c r="E658">
        <v>24</v>
      </c>
      <c r="F658" t="s">
        <v>857</v>
      </c>
      <c r="G658">
        <v>2022</v>
      </c>
      <c r="H658" t="s">
        <v>1084</v>
      </c>
      <c r="I658" t="s">
        <v>32</v>
      </c>
      <c r="J658">
        <v>849</v>
      </c>
      <c r="K658">
        <v>250</v>
      </c>
      <c r="L658">
        <f t="shared" si="202"/>
        <v>599</v>
      </c>
      <c r="M658">
        <v>240</v>
      </c>
      <c r="N658">
        <f t="shared" si="203"/>
        <v>359</v>
      </c>
    </row>
    <row r="659" spans="1:14" x14ac:dyDescent="0.2">
      <c r="A659" t="s">
        <v>1085</v>
      </c>
      <c r="B659" s="1" t="s">
        <v>1062</v>
      </c>
      <c r="C659" t="s">
        <v>14</v>
      </c>
      <c r="D659" t="s">
        <v>891</v>
      </c>
      <c r="E659">
        <v>23</v>
      </c>
      <c r="F659" t="s">
        <v>857</v>
      </c>
      <c r="G659">
        <v>2022</v>
      </c>
      <c r="H659" t="s">
        <v>1086</v>
      </c>
      <c r="I659" t="s">
        <v>97</v>
      </c>
      <c r="J659">
        <v>849</v>
      </c>
      <c r="K659">
        <v>250</v>
      </c>
      <c r="L659">
        <f t="shared" si="202"/>
        <v>599</v>
      </c>
      <c r="M659">
        <v>240</v>
      </c>
      <c r="N659">
        <f t="shared" si="203"/>
        <v>359</v>
      </c>
    </row>
    <row r="660" spans="1:14" x14ac:dyDescent="0.2">
      <c r="A660" t="s">
        <v>1087</v>
      </c>
      <c r="B660" s="1" t="s">
        <v>1062</v>
      </c>
      <c r="C660" t="s">
        <v>14</v>
      </c>
      <c r="D660" t="s">
        <v>1015</v>
      </c>
      <c r="E660">
        <v>23</v>
      </c>
      <c r="F660" t="s">
        <v>857</v>
      </c>
      <c r="G660">
        <v>2022</v>
      </c>
      <c r="H660" t="s">
        <v>604</v>
      </c>
      <c r="I660" t="s">
        <v>85</v>
      </c>
      <c r="J660">
        <v>849</v>
      </c>
      <c r="K660">
        <v>250</v>
      </c>
      <c r="L660">
        <f t="shared" si="202"/>
        <v>599</v>
      </c>
      <c r="M660">
        <v>240</v>
      </c>
      <c r="N660">
        <f t="shared" si="203"/>
        <v>359</v>
      </c>
    </row>
    <row r="661" spans="1:14" x14ac:dyDescent="0.2">
      <c r="A661" t="s">
        <v>1088</v>
      </c>
      <c r="B661" s="1" t="s">
        <v>1072</v>
      </c>
      <c r="C661" t="s">
        <v>14</v>
      </c>
      <c r="D661" t="s">
        <v>1089</v>
      </c>
      <c r="E661">
        <v>24</v>
      </c>
      <c r="F661" t="s">
        <v>857</v>
      </c>
      <c r="G661">
        <v>2022</v>
      </c>
      <c r="H661" t="s">
        <v>309</v>
      </c>
      <c r="I661" t="s">
        <v>212</v>
      </c>
      <c r="J661">
        <v>799</v>
      </c>
      <c r="K661">
        <v>205</v>
      </c>
      <c r="L661">
        <f t="shared" si="202"/>
        <v>594</v>
      </c>
      <c r="M661">
        <v>240</v>
      </c>
      <c r="N661">
        <f t="shared" si="203"/>
        <v>354</v>
      </c>
    </row>
    <row r="662" spans="1:14" x14ac:dyDescent="0.2">
      <c r="A662" t="s">
        <v>1090</v>
      </c>
      <c r="B662" s="1" t="s">
        <v>1072</v>
      </c>
      <c r="C662" t="s">
        <v>14</v>
      </c>
      <c r="D662" t="s">
        <v>895</v>
      </c>
      <c r="E662">
        <v>24</v>
      </c>
      <c r="F662" t="s">
        <v>857</v>
      </c>
      <c r="G662">
        <v>2022</v>
      </c>
      <c r="H662" t="s">
        <v>249</v>
      </c>
      <c r="I662" t="s">
        <v>250</v>
      </c>
      <c r="J662">
        <v>849</v>
      </c>
      <c r="K662">
        <v>250</v>
      </c>
      <c r="L662">
        <f t="shared" si="202"/>
        <v>599</v>
      </c>
      <c r="M662">
        <v>240</v>
      </c>
      <c r="N662">
        <f t="shared" si="203"/>
        <v>359</v>
      </c>
    </row>
    <row r="663" spans="1:14" x14ac:dyDescent="0.2">
      <c r="A663" t="s">
        <v>1091</v>
      </c>
      <c r="B663" s="1" t="s">
        <v>1062</v>
      </c>
      <c r="C663" t="s">
        <v>14</v>
      </c>
      <c r="D663" t="s">
        <v>504</v>
      </c>
      <c r="E663">
        <v>23</v>
      </c>
      <c r="F663" t="s">
        <v>857</v>
      </c>
      <c r="G663">
        <v>2022</v>
      </c>
      <c r="H663" t="s">
        <v>71</v>
      </c>
      <c r="I663" t="s">
        <v>62</v>
      </c>
      <c r="J663">
        <v>899</v>
      </c>
      <c r="K663">
        <v>295</v>
      </c>
      <c r="L663">
        <f t="shared" si="202"/>
        <v>604</v>
      </c>
      <c r="M663">
        <v>240</v>
      </c>
      <c r="N663">
        <f t="shared" si="203"/>
        <v>364</v>
      </c>
    </row>
    <row r="664" spans="1:14" x14ac:dyDescent="0.2">
      <c r="A664" t="s">
        <v>1092</v>
      </c>
      <c r="B664" s="1" t="s">
        <v>1072</v>
      </c>
      <c r="C664" t="s">
        <v>14</v>
      </c>
      <c r="D664" t="s">
        <v>308</v>
      </c>
      <c r="E664">
        <v>24</v>
      </c>
      <c r="F664" t="s">
        <v>857</v>
      </c>
      <c r="G664">
        <v>2022</v>
      </c>
      <c r="H664" t="s">
        <v>1093</v>
      </c>
      <c r="I664" t="s">
        <v>144</v>
      </c>
      <c r="J664">
        <v>899</v>
      </c>
      <c r="K664">
        <v>295</v>
      </c>
      <c r="L664">
        <f t="shared" si="202"/>
        <v>604</v>
      </c>
      <c r="M664">
        <v>240</v>
      </c>
      <c r="N664">
        <f t="shared" si="203"/>
        <v>364</v>
      </c>
    </row>
    <row r="665" spans="1:14" x14ac:dyDescent="0.2">
      <c r="A665" t="s">
        <v>1094</v>
      </c>
      <c r="B665" s="1" t="s">
        <v>1072</v>
      </c>
      <c r="C665" t="s">
        <v>14</v>
      </c>
      <c r="D665" t="s">
        <v>840</v>
      </c>
      <c r="E665">
        <v>24</v>
      </c>
      <c r="F665" t="s">
        <v>857</v>
      </c>
      <c r="G665">
        <v>2022</v>
      </c>
      <c r="H665" t="s">
        <v>1095</v>
      </c>
      <c r="I665" t="s">
        <v>97</v>
      </c>
      <c r="J665">
        <v>999</v>
      </c>
      <c r="K665">
        <v>325</v>
      </c>
      <c r="L665">
        <f t="shared" si="202"/>
        <v>674</v>
      </c>
      <c r="M665">
        <v>240</v>
      </c>
      <c r="N665">
        <f t="shared" si="203"/>
        <v>434</v>
      </c>
    </row>
    <row r="666" spans="1:14" x14ac:dyDescent="0.2">
      <c r="A666" t="s">
        <v>1096</v>
      </c>
      <c r="B666" s="1" t="s">
        <v>1062</v>
      </c>
      <c r="C666" t="s">
        <v>14</v>
      </c>
      <c r="D666" t="s">
        <v>133</v>
      </c>
      <c r="E666">
        <v>23</v>
      </c>
      <c r="F666" t="s">
        <v>857</v>
      </c>
      <c r="G666">
        <v>2022</v>
      </c>
      <c r="H666" t="s">
        <v>157</v>
      </c>
      <c r="I666" t="s">
        <v>97</v>
      </c>
      <c r="J666">
        <v>799</v>
      </c>
      <c r="K666">
        <v>205</v>
      </c>
      <c r="L666">
        <f t="shared" si="202"/>
        <v>594</v>
      </c>
      <c r="M666">
        <v>240</v>
      </c>
      <c r="N666">
        <f t="shared" si="203"/>
        <v>354</v>
      </c>
    </row>
    <row r="667" spans="1:14" x14ac:dyDescent="0.2">
      <c r="A667" t="s">
        <v>1097</v>
      </c>
      <c r="B667" s="1" t="s">
        <v>1062</v>
      </c>
      <c r="C667" t="s">
        <v>14</v>
      </c>
      <c r="D667" t="s">
        <v>81</v>
      </c>
      <c r="E667">
        <v>23</v>
      </c>
      <c r="F667" t="s">
        <v>857</v>
      </c>
      <c r="G667">
        <v>2022</v>
      </c>
      <c r="H667" t="s">
        <v>1098</v>
      </c>
      <c r="I667" t="s">
        <v>28</v>
      </c>
      <c r="J667">
        <v>849</v>
      </c>
      <c r="K667">
        <v>250</v>
      </c>
      <c r="L667">
        <f t="shared" si="202"/>
        <v>599</v>
      </c>
      <c r="M667">
        <v>240</v>
      </c>
      <c r="N667">
        <f t="shared" si="203"/>
        <v>359</v>
      </c>
    </row>
    <row r="668" spans="1:14" x14ac:dyDescent="0.2">
      <c r="A668" t="s">
        <v>1099</v>
      </c>
      <c r="B668" s="1" t="s">
        <v>1072</v>
      </c>
      <c r="C668" t="s">
        <v>14</v>
      </c>
      <c r="D668" t="s">
        <v>792</v>
      </c>
      <c r="E668">
        <v>24</v>
      </c>
      <c r="F668" t="s">
        <v>857</v>
      </c>
      <c r="G668">
        <v>2022</v>
      </c>
      <c r="H668" t="s">
        <v>1100</v>
      </c>
      <c r="I668" t="s">
        <v>85</v>
      </c>
      <c r="J668">
        <v>849</v>
      </c>
      <c r="K668">
        <v>250</v>
      </c>
      <c r="L668">
        <f t="shared" si="202"/>
        <v>599</v>
      </c>
      <c r="M668">
        <v>240</v>
      </c>
      <c r="N668">
        <f t="shared" si="203"/>
        <v>359</v>
      </c>
    </row>
    <row r="669" spans="1:14" x14ac:dyDescent="0.2">
      <c r="A669" t="s">
        <v>1101</v>
      </c>
      <c r="B669" s="1" t="s">
        <v>1062</v>
      </c>
      <c r="C669" t="s">
        <v>14</v>
      </c>
      <c r="D669" t="s">
        <v>975</v>
      </c>
      <c r="E669">
        <v>23</v>
      </c>
      <c r="F669" t="s">
        <v>857</v>
      </c>
      <c r="G669">
        <v>2022</v>
      </c>
      <c r="H669" t="s">
        <v>104</v>
      </c>
      <c r="I669" t="s">
        <v>62</v>
      </c>
      <c r="J669">
        <v>799</v>
      </c>
      <c r="K669">
        <v>205</v>
      </c>
      <c r="L669">
        <f t="shared" si="202"/>
        <v>594</v>
      </c>
      <c r="M669">
        <v>240</v>
      </c>
      <c r="N669">
        <f t="shared" si="203"/>
        <v>354</v>
      </c>
    </row>
    <row r="670" spans="1:14" x14ac:dyDescent="0.2">
      <c r="A670" t="s">
        <v>1102</v>
      </c>
      <c r="B670" s="1" t="s">
        <v>1062</v>
      </c>
      <c r="C670" t="s">
        <v>14</v>
      </c>
      <c r="D670" t="s">
        <v>801</v>
      </c>
      <c r="E670">
        <v>23</v>
      </c>
      <c r="F670" t="s">
        <v>857</v>
      </c>
      <c r="G670">
        <v>2022</v>
      </c>
      <c r="H670" t="s">
        <v>157</v>
      </c>
      <c r="I670" t="s">
        <v>97</v>
      </c>
      <c r="J670">
        <v>849</v>
      </c>
      <c r="K670">
        <v>250</v>
      </c>
      <c r="L670">
        <f t="shared" si="202"/>
        <v>599</v>
      </c>
      <c r="M670">
        <v>240</v>
      </c>
      <c r="N670">
        <f t="shared" si="203"/>
        <v>359</v>
      </c>
    </row>
    <row r="671" spans="1:14" x14ac:dyDescent="0.2">
      <c r="A671" t="s">
        <v>1063</v>
      </c>
      <c r="B671" s="1" t="s">
        <v>1062</v>
      </c>
      <c r="C671" t="s">
        <v>14</v>
      </c>
      <c r="D671" t="s">
        <v>81</v>
      </c>
      <c r="E671">
        <v>23</v>
      </c>
      <c r="F671" t="s">
        <v>857</v>
      </c>
      <c r="G671">
        <v>2022</v>
      </c>
      <c r="H671" t="s">
        <v>235</v>
      </c>
      <c r="I671" t="s">
        <v>62</v>
      </c>
      <c r="J671">
        <v>849</v>
      </c>
      <c r="K671">
        <v>250</v>
      </c>
      <c r="L671">
        <f t="shared" si="202"/>
        <v>599</v>
      </c>
      <c r="M671">
        <v>240</v>
      </c>
      <c r="N671">
        <f t="shared" si="203"/>
        <v>359</v>
      </c>
    </row>
    <row r="672" spans="1:14" x14ac:dyDescent="0.2">
      <c r="A672" t="s">
        <v>1104</v>
      </c>
      <c r="B672" s="1" t="s">
        <v>1103</v>
      </c>
      <c r="C672" t="s">
        <v>14</v>
      </c>
      <c r="D672" t="s">
        <v>1105</v>
      </c>
      <c r="E672">
        <v>25</v>
      </c>
      <c r="F672" t="s">
        <v>857</v>
      </c>
      <c r="G672">
        <v>2022</v>
      </c>
      <c r="H672" t="s">
        <v>1106</v>
      </c>
      <c r="I672" t="s">
        <v>62</v>
      </c>
      <c r="J672">
        <v>849</v>
      </c>
      <c r="K672">
        <v>250</v>
      </c>
      <c r="L672">
        <f t="shared" si="202"/>
        <v>599</v>
      </c>
      <c r="M672">
        <v>240</v>
      </c>
      <c r="N672">
        <f t="shared" si="203"/>
        <v>359</v>
      </c>
    </row>
    <row r="673" spans="1:14" x14ac:dyDescent="0.2">
      <c r="A673" t="s">
        <v>1107</v>
      </c>
      <c r="B673" s="1" t="s">
        <v>1062</v>
      </c>
      <c r="C673" t="s">
        <v>14</v>
      </c>
      <c r="D673" t="s">
        <v>448</v>
      </c>
      <c r="E673">
        <v>23</v>
      </c>
      <c r="F673" t="s">
        <v>857</v>
      </c>
      <c r="G673">
        <v>2022</v>
      </c>
      <c r="H673" t="s">
        <v>1108</v>
      </c>
      <c r="I673" t="s">
        <v>212</v>
      </c>
      <c r="J673">
        <v>899</v>
      </c>
      <c r="K673">
        <v>295</v>
      </c>
      <c r="L673">
        <f t="shared" si="202"/>
        <v>604</v>
      </c>
      <c r="M673">
        <v>240</v>
      </c>
      <c r="N673">
        <f t="shared" si="203"/>
        <v>364</v>
      </c>
    </row>
    <row r="674" spans="1:14" x14ac:dyDescent="0.2">
      <c r="A674" t="s">
        <v>1109</v>
      </c>
      <c r="B674" s="1" t="s">
        <v>1072</v>
      </c>
      <c r="C674" t="s">
        <v>14</v>
      </c>
      <c r="D674" t="s">
        <v>380</v>
      </c>
      <c r="E674">
        <v>24</v>
      </c>
      <c r="F674" t="s">
        <v>857</v>
      </c>
      <c r="G674">
        <v>2022</v>
      </c>
      <c r="H674" t="s">
        <v>592</v>
      </c>
      <c r="I674" t="s">
        <v>85</v>
      </c>
      <c r="J674">
        <v>849</v>
      </c>
      <c r="K674">
        <v>250</v>
      </c>
      <c r="L674">
        <f t="shared" si="202"/>
        <v>599</v>
      </c>
      <c r="M674">
        <v>240</v>
      </c>
      <c r="N674">
        <f t="shared" si="203"/>
        <v>359</v>
      </c>
    </row>
    <row r="675" spans="1:14" x14ac:dyDescent="0.2">
      <c r="A675" t="s">
        <v>1110</v>
      </c>
      <c r="B675" s="1" t="s">
        <v>1072</v>
      </c>
      <c r="C675" t="s">
        <v>14</v>
      </c>
      <c r="D675" t="s">
        <v>380</v>
      </c>
      <c r="E675">
        <v>24</v>
      </c>
      <c r="F675" t="s">
        <v>857</v>
      </c>
      <c r="G675">
        <v>2022</v>
      </c>
      <c r="H675" t="s">
        <v>1100</v>
      </c>
      <c r="I675" t="s">
        <v>85</v>
      </c>
      <c r="J675">
        <v>849</v>
      </c>
      <c r="K675">
        <v>250</v>
      </c>
      <c r="L675">
        <f t="shared" si="202"/>
        <v>599</v>
      </c>
      <c r="M675">
        <v>240</v>
      </c>
      <c r="N675">
        <f t="shared" si="203"/>
        <v>359</v>
      </c>
    </row>
    <row r="676" spans="1:14" x14ac:dyDescent="0.2">
      <c r="A676" t="s">
        <v>1111</v>
      </c>
      <c r="B676" s="1" t="s">
        <v>1062</v>
      </c>
      <c r="C676" t="s">
        <v>14</v>
      </c>
      <c r="D676" t="s">
        <v>133</v>
      </c>
      <c r="E676">
        <v>23</v>
      </c>
      <c r="F676" t="s">
        <v>857</v>
      </c>
      <c r="G676">
        <v>2022</v>
      </c>
      <c r="H676" t="s">
        <v>1112</v>
      </c>
      <c r="I676" t="s">
        <v>23</v>
      </c>
      <c r="J676">
        <v>799</v>
      </c>
      <c r="K676">
        <v>205</v>
      </c>
      <c r="L676">
        <f t="shared" si="202"/>
        <v>594</v>
      </c>
      <c r="M676">
        <v>240</v>
      </c>
      <c r="N676">
        <f t="shared" si="203"/>
        <v>354</v>
      </c>
    </row>
    <row r="677" spans="1:14" x14ac:dyDescent="0.2">
      <c r="A677" t="s">
        <v>1113</v>
      </c>
      <c r="B677" s="1" t="s">
        <v>1062</v>
      </c>
      <c r="C677" t="s">
        <v>14</v>
      </c>
      <c r="D677" t="s">
        <v>993</v>
      </c>
      <c r="E677">
        <v>23</v>
      </c>
      <c r="F677" t="s">
        <v>857</v>
      </c>
      <c r="G677">
        <v>2022</v>
      </c>
      <c r="H677" t="s">
        <v>235</v>
      </c>
      <c r="I677" t="s">
        <v>62</v>
      </c>
      <c r="J677">
        <v>799</v>
      </c>
      <c r="K677">
        <v>205</v>
      </c>
      <c r="L677">
        <f t="shared" si="202"/>
        <v>594</v>
      </c>
      <c r="M677">
        <v>240</v>
      </c>
      <c r="N677">
        <f t="shared" si="203"/>
        <v>354</v>
      </c>
    </row>
    <row r="678" spans="1:14" x14ac:dyDescent="0.2">
      <c r="A678" t="s">
        <v>1114</v>
      </c>
      <c r="B678" s="1" t="s">
        <v>1072</v>
      </c>
      <c r="C678" t="s">
        <v>14</v>
      </c>
      <c r="D678" t="s">
        <v>891</v>
      </c>
      <c r="E678">
        <v>24</v>
      </c>
      <c r="F678" t="s">
        <v>857</v>
      </c>
      <c r="G678">
        <v>2022</v>
      </c>
      <c r="H678" t="s">
        <v>1115</v>
      </c>
      <c r="I678" t="s">
        <v>135</v>
      </c>
      <c r="J678">
        <v>849</v>
      </c>
      <c r="K678">
        <v>250</v>
      </c>
      <c r="L678">
        <f t="shared" si="202"/>
        <v>599</v>
      </c>
      <c r="M678">
        <v>240</v>
      </c>
      <c r="N678">
        <f t="shared" si="203"/>
        <v>359</v>
      </c>
    </row>
    <row r="679" spans="1:14" x14ac:dyDescent="0.2">
      <c r="A679" t="s">
        <v>1117</v>
      </c>
      <c r="B679" s="1" t="s">
        <v>1116</v>
      </c>
      <c r="C679" t="s">
        <v>43</v>
      </c>
      <c r="D679" t="s">
        <v>490</v>
      </c>
      <c r="E679">
        <v>26</v>
      </c>
      <c r="F679" t="s">
        <v>857</v>
      </c>
      <c r="G679">
        <v>2022</v>
      </c>
      <c r="H679" t="s">
        <v>1118</v>
      </c>
      <c r="I679" t="s">
        <v>122</v>
      </c>
      <c r="J679">
        <v>0</v>
      </c>
      <c r="K679">
        <v>0</v>
      </c>
      <c r="L679">
        <v>0</v>
      </c>
      <c r="M679">
        <v>0</v>
      </c>
      <c r="N679">
        <v>0</v>
      </c>
    </row>
    <row r="680" spans="1:14" x14ac:dyDescent="0.2">
      <c r="A680" t="s">
        <v>1119</v>
      </c>
      <c r="B680" s="1" t="s">
        <v>1072</v>
      </c>
      <c r="C680" t="s">
        <v>14</v>
      </c>
      <c r="D680" t="s">
        <v>242</v>
      </c>
      <c r="E680">
        <v>24</v>
      </c>
      <c r="F680" t="s">
        <v>857</v>
      </c>
      <c r="G680">
        <v>2022</v>
      </c>
      <c r="H680" t="s">
        <v>84</v>
      </c>
      <c r="I680" t="s">
        <v>85</v>
      </c>
      <c r="J680">
        <v>899</v>
      </c>
      <c r="K680">
        <v>295</v>
      </c>
      <c r="L680">
        <f t="shared" ref="L680:L700" si="204">J680-K680</f>
        <v>604</v>
      </c>
      <c r="M680">
        <v>240</v>
      </c>
      <c r="N680">
        <f t="shared" ref="N680:N700" si="205">L680-M680</f>
        <v>364</v>
      </c>
    </row>
    <row r="681" spans="1:14" x14ac:dyDescent="0.2">
      <c r="A681" t="s">
        <v>1120</v>
      </c>
      <c r="B681" s="1" t="s">
        <v>1072</v>
      </c>
      <c r="C681" t="s">
        <v>14</v>
      </c>
      <c r="D681" t="s">
        <v>117</v>
      </c>
      <c r="E681">
        <v>24</v>
      </c>
      <c r="F681" t="s">
        <v>857</v>
      </c>
      <c r="G681">
        <v>2022</v>
      </c>
      <c r="H681" t="s">
        <v>1121</v>
      </c>
      <c r="I681" t="s">
        <v>122</v>
      </c>
      <c r="J681">
        <v>899</v>
      </c>
      <c r="K681">
        <v>295</v>
      </c>
      <c r="L681">
        <f t="shared" si="204"/>
        <v>604</v>
      </c>
      <c r="M681">
        <v>240</v>
      </c>
      <c r="N681">
        <f t="shared" si="205"/>
        <v>364</v>
      </c>
    </row>
    <row r="682" spans="1:14" x14ac:dyDescent="0.2">
      <c r="A682" t="s">
        <v>1122</v>
      </c>
      <c r="B682" s="1" t="s">
        <v>1072</v>
      </c>
      <c r="C682" t="s">
        <v>14</v>
      </c>
      <c r="D682" t="s">
        <v>801</v>
      </c>
      <c r="E682">
        <v>24</v>
      </c>
      <c r="F682" t="s">
        <v>857</v>
      </c>
      <c r="G682">
        <v>2022</v>
      </c>
      <c r="H682" t="s">
        <v>235</v>
      </c>
      <c r="I682" t="s">
        <v>62</v>
      </c>
      <c r="J682">
        <v>849</v>
      </c>
      <c r="K682">
        <v>250</v>
      </c>
      <c r="L682">
        <f t="shared" si="204"/>
        <v>599</v>
      </c>
      <c r="M682">
        <v>240</v>
      </c>
      <c r="N682">
        <f t="shared" si="205"/>
        <v>359</v>
      </c>
    </row>
    <row r="683" spans="1:14" x14ac:dyDescent="0.2">
      <c r="A683" t="s">
        <v>1123</v>
      </c>
      <c r="B683" s="1" t="s">
        <v>1072</v>
      </c>
      <c r="C683" t="s">
        <v>14</v>
      </c>
      <c r="D683" t="s">
        <v>284</v>
      </c>
      <c r="E683">
        <v>24</v>
      </c>
      <c r="F683" t="s">
        <v>857</v>
      </c>
      <c r="G683">
        <v>2022</v>
      </c>
      <c r="H683" t="s">
        <v>246</v>
      </c>
      <c r="I683" t="s">
        <v>58</v>
      </c>
      <c r="J683">
        <v>899</v>
      </c>
      <c r="K683">
        <v>295</v>
      </c>
      <c r="L683">
        <f t="shared" si="204"/>
        <v>604</v>
      </c>
      <c r="M683">
        <v>240</v>
      </c>
      <c r="N683">
        <f t="shared" si="205"/>
        <v>364</v>
      </c>
    </row>
    <row r="684" spans="1:14" x14ac:dyDescent="0.2">
      <c r="A684" t="s">
        <v>1124</v>
      </c>
      <c r="B684" s="1" t="s">
        <v>1072</v>
      </c>
      <c r="C684" t="s">
        <v>14</v>
      </c>
      <c r="D684" t="s">
        <v>445</v>
      </c>
      <c r="E684">
        <v>24</v>
      </c>
      <c r="F684" t="s">
        <v>857</v>
      </c>
      <c r="G684">
        <v>2022</v>
      </c>
      <c r="H684" t="s">
        <v>1125</v>
      </c>
      <c r="I684" t="s">
        <v>212</v>
      </c>
      <c r="J684">
        <v>899</v>
      </c>
      <c r="K684">
        <v>295</v>
      </c>
      <c r="L684">
        <f t="shared" si="204"/>
        <v>604</v>
      </c>
      <c r="M684">
        <v>240</v>
      </c>
      <c r="N684">
        <f t="shared" si="205"/>
        <v>364</v>
      </c>
    </row>
    <row r="685" spans="1:14" x14ac:dyDescent="0.2">
      <c r="A685" t="s">
        <v>1126</v>
      </c>
      <c r="B685" s="1" t="s">
        <v>1072</v>
      </c>
      <c r="C685" t="s">
        <v>14</v>
      </c>
      <c r="D685" t="s">
        <v>1127</v>
      </c>
      <c r="E685">
        <v>24</v>
      </c>
      <c r="F685" t="s">
        <v>857</v>
      </c>
      <c r="G685">
        <v>2022</v>
      </c>
      <c r="H685" t="s">
        <v>1128</v>
      </c>
      <c r="I685" t="s">
        <v>97</v>
      </c>
      <c r="J685">
        <v>999</v>
      </c>
      <c r="K685">
        <v>325</v>
      </c>
      <c r="L685">
        <f t="shared" si="204"/>
        <v>674</v>
      </c>
      <c r="M685">
        <v>240</v>
      </c>
      <c r="N685">
        <f t="shared" si="205"/>
        <v>434</v>
      </c>
    </row>
    <row r="686" spans="1:14" x14ac:dyDescent="0.2">
      <c r="A686" t="s">
        <v>1129</v>
      </c>
      <c r="B686" s="1" t="s">
        <v>1072</v>
      </c>
      <c r="C686" t="s">
        <v>14</v>
      </c>
      <c r="D686" t="s">
        <v>133</v>
      </c>
      <c r="E686">
        <v>24</v>
      </c>
      <c r="F686" t="s">
        <v>857</v>
      </c>
      <c r="G686">
        <v>2022</v>
      </c>
      <c r="H686" t="s">
        <v>157</v>
      </c>
      <c r="I686" t="s">
        <v>97</v>
      </c>
      <c r="J686">
        <v>799</v>
      </c>
      <c r="K686">
        <v>205</v>
      </c>
      <c r="L686">
        <f t="shared" si="204"/>
        <v>594</v>
      </c>
      <c r="M686">
        <v>240</v>
      </c>
      <c r="N686">
        <f t="shared" si="205"/>
        <v>354</v>
      </c>
    </row>
    <row r="687" spans="1:14" x14ac:dyDescent="0.2">
      <c r="A687" t="s">
        <v>1077</v>
      </c>
      <c r="B687" s="1" t="s">
        <v>1072</v>
      </c>
      <c r="C687" t="s">
        <v>14</v>
      </c>
      <c r="D687" t="s">
        <v>822</v>
      </c>
      <c r="E687">
        <v>24</v>
      </c>
      <c r="F687" t="s">
        <v>857</v>
      </c>
      <c r="G687">
        <v>2022</v>
      </c>
      <c r="H687" t="s">
        <v>1078</v>
      </c>
      <c r="I687" t="s">
        <v>37</v>
      </c>
      <c r="J687">
        <v>849</v>
      </c>
      <c r="K687">
        <v>250</v>
      </c>
      <c r="L687">
        <f t="shared" si="204"/>
        <v>599</v>
      </c>
      <c r="M687">
        <v>240</v>
      </c>
      <c r="N687">
        <f t="shared" si="205"/>
        <v>359</v>
      </c>
    </row>
    <row r="688" spans="1:14" x14ac:dyDescent="0.2">
      <c r="A688" t="s">
        <v>1130</v>
      </c>
      <c r="B688" s="1" t="s">
        <v>1072</v>
      </c>
      <c r="C688" t="s">
        <v>14</v>
      </c>
      <c r="D688" t="s">
        <v>809</v>
      </c>
      <c r="E688">
        <v>24</v>
      </c>
      <c r="F688" t="s">
        <v>857</v>
      </c>
      <c r="G688">
        <v>2022</v>
      </c>
      <c r="H688" t="s">
        <v>314</v>
      </c>
      <c r="I688" t="s">
        <v>58</v>
      </c>
      <c r="J688">
        <v>999</v>
      </c>
      <c r="K688">
        <v>325</v>
      </c>
      <c r="L688">
        <f t="shared" si="204"/>
        <v>674</v>
      </c>
      <c r="M688">
        <v>240</v>
      </c>
      <c r="N688">
        <f t="shared" si="205"/>
        <v>434</v>
      </c>
    </row>
    <row r="689" spans="1:14" x14ac:dyDescent="0.2">
      <c r="A689" t="s">
        <v>1131</v>
      </c>
      <c r="B689" s="1" t="s">
        <v>1072</v>
      </c>
      <c r="C689" t="s">
        <v>14</v>
      </c>
      <c r="D689" t="s">
        <v>819</v>
      </c>
      <c r="E689">
        <v>24</v>
      </c>
      <c r="F689" t="s">
        <v>857</v>
      </c>
      <c r="G689">
        <v>2022</v>
      </c>
      <c r="H689" t="s">
        <v>49</v>
      </c>
      <c r="I689" t="s">
        <v>32</v>
      </c>
      <c r="J689">
        <v>999</v>
      </c>
      <c r="K689">
        <v>325</v>
      </c>
      <c r="L689">
        <f t="shared" si="204"/>
        <v>674</v>
      </c>
      <c r="M689">
        <v>240</v>
      </c>
      <c r="N689">
        <f t="shared" si="205"/>
        <v>434</v>
      </c>
    </row>
    <row r="690" spans="1:14" x14ac:dyDescent="0.2">
      <c r="A690" t="s">
        <v>1132</v>
      </c>
      <c r="B690" s="1" t="s">
        <v>1072</v>
      </c>
      <c r="C690" t="s">
        <v>14</v>
      </c>
      <c r="D690" t="s">
        <v>81</v>
      </c>
      <c r="E690">
        <v>24</v>
      </c>
      <c r="F690" t="s">
        <v>857</v>
      </c>
      <c r="G690">
        <v>2022</v>
      </c>
      <c r="H690" t="s">
        <v>235</v>
      </c>
      <c r="I690" t="s">
        <v>62</v>
      </c>
      <c r="J690">
        <v>849</v>
      </c>
      <c r="K690">
        <v>250</v>
      </c>
      <c r="L690">
        <f t="shared" si="204"/>
        <v>599</v>
      </c>
      <c r="M690">
        <v>240</v>
      </c>
      <c r="N690">
        <f t="shared" si="205"/>
        <v>359</v>
      </c>
    </row>
    <row r="691" spans="1:14" x14ac:dyDescent="0.2">
      <c r="A691" t="s">
        <v>1133</v>
      </c>
      <c r="B691" s="1" t="s">
        <v>1072</v>
      </c>
      <c r="C691" t="s">
        <v>14</v>
      </c>
      <c r="D691" t="s">
        <v>840</v>
      </c>
      <c r="E691">
        <v>24</v>
      </c>
      <c r="F691" t="s">
        <v>857</v>
      </c>
      <c r="G691">
        <v>2022</v>
      </c>
      <c r="H691" t="s">
        <v>802</v>
      </c>
      <c r="I691" t="s">
        <v>23</v>
      </c>
      <c r="J691">
        <v>999</v>
      </c>
      <c r="K691">
        <v>325</v>
      </c>
      <c r="L691">
        <f t="shared" si="204"/>
        <v>674</v>
      </c>
      <c r="M691">
        <v>240</v>
      </c>
      <c r="N691">
        <f t="shared" si="205"/>
        <v>434</v>
      </c>
    </row>
    <row r="692" spans="1:14" x14ac:dyDescent="0.2">
      <c r="A692" t="s">
        <v>1134</v>
      </c>
      <c r="B692" s="1" t="s">
        <v>1072</v>
      </c>
      <c r="C692" t="s">
        <v>14</v>
      </c>
      <c r="D692" t="s">
        <v>548</v>
      </c>
      <c r="E692">
        <v>24</v>
      </c>
      <c r="F692" t="s">
        <v>857</v>
      </c>
      <c r="G692">
        <v>2022</v>
      </c>
      <c r="H692" t="s">
        <v>246</v>
      </c>
      <c r="I692" t="s">
        <v>58</v>
      </c>
      <c r="J692">
        <v>899</v>
      </c>
      <c r="K692">
        <v>295</v>
      </c>
      <c r="L692">
        <f t="shared" si="204"/>
        <v>604</v>
      </c>
      <c r="M692">
        <v>240</v>
      </c>
      <c r="N692">
        <f t="shared" si="205"/>
        <v>364</v>
      </c>
    </row>
    <row r="693" spans="1:14" x14ac:dyDescent="0.2">
      <c r="A693" t="s">
        <v>1135</v>
      </c>
      <c r="B693" s="1" t="s">
        <v>1072</v>
      </c>
      <c r="C693" t="s">
        <v>14</v>
      </c>
      <c r="D693" t="s">
        <v>822</v>
      </c>
      <c r="E693">
        <v>24</v>
      </c>
      <c r="F693" t="s">
        <v>857</v>
      </c>
      <c r="G693">
        <v>2022</v>
      </c>
      <c r="H693" t="s">
        <v>157</v>
      </c>
      <c r="I693" t="s">
        <v>97</v>
      </c>
      <c r="J693">
        <v>849</v>
      </c>
      <c r="K693">
        <v>250</v>
      </c>
      <c r="L693">
        <f t="shared" si="204"/>
        <v>599</v>
      </c>
      <c r="M693">
        <v>240</v>
      </c>
      <c r="N693">
        <f t="shared" si="205"/>
        <v>359</v>
      </c>
    </row>
    <row r="694" spans="1:14" x14ac:dyDescent="0.2">
      <c r="A694" t="s">
        <v>1136</v>
      </c>
      <c r="B694" s="1" t="s">
        <v>1072</v>
      </c>
      <c r="C694" t="s">
        <v>14</v>
      </c>
      <c r="D694" t="s">
        <v>840</v>
      </c>
      <c r="E694">
        <v>24</v>
      </c>
      <c r="F694" t="s">
        <v>857</v>
      </c>
      <c r="G694">
        <v>2022</v>
      </c>
      <c r="H694" t="s">
        <v>1137</v>
      </c>
      <c r="I694" t="s">
        <v>58</v>
      </c>
      <c r="J694">
        <v>999</v>
      </c>
      <c r="K694">
        <v>325</v>
      </c>
      <c r="L694">
        <f t="shared" si="204"/>
        <v>674</v>
      </c>
      <c r="M694">
        <v>240</v>
      </c>
      <c r="N694">
        <f t="shared" si="205"/>
        <v>434</v>
      </c>
    </row>
    <row r="695" spans="1:14" x14ac:dyDescent="0.2">
      <c r="A695" t="s">
        <v>1138</v>
      </c>
      <c r="B695" s="1" t="s">
        <v>1072</v>
      </c>
      <c r="C695" t="s">
        <v>14</v>
      </c>
      <c r="D695" t="s">
        <v>284</v>
      </c>
      <c r="E695">
        <v>24</v>
      </c>
      <c r="F695" t="s">
        <v>857</v>
      </c>
      <c r="G695">
        <v>2022</v>
      </c>
      <c r="H695" t="s">
        <v>246</v>
      </c>
      <c r="I695" t="s">
        <v>58</v>
      </c>
      <c r="J695">
        <v>899</v>
      </c>
      <c r="K695">
        <v>295</v>
      </c>
      <c r="L695">
        <f t="shared" si="204"/>
        <v>604</v>
      </c>
      <c r="M695">
        <v>240</v>
      </c>
      <c r="N695">
        <f t="shared" si="205"/>
        <v>364</v>
      </c>
    </row>
    <row r="696" spans="1:14" x14ac:dyDescent="0.2">
      <c r="A696" t="s">
        <v>1138</v>
      </c>
      <c r="B696" s="1" t="s">
        <v>1072</v>
      </c>
      <c r="C696" t="s">
        <v>14</v>
      </c>
      <c r="D696" t="s">
        <v>448</v>
      </c>
      <c r="E696">
        <v>24</v>
      </c>
      <c r="F696" t="s">
        <v>857</v>
      </c>
      <c r="G696">
        <v>2022</v>
      </c>
      <c r="H696" t="s">
        <v>246</v>
      </c>
      <c r="I696" t="s">
        <v>58</v>
      </c>
      <c r="J696">
        <v>899</v>
      </c>
      <c r="K696">
        <v>295</v>
      </c>
      <c r="L696">
        <f t="shared" si="204"/>
        <v>604</v>
      </c>
      <c r="M696">
        <v>240</v>
      </c>
      <c r="N696">
        <f t="shared" si="205"/>
        <v>364</v>
      </c>
    </row>
    <row r="697" spans="1:14" x14ac:dyDescent="0.2">
      <c r="A697" t="s">
        <v>1139</v>
      </c>
      <c r="B697" s="1" t="s">
        <v>1072</v>
      </c>
      <c r="C697" t="s">
        <v>14</v>
      </c>
      <c r="D697" t="s">
        <v>893</v>
      </c>
      <c r="E697">
        <v>24</v>
      </c>
      <c r="F697" t="s">
        <v>857</v>
      </c>
      <c r="G697">
        <v>2022</v>
      </c>
      <c r="H697" t="s">
        <v>157</v>
      </c>
      <c r="I697" t="s">
        <v>97</v>
      </c>
      <c r="J697">
        <v>849</v>
      </c>
      <c r="K697">
        <v>250</v>
      </c>
      <c r="L697">
        <f t="shared" si="204"/>
        <v>599</v>
      </c>
      <c r="M697">
        <v>240</v>
      </c>
      <c r="N697">
        <f t="shared" si="205"/>
        <v>359</v>
      </c>
    </row>
    <row r="698" spans="1:14" x14ac:dyDescent="0.2">
      <c r="A698" t="s">
        <v>1140</v>
      </c>
      <c r="B698" s="1" t="s">
        <v>1072</v>
      </c>
      <c r="C698" t="s">
        <v>14</v>
      </c>
      <c r="D698" t="s">
        <v>1141</v>
      </c>
      <c r="E698">
        <v>24</v>
      </c>
      <c r="F698" t="s">
        <v>857</v>
      </c>
      <c r="G698">
        <v>2022</v>
      </c>
      <c r="H698" t="s">
        <v>1142</v>
      </c>
      <c r="I698" t="s">
        <v>163</v>
      </c>
      <c r="J698">
        <v>799</v>
      </c>
      <c r="K698">
        <v>205</v>
      </c>
      <c r="L698">
        <f t="shared" si="204"/>
        <v>594</v>
      </c>
      <c r="M698">
        <v>240</v>
      </c>
      <c r="N698">
        <f t="shared" si="205"/>
        <v>354</v>
      </c>
    </row>
    <row r="699" spans="1:14" x14ac:dyDescent="0.2">
      <c r="A699" t="s">
        <v>1143</v>
      </c>
      <c r="B699" s="1" t="s">
        <v>1072</v>
      </c>
      <c r="C699" t="s">
        <v>14</v>
      </c>
      <c r="D699" t="s">
        <v>1144</v>
      </c>
      <c r="E699">
        <v>24</v>
      </c>
      <c r="F699" t="s">
        <v>857</v>
      </c>
      <c r="G699">
        <v>2022</v>
      </c>
      <c r="H699" t="s">
        <v>173</v>
      </c>
      <c r="I699" t="s">
        <v>62</v>
      </c>
      <c r="J699">
        <v>799</v>
      </c>
      <c r="K699">
        <v>205</v>
      </c>
      <c r="L699">
        <f t="shared" si="204"/>
        <v>594</v>
      </c>
      <c r="M699">
        <v>240</v>
      </c>
      <c r="N699">
        <f t="shared" si="205"/>
        <v>354</v>
      </c>
    </row>
    <row r="700" spans="1:14" x14ac:dyDescent="0.2">
      <c r="A700" t="s">
        <v>1145</v>
      </c>
      <c r="B700" s="1" t="s">
        <v>1072</v>
      </c>
      <c r="C700" t="s">
        <v>14</v>
      </c>
      <c r="D700" t="s">
        <v>425</v>
      </c>
      <c r="E700">
        <v>24</v>
      </c>
      <c r="F700" t="s">
        <v>857</v>
      </c>
      <c r="G700">
        <v>2022</v>
      </c>
      <c r="H700" t="s">
        <v>1146</v>
      </c>
      <c r="I700" t="s">
        <v>58</v>
      </c>
      <c r="J700">
        <v>799</v>
      </c>
      <c r="K700">
        <v>205</v>
      </c>
      <c r="L700">
        <f t="shared" si="204"/>
        <v>594</v>
      </c>
      <c r="M700">
        <v>240</v>
      </c>
      <c r="N700">
        <f t="shared" si="205"/>
        <v>354</v>
      </c>
    </row>
    <row r="701" spans="1:14" x14ac:dyDescent="0.2">
      <c r="A701" t="s">
        <v>1046</v>
      </c>
      <c r="B701" s="1" t="s">
        <v>1038</v>
      </c>
      <c r="C701" t="s">
        <v>106</v>
      </c>
      <c r="D701" t="s">
        <v>1047</v>
      </c>
      <c r="E701">
        <v>20</v>
      </c>
      <c r="F701" t="s">
        <v>857</v>
      </c>
      <c r="G701">
        <v>2022</v>
      </c>
      <c r="H701" t="s">
        <v>1048</v>
      </c>
      <c r="I701" t="s">
        <v>28</v>
      </c>
      <c r="J701">
        <v>-799</v>
      </c>
      <c r="K701">
        <v>320</v>
      </c>
      <c r="L701">
        <f t="shared" ref="L701:L702" si="206">J701+K701</f>
        <v>-479</v>
      </c>
      <c r="M701">
        <v>240</v>
      </c>
      <c r="N701">
        <f t="shared" ref="N701:N702" si="207">L701+M701</f>
        <v>-239</v>
      </c>
    </row>
    <row r="702" spans="1:14" x14ac:dyDescent="0.2">
      <c r="A702" t="s">
        <v>1145</v>
      </c>
      <c r="B702" s="1" t="s">
        <v>1072</v>
      </c>
      <c r="C702" t="s">
        <v>106</v>
      </c>
      <c r="D702" t="s">
        <v>425</v>
      </c>
      <c r="E702">
        <v>24</v>
      </c>
      <c r="F702" t="s">
        <v>857</v>
      </c>
      <c r="G702">
        <v>2022</v>
      </c>
      <c r="H702" t="s">
        <v>1146</v>
      </c>
      <c r="I702" t="s">
        <v>58</v>
      </c>
      <c r="J702">
        <v>-799</v>
      </c>
      <c r="K702">
        <v>320</v>
      </c>
      <c r="L702">
        <f t="shared" si="206"/>
        <v>-479</v>
      </c>
      <c r="M702">
        <v>240</v>
      </c>
      <c r="N702">
        <f t="shared" si="207"/>
        <v>-239</v>
      </c>
    </row>
    <row r="703" spans="1:14" x14ac:dyDescent="0.2">
      <c r="A703" t="s">
        <v>1147</v>
      </c>
      <c r="B703" s="1" t="s">
        <v>1103</v>
      </c>
      <c r="C703" t="s">
        <v>14</v>
      </c>
      <c r="D703" t="s">
        <v>284</v>
      </c>
      <c r="E703">
        <v>25</v>
      </c>
      <c r="F703" t="s">
        <v>857</v>
      </c>
      <c r="G703">
        <v>2022</v>
      </c>
      <c r="H703" t="s">
        <v>1148</v>
      </c>
      <c r="I703" t="s">
        <v>32</v>
      </c>
      <c r="J703">
        <v>899</v>
      </c>
      <c r="K703">
        <v>295</v>
      </c>
      <c r="L703">
        <f t="shared" ref="L703:L717" si="208">J703-K703</f>
        <v>604</v>
      </c>
      <c r="M703">
        <v>240</v>
      </c>
      <c r="N703">
        <f t="shared" ref="N703:N717" si="209">L703-M703</f>
        <v>364</v>
      </c>
    </row>
    <row r="704" spans="1:14" x14ac:dyDescent="0.2">
      <c r="A704" t="s">
        <v>1149</v>
      </c>
      <c r="B704" s="1" t="s">
        <v>1103</v>
      </c>
      <c r="C704" t="s">
        <v>14</v>
      </c>
      <c r="D704" t="s">
        <v>81</v>
      </c>
      <c r="E704">
        <v>25</v>
      </c>
      <c r="F704" t="s">
        <v>857</v>
      </c>
      <c r="G704">
        <v>2022</v>
      </c>
      <c r="H704" t="s">
        <v>1150</v>
      </c>
      <c r="I704" t="s">
        <v>28</v>
      </c>
      <c r="J704">
        <v>849</v>
      </c>
      <c r="K704">
        <v>250</v>
      </c>
      <c r="L704">
        <f t="shared" si="208"/>
        <v>599</v>
      </c>
      <c r="M704">
        <v>240</v>
      </c>
      <c r="N704">
        <f t="shared" si="209"/>
        <v>359</v>
      </c>
    </row>
    <row r="705" spans="1:14" x14ac:dyDescent="0.2">
      <c r="A705" t="s">
        <v>1151</v>
      </c>
      <c r="B705" s="1" t="s">
        <v>1072</v>
      </c>
      <c r="C705" t="s">
        <v>14</v>
      </c>
      <c r="D705" t="s">
        <v>1076</v>
      </c>
      <c r="E705">
        <v>24</v>
      </c>
      <c r="F705" t="s">
        <v>857</v>
      </c>
      <c r="G705">
        <v>2022</v>
      </c>
      <c r="H705" t="s">
        <v>1152</v>
      </c>
      <c r="I705" t="s">
        <v>376</v>
      </c>
      <c r="J705">
        <v>849</v>
      </c>
      <c r="K705">
        <v>250</v>
      </c>
      <c r="L705">
        <f t="shared" si="208"/>
        <v>599</v>
      </c>
      <c r="M705">
        <v>240</v>
      </c>
      <c r="N705">
        <f t="shared" si="209"/>
        <v>359</v>
      </c>
    </row>
    <row r="706" spans="1:14" x14ac:dyDescent="0.2">
      <c r="A706" t="s">
        <v>1153</v>
      </c>
      <c r="B706" s="1" t="s">
        <v>1103</v>
      </c>
      <c r="C706" t="s">
        <v>14</v>
      </c>
      <c r="D706" t="s">
        <v>445</v>
      </c>
      <c r="E706">
        <v>25</v>
      </c>
      <c r="F706" t="s">
        <v>857</v>
      </c>
      <c r="G706">
        <v>2022</v>
      </c>
      <c r="H706" t="s">
        <v>246</v>
      </c>
      <c r="I706" t="s">
        <v>58</v>
      </c>
      <c r="J706">
        <v>899</v>
      </c>
      <c r="K706">
        <v>295</v>
      </c>
      <c r="L706">
        <f t="shared" si="208"/>
        <v>604</v>
      </c>
      <c r="M706">
        <v>240</v>
      </c>
      <c r="N706">
        <f t="shared" si="209"/>
        <v>364</v>
      </c>
    </row>
    <row r="707" spans="1:14" x14ac:dyDescent="0.2">
      <c r="A707" t="s">
        <v>1154</v>
      </c>
      <c r="B707" s="1" t="s">
        <v>1116</v>
      </c>
      <c r="C707" t="s">
        <v>14</v>
      </c>
      <c r="D707" t="s">
        <v>573</v>
      </c>
      <c r="E707">
        <v>26</v>
      </c>
      <c r="F707" t="s">
        <v>857</v>
      </c>
      <c r="G707">
        <v>2022</v>
      </c>
      <c r="H707" t="s">
        <v>1155</v>
      </c>
      <c r="I707" t="s">
        <v>28</v>
      </c>
      <c r="J707">
        <v>899</v>
      </c>
      <c r="K707">
        <v>295</v>
      </c>
      <c r="L707">
        <f t="shared" si="208"/>
        <v>604</v>
      </c>
      <c r="M707">
        <v>240</v>
      </c>
      <c r="N707">
        <f t="shared" si="209"/>
        <v>364</v>
      </c>
    </row>
    <row r="708" spans="1:14" x14ac:dyDescent="0.2">
      <c r="A708" t="s">
        <v>1156</v>
      </c>
      <c r="B708" s="1" t="s">
        <v>1103</v>
      </c>
      <c r="C708" t="s">
        <v>14</v>
      </c>
      <c r="D708" t="s">
        <v>863</v>
      </c>
      <c r="E708">
        <v>25</v>
      </c>
      <c r="F708" t="s">
        <v>857</v>
      </c>
      <c r="G708">
        <v>2022</v>
      </c>
      <c r="H708" t="s">
        <v>1157</v>
      </c>
      <c r="I708" t="s">
        <v>28</v>
      </c>
      <c r="J708">
        <v>799</v>
      </c>
      <c r="K708">
        <v>205</v>
      </c>
      <c r="L708">
        <f t="shared" si="208"/>
        <v>594</v>
      </c>
      <c r="M708">
        <v>240</v>
      </c>
      <c r="N708">
        <f t="shared" si="209"/>
        <v>354</v>
      </c>
    </row>
    <row r="709" spans="1:14" x14ac:dyDescent="0.2">
      <c r="A709" t="s">
        <v>1158</v>
      </c>
      <c r="B709" s="1" t="s">
        <v>1103</v>
      </c>
      <c r="C709" t="s">
        <v>14</v>
      </c>
      <c r="D709" t="s">
        <v>989</v>
      </c>
      <c r="E709">
        <v>25</v>
      </c>
      <c r="F709" t="s">
        <v>857</v>
      </c>
      <c r="G709">
        <v>2022</v>
      </c>
      <c r="H709" t="s">
        <v>1159</v>
      </c>
      <c r="I709" t="s">
        <v>85</v>
      </c>
      <c r="J709">
        <v>799</v>
      </c>
      <c r="K709">
        <v>205</v>
      </c>
      <c r="L709">
        <f t="shared" si="208"/>
        <v>594</v>
      </c>
      <c r="M709">
        <v>240</v>
      </c>
      <c r="N709">
        <f t="shared" si="209"/>
        <v>354</v>
      </c>
    </row>
    <row r="710" spans="1:14" x14ac:dyDescent="0.2">
      <c r="A710" t="s">
        <v>1158</v>
      </c>
      <c r="B710" s="1" t="s">
        <v>1103</v>
      </c>
      <c r="C710" t="s">
        <v>14</v>
      </c>
      <c r="D710" t="s">
        <v>923</v>
      </c>
      <c r="E710">
        <v>25</v>
      </c>
      <c r="F710" t="s">
        <v>857</v>
      </c>
      <c r="G710">
        <v>2022</v>
      </c>
      <c r="H710" t="s">
        <v>1159</v>
      </c>
      <c r="I710" t="s">
        <v>85</v>
      </c>
      <c r="J710">
        <v>849</v>
      </c>
      <c r="K710">
        <v>250</v>
      </c>
      <c r="L710">
        <f t="shared" si="208"/>
        <v>599</v>
      </c>
      <c r="M710">
        <v>240</v>
      </c>
      <c r="N710">
        <f t="shared" si="209"/>
        <v>359</v>
      </c>
    </row>
    <row r="711" spans="1:14" x14ac:dyDescent="0.2">
      <c r="A711" t="s">
        <v>1160</v>
      </c>
      <c r="B711" s="1" t="s">
        <v>1103</v>
      </c>
      <c r="C711" t="s">
        <v>14</v>
      </c>
      <c r="D711" t="s">
        <v>504</v>
      </c>
      <c r="E711">
        <v>25</v>
      </c>
      <c r="F711" t="s">
        <v>857</v>
      </c>
      <c r="G711">
        <v>2022</v>
      </c>
      <c r="H711" t="s">
        <v>246</v>
      </c>
      <c r="I711" t="s">
        <v>58</v>
      </c>
      <c r="J711">
        <v>899</v>
      </c>
      <c r="K711">
        <v>295</v>
      </c>
      <c r="L711">
        <f t="shared" si="208"/>
        <v>604</v>
      </c>
      <c r="M711">
        <v>240</v>
      </c>
      <c r="N711">
        <f t="shared" si="209"/>
        <v>364</v>
      </c>
    </row>
    <row r="712" spans="1:14" x14ac:dyDescent="0.2">
      <c r="A712" t="s">
        <v>1117</v>
      </c>
      <c r="B712" s="1" t="s">
        <v>1116</v>
      </c>
      <c r="C712" t="s">
        <v>14</v>
      </c>
      <c r="D712" t="s">
        <v>490</v>
      </c>
      <c r="E712">
        <v>26</v>
      </c>
      <c r="F712" t="s">
        <v>857</v>
      </c>
      <c r="G712">
        <v>2022</v>
      </c>
      <c r="H712" t="s">
        <v>1118</v>
      </c>
      <c r="I712" t="s">
        <v>122</v>
      </c>
      <c r="J712">
        <v>899</v>
      </c>
      <c r="K712">
        <v>295</v>
      </c>
      <c r="L712">
        <f t="shared" si="208"/>
        <v>604</v>
      </c>
      <c r="M712">
        <v>240</v>
      </c>
      <c r="N712">
        <f t="shared" si="209"/>
        <v>364</v>
      </c>
    </row>
    <row r="713" spans="1:14" x14ac:dyDescent="0.2">
      <c r="A713" t="s">
        <v>1161</v>
      </c>
      <c r="B713" s="1" t="s">
        <v>1103</v>
      </c>
      <c r="C713" t="s">
        <v>14</v>
      </c>
      <c r="D713" t="s">
        <v>1162</v>
      </c>
      <c r="E713">
        <v>25</v>
      </c>
      <c r="F713" t="s">
        <v>857</v>
      </c>
      <c r="G713">
        <v>2022</v>
      </c>
      <c r="H713" t="s">
        <v>49</v>
      </c>
      <c r="I713" t="s">
        <v>32</v>
      </c>
      <c r="J713">
        <v>799</v>
      </c>
      <c r="K713">
        <v>205</v>
      </c>
      <c r="L713">
        <f t="shared" si="208"/>
        <v>594</v>
      </c>
      <c r="M713">
        <v>240</v>
      </c>
      <c r="N713">
        <f t="shared" si="209"/>
        <v>354</v>
      </c>
    </row>
    <row r="714" spans="1:14" x14ac:dyDescent="0.2">
      <c r="A714" t="s">
        <v>1163</v>
      </c>
      <c r="B714" s="1" t="s">
        <v>1116</v>
      </c>
      <c r="C714" t="s">
        <v>14</v>
      </c>
      <c r="D714" t="s">
        <v>133</v>
      </c>
      <c r="E714">
        <v>26</v>
      </c>
      <c r="F714" t="s">
        <v>857</v>
      </c>
      <c r="G714">
        <v>2022</v>
      </c>
      <c r="H714" t="s">
        <v>170</v>
      </c>
      <c r="I714" t="s">
        <v>171</v>
      </c>
      <c r="J714">
        <v>799</v>
      </c>
      <c r="K714">
        <v>205</v>
      </c>
      <c r="L714">
        <f t="shared" si="208"/>
        <v>594</v>
      </c>
      <c r="M714">
        <v>240</v>
      </c>
      <c r="N714">
        <f t="shared" si="209"/>
        <v>354</v>
      </c>
    </row>
    <row r="715" spans="1:14" x14ac:dyDescent="0.2">
      <c r="A715" t="s">
        <v>1164</v>
      </c>
      <c r="B715" s="1" t="s">
        <v>1116</v>
      </c>
      <c r="C715" t="s">
        <v>14</v>
      </c>
      <c r="D715" t="s">
        <v>81</v>
      </c>
      <c r="E715">
        <v>26</v>
      </c>
      <c r="F715" t="s">
        <v>857</v>
      </c>
      <c r="G715">
        <v>2022</v>
      </c>
      <c r="H715" t="s">
        <v>208</v>
      </c>
      <c r="I715" t="s">
        <v>97</v>
      </c>
      <c r="J715">
        <v>849</v>
      </c>
      <c r="K715">
        <v>250</v>
      </c>
      <c r="L715">
        <f t="shared" si="208"/>
        <v>599</v>
      </c>
      <c r="M715">
        <v>240</v>
      </c>
      <c r="N715">
        <f t="shared" si="209"/>
        <v>359</v>
      </c>
    </row>
    <row r="716" spans="1:14" x14ac:dyDescent="0.2">
      <c r="A716" t="s">
        <v>1165</v>
      </c>
      <c r="B716" s="1" t="s">
        <v>1116</v>
      </c>
      <c r="C716" t="s">
        <v>14</v>
      </c>
      <c r="D716" t="s">
        <v>117</v>
      </c>
      <c r="E716">
        <v>26</v>
      </c>
      <c r="F716" t="s">
        <v>857</v>
      </c>
      <c r="G716">
        <v>2022</v>
      </c>
      <c r="H716" t="s">
        <v>1166</v>
      </c>
      <c r="I716" t="s">
        <v>253</v>
      </c>
      <c r="J716">
        <v>899</v>
      </c>
      <c r="K716">
        <v>295</v>
      </c>
      <c r="L716">
        <f t="shared" si="208"/>
        <v>604</v>
      </c>
      <c r="M716">
        <v>240</v>
      </c>
      <c r="N716">
        <f t="shared" si="209"/>
        <v>364</v>
      </c>
    </row>
    <row r="717" spans="1:14" x14ac:dyDescent="0.2">
      <c r="A717" t="s">
        <v>1167</v>
      </c>
      <c r="B717" s="1" t="s">
        <v>1116</v>
      </c>
      <c r="C717" t="s">
        <v>14</v>
      </c>
      <c r="D717" t="s">
        <v>1168</v>
      </c>
      <c r="E717">
        <v>26</v>
      </c>
      <c r="F717" t="s">
        <v>857</v>
      </c>
      <c r="G717">
        <v>2022</v>
      </c>
      <c r="H717" t="s">
        <v>104</v>
      </c>
      <c r="I717" t="s">
        <v>62</v>
      </c>
      <c r="J717">
        <v>799</v>
      </c>
      <c r="K717">
        <v>205</v>
      </c>
      <c r="L717">
        <f t="shared" si="208"/>
        <v>594</v>
      </c>
      <c r="M717">
        <v>240</v>
      </c>
      <c r="N717">
        <f t="shared" si="209"/>
        <v>354</v>
      </c>
    </row>
    <row r="718" spans="1:14" x14ac:dyDescent="0.2">
      <c r="A718" t="s">
        <v>1169</v>
      </c>
      <c r="B718" s="1" t="s">
        <v>1116</v>
      </c>
      <c r="C718" t="s">
        <v>20</v>
      </c>
      <c r="D718" t="s">
        <v>448</v>
      </c>
      <c r="E718">
        <v>26</v>
      </c>
      <c r="F718" t="s">
        <v>857</v>
      </c>
      <c r="G718">
        <v>2022</v>
      </c>
      <c r="H718" t="s">
        <v>101</v>
      </c>
      <c r="I718" t="s">
        <v>62</v>
      </c>
      <c r="J718">
        <v>0</v>
      </c>
      <c r="K718">
        <v>0</v>
      </c>
      <c r="L718">
        <v>0</v>
      </c>
      <c r="M718">
        <v>0</v>
      </c>
      <c r="N718">
        <v>0</v>
      </c>
    </row>
    <row r="719" spans="1:14" x14ac:dyDescent="0.2">
      <c r="A719" t="s">
        <v>1170</v>
      </c>
      <c r="B719" s="1" t="s">
        <v>1116</v>
      </c>
      <c r="C719" t="s">
        <v>14</v>
      </c>
      <c r="D719" t="s">
        <v>1171</v>
      </c>
      <c r="E719">
        <v>26</v>
      </c>
      <c r="F719" t="s">
        <v>857</v>
      </c>
      <c r="G719">
        <v>2022</v>
      </c>
      <c r="H719" t="s">
        <v>157</v>
      </c>
      <c r="I719" t="s">
        <v>97</v>
      </c>
      <c r="J719">
        <v>799</v>
      </c>
      <c r="K719">
        <v>205</v>
      </c>
      <c r="L719">
        <f>J719-K719</f>
        <v>594</v>
      </c>
      <c r="M719">
        <v>240</v>
      </c>
      <c r="N719">
        <f>L719-M719</f>
        <v>354</v>
      </c>
    </row>
    <row r="720" spans="1:14" x14ac:dyDescent="0.2">
      <c r="A720" t="s">
        <v>996</v>
      </c>
      <c r="B720" s="1" t="s">
        <v>987</v>
      </c>
      <c r="C720" t="s">
        <v>106</v>
      </c>
      <c r="D720" t="s">
        <v>834</v>
      </c>
      <c r="E720">
        <v>14</v>
      </c>
      <c r="F720" t="s">
        <v>857</v>
      </c>
      <c r="G720">
        <v>2022</v>
      </c>
      <c r="H720" t="s">
        <v>157</v>
      </c>
      <c r="I720" t="s">
        <v>97</v>
      </c>
      <c r="J720">
        <v>-849</v>
      </c>
      <c r="K720">
        <v>345</v>
      </c>
      <c r="L720">
        <f t="shared" ref="L720:L722" si="210">J720+K720</f>
        <v>-504</v>
      </c>
      <c r="M720">
        <v>240</v>
      </c>
      <c r="N720">
        <f t="shared" ref="N720:N722" si="211">L720+M720</f>
        <v>-264</v>
      </c>
    </row>
    <row r="721" spans="1:14" x14ac:dyDescent="0.2">
      <c r="A721" t="s">
        <v>1036</v>
      </c>
      <c r="B721" s="1" t="s">
        <v>1035</v>
      </c>
      <c r="C721" t="s">
        <v>106</v>
      </c>
      <c r="D721" t="s">
        <v>1010</v>
      </c>
      <c r="E721">
        <v>19</v>
      </c>
      <c r="F721" t="s">
        <v>857</v>
      </c>
      <c r="G721">
        <v>2022</v>
      </c>
      <c r="H721" t="s">
        <v>246</v>
      </c>
      <c r="I721" t="s">
        <v>58</v>
      </c>
      <c r="J721">
        <v>-799</v>
      </c>
      <c r="K721">
        <v>320</v>
      </c>
      <c r="L721">
        <f t="shared" si="210"/>
        <v>-479</v>
      </c>
      <c r="M721">
        <v>240</v>
      </c>
      <c r="N721">
        <f t="shared" si="211"/>
        <v>-239</v>
      </c>
    </row>
    <row r="722" spans="1:14" x14ac:dyDescent="0.2">
      <c r="A722" t="s">
        <v>1036</v>
      </c>
      <c r="B722" s="1" t="s">
        <v>1035</v>
      </c>
      <c r="C722" t="s">
        <v>106</v>
      </c>
      <c r="D722" t="s">
        <v>1037</v>
      </c>
      <c r="E722">
        <v>19</v>
      </c>
      <c r="F722" t="s">
        <v>857</v>
      </c>
      <c r="G722">
        <v>2022</v>
      </c>
      <c r="H722" t="s">
        <v>246</v>
      </c>
      <c r="I722" t="s">
        <v>58</v>
      </c>
      <c r="J722">
        <v>-799</v>
      </c>
      <c r="K722">
        <v>320</v>
      </c>
      <c r="L722">
        <f t="shared" si="210"/>
        <v>-479</v>
      </c>
      <c r="M722">
        <v>240</v>
      </c>
      <c r="N722">
        <f t="shared" si="211"/>
        <v>-239</v>
      </c>
    </row>
    <row r="723" spans="1:14" x14ac:dyDescent="0.2">
      <c r="A723" t="s">
        <v>1173</v>
      </c>
      <c r="B723" s="1" t="s">
        <v>1172</v>
      </c>
      <c r="C723" t="s">
        <v>43</v>
      </c>
      <c r="D723" t="s">
        <v>989</v>
      </c>
      <c r="E723">
        <v>27</v>
      </c>
      <c r="F723" t="s">
        <v>857</v>
      </c>
      <c r="G723">
        <v>2022</v>
      </c>
      <c r="H723" t="s">
        <v>1061</v>
      </c>
      <c r="I723" t="s">
        <v>97</v>
      </c>
      <c r="J723">
        <v>0</v>
      </c>
      <c r="K723">
        <v>0</v>
      </c>
      <c r="L723">
        <v>0</v>
      </c>
      <c r="M723">
        <v>0</v>
      </c>
      <c r="N723">
        <v>0</v>
      </c>
    </row>
    <row r="724" spans="1:14" x14ac:dyDescent="0.2">
      <c r="A724" t="s">
        <v>1153</v>
      </c>
      <c r="B724" s="1" t="s">
        <v>1103</v>
      </c>
      <c r="C724" t="s">
        <v>106</v>
      </c>
      <c r="D724" t="s">
        <v>445</v>
      </c>
      <c r="E724">
        <v>25</v>
      </c>
      <c r="F724" t="s">
        <v>857</v>
      </c>
      <c r="G724">
        <v>2022</v>
      </c>
      <c r="H724" t="s">
        <v>246</v>
      </c>
      <c r="I724" t="s">
        <v>58</v>
      </c>
      <c r="J724">
        <v>-899</v>
      </c>
      <c r="K724">
        <v>375</v>
      </c>
      <c r="L724">
        <f>J724+K724</f>
        <v>-524</v>
      </c>
      <c r="M724">
        <v>240</v>
      </c>
      <c r="N724">
        <f>L724+M724</f>
        <v>-284</v>
      </c>
    </row>
    <row r="725" spans="1:14" x14ac:dyDescent="0.2">
      <c r="A725" t="s">
        <v>1175</v>
      </c>
      <c r="B725" s="1" t="s">
        <v>1174</v>
      </c>
      <c r="C725" t="s">
        <v>14</v>
      </c>
      <c r="D725" t="s">
        <v>445</v>
      </c>
      <c r="E725">
        <v>28</v>
      </c>
      <c r="F725" t="s">
        <v>857</v>
      </c>
      <c r="G725">
        <v>2022</v>
      </c>
      <c r="H725" t="s">
        <v>1176</v>
      </c>
      <c r="I725" t="s">
        <v>62</v>
      </c>
      <c r="J725">
        <v>899</v>
      </c>
      <c r="K725">
        <v>295</v>
      </c>
      <c r="L725">
        <f t="shared" ref="L725:L729" si="212">J725-K725</f>
        <v>604</v>
      </c>
      <c r="M725">
        <v>240</v>
      </c>
      <c r="N725">
        <f t="shared" ref="N725:N729" si="213">L725-M725</f>
        <v>364</v>
      </c>
    </row>
    <row r="726" spans="1:14" x14ac:dyDescent="0.2">
      <c r="A726" t="s">
        <v>1177</v>
      </c>
      <c r="B726" s="1" t="s">
        <v>1174</v>
      </c>
      <c r="C726" t="s">
        <v>14</v>
      </c>
      <c r="D726" t="s">
        <v>1178</v>
      </c>
      <c r="E726">
        <v>28</v>
      </c>
      <c r="F726" t="s">
        <v>857</v>
      </c>
      <c r="G726">
        <v>2022</v>
      </c>
      <c r="H726" t="s">
        <v>1179</v>
      </c>
      <c r="I726" t="s">
        <v>122</v>
      </c>
      <c r="J726">
        <v>799</v>
      </c>
      <c r="K726">
        <v>205</v>
      </c>
      <c r="L726">
        <f t="shared" si="212"/>
        <v>594</v>
      </c>
      <c r="M726">
        <v>240</v>
      </c>
      <c r="N726">
        <f t="shared" si="213"/>
        <v>354</v>
      </c>
    </row>
    <row r="727" spans="1:14" x14ac:dyDescent="0.2">
      <c r="A727" t="s">
        <v>1181</v>
      </c>
      <c r="B727" s="1" t="s">
        <v>1180</v>
      </c>
      <c r="C727" t="s">
        <v>14</v>
      </c>
      <c r="D727" t="s">
        <v>1182</v>
      </c>
      <c r="E727">
        <v>29</v>
      </c>
      <c r="F727" t="s">
        <v>857</v>
      </c>
      <c r="G727">
        <v>2022</v>
      </c>
      <c r="H727" t="s">
        <v>170</v>
      </c>
      <c r="I727" t="s">
        <v>171</v>
      </c>
      <c r="J727">
        <v>799</v>
      </c>
      <c r="K727">
        <v>205</v>
      </c>
      <c r="L727">
        <f t="shared" si="212"/>
        <v>594</v>
      </c>
      <c r="M727">
        <v>240</v>
      </c>
      <c r="N727">
        <f t="shared" si="213"/>
        <v>354</v>
      </c>
    </row>
    <row r="728" spans="1:14" x14ac:dyDescent="0.2">
      <c r="A728" t="s">
        <v>1183</v>
      </c>
      <c r="B728" s="1" t="s">
        <v>1174</v>
      </c>
      <c r="C728" t="s">
        <v>14</v>
      </c>
      <c r="D728" t="s">
        <v>448</v>
      </c>
      <c r="E728">
        <v>28</v>
      </c>
      <c r="F728" t="s">
        <v>857</v>
      </c>
      <c r="G728">
        <v>2022</v>
      </c>
      <c r="H728" t="s">
        <v>965</v>
      </c>
      <c r="I728" t="s">
        <v>122</v>
      </c>
      <c r="J728">
        <v>899</v>
      </c>
      <c r="K728">
        <v>295</v>
      </c>
      <c r="L728">
        <f t="shared" si="212"/>
        <v>604</v>
      </c>
      <c r="M728">
        <v>240</v>
      </c>
      <c r="N728">
        <f t="shared" si="213"/>
        <v>364</v>
      </c>
    </row>
    <row r="729" spans="1:14" x14ac:dyDescent="0.2">
      <c r="A729" t="s">
        <v>1184</v>
      </c>
      <c r="B729" s="1" t="s">
        <v>1174</v>
      </c>
      <c r="C729" t="s">
        <v>14</v>
      </c>
      <c r="D729" t="s">
        <v>81</v>
      </c>
      <c r="E729">
        <v>28</v>
      </c>
      <c r="F729" t="s">
        <v>857</v>
      </c>
      <c r="G729">
        <v>2022</v>
      </c>
      <c r="H729" t="s">
        <v>910</v>
      </c>
      <c r="I729" t="s">
        <v>122</v>
      </c>
      <c r="J729">
        <v>849</v>
      </c>
      <c r="K729">
        <v>250</v>
      </c>
      <c r="L729">
        <f t="shared" si="212"/>
        <v>599</v>
      </c>
      <c r="M729">
        <v>240</v>
      </c>
      <c r="N729">
        <f t="shared" si="213"/>
        <v>359</v>
      </c>
    </row>
    <row r="730" spans="1:14" x14ac:dyDescent="0.2">
      <c r="A730" t="s">
        <v>1024</v>
      </c>
      <c r="B730" s="1" t="s">
        <v>1013</v>
      </c>
      <c r="C730" t="s">
        <v>106</v>
      </c>
      <c r="D730" t="s">
        <v>1025</v>
      </c>
      <c r="E730">
        <v>17</v>
      </c>
      <c r="F730" t="s">
        <v>857</v>
      </c>
      <c r="G730">
        <v>2022</v>
      </c>
      <c r="H730" t="s">
        <v>157</v>
      </c>
      <c r="I730" t="s">
        <v>97</v>
      </c>
      <c r="J730">
        <v>-849</v>
      </c>
      <c r="K730">
        <v>345</v>
      </c>
      <c r="L730">
        <f>J730+K730</f>
        <v>-504</v>
      </c>
      <c r="M730">
        <v>240</v>
      </c>
      <c r="N730">
        <f>L730+M730</f>
        <v>-264</v>
      </c>
    </row>
    <row r="731" spans="1:14" x14ac:dyDescent="0.2">
      <c r="A731" t="s">
        <v>1185</v>
      </c>
      <c r="B731" s="1" t="s">
        <v>1180</v>
      </c>
      <c r="C731" t="s">
        <v>14</v>
      </c>
      <c r="D731" t="s">
        <v>1186</v>
      </c>
      <c r="E731">
        <v>29</v>
      </c>
      <c r="F731" t="s">
        <v>857</v>
      </c>
      <c r="G731">
        <v>2022</v>
      </c>
      <c r="H731" t="s">
        <v>604</v>
      </c>
      <c r="I731" t="s">
        <v>85</v>
      </c>
      <c r="J731">
        <v>799</v>
      </c>
      <c r="K731">
        <v>205</v>
      </c>
      <c r="L731">
        <f t="shared" ref="L731:L734" si="214">J731-K731</f>
        <v>594</v>
      </c>
      <c r="M731">
        <v>240</v>
      </c>
      <c r="N731">
        <f t="shared" ref="N731:N734" si="215">L731-M731</f>
        <v>354</v>
      </c>
    </row>
    <row r="732" spans="1:14" x14ac:dyDescent="0.2">
      <c r="A732" t="s">
        <v>1187</v>
      </c>
      <c r="B732" s="1" t="s">
        <v>1174</v>
      </c>
      <c r="C732" t="s">
        <v>14</v>
      </c>
      <c r="D732" t="s">
        <v>1089</v>
      </c>
      <c r="E732">
        <v>28</v>
      </c>
      <c r="F732" t="s">
        <v>857</v>
      </c>
      <c r="G732">
        <v>2022</v>
      </c>
      <c r="H732" t="s">
        <v>1188</v>
      </c>
      <c r="I732" t="s">
        <v>85</v>
      </c>
      <c r="J732">
        <v>799</v>
      </c>
      <c r="K732">
        <v>205</v>
      </c>
      <c r="L732">
        <f t="shared" si="214"/>
        <v>594</v>
      </c>
      <c r="M732">
        <v>240</v>
      </c>
      <c r="N732">
        <f t="shared" si="215"/>
        <v>354</v>
      </c>
    </row>
    <row r="733" spans="1:14" x14ac:dyDescent="0.2">
      <c r="A733" t="s">
        <v>1189</v>
      </c>
      <c r="B733" s="1" t="s">
        <v>1172</v>
      </c>
      <c r="C733" t="s">
        <v>14</v>
      </c>
      <c r="D733" t="s">
        <v>967</v>
      </c>
      <c r="E733">
        <v>27</v>
      </c>
      <c r="F733" t="s">
        <v>857</v>
      </c>
      <c r="G733">
        <v>2022</v>
      </c>
      <c r="H733" t="s">
        <v>1190</v>
      </c>
      <c r="I733" t="s">
        <v>23</v>
      </c>
      <c r="J733">
        <v>799</v>
      </c>
      <c r="K733">
        <v>205</v>
      </c>
      <c r="L733">
        <f t="shared" si="214"/>
        <v>594</v>
      </c>
      <c r="M733">
        <v>240</v>
      </c>
      <c r="N733">
        <f t="shared" si="215"/>
        <v>354</v>
      </c>
    </row>
    <row r="734" spans="1:14" x14ac:dyDescent="0.2">
      <c r="A734" t="s">
        <v>1191</v>
      </c>
      <c r="B734" s="1" t="s">
        <v>1172</v>
      </c>
      <c r="C734" t="s">
        <v>14</v>
      </c>
      <c r="D734" t="s">
        <v>81</v>
      </c>
      <c r="E734">
        <v>27</v>
      </c>
      <c r="F734" t="s">
        <v>857</v>
      </c>
      <c r="G734">
        <v>2022</v>
      </c>
      <c r="H734" t="s">
        <v>235</v>
      </c>
      <c r="I734" t="s">
        <v>62</v>
      </c>
      <c r="J734">
        <v>849</v>
      </c>
      <c r="K734">
        <v>250</v>
      </c>
      <c r="L734">
        <f t="shared" si="214"/>
        <v>599</v>
      </c>
      <c r="M734">
        <v>240</v>
      </c>
      <c r="N734">
        <f t="shared" si="215"/>
        <v>359</v>
      </c>
    </row>
    <row r="735" spans="1:14" x14ac:dyDescent="0.2">
      <c r="A735" t="s">
        <v>1192</v>
      </c>
      <c r="B735" s="1" t="s">
        <v>1174</v>
      </c>
      <c r="C735" t="s">
        <v>20</v>
      </c>
      <c r="D735" t="s">
        <v>1193</v>
      </c>
      <c r="E735">
        <v>28</v>
      </c>
      <c r="F735" t="s">
        <v>857</v>
      </c>
      <c r="G735">
        <v>2022</v>
      </c>
      <c r="H735" t="s">
        <v>1080</v>
      </c>
      <c r="I735" t="s">
        <v>455</v>
      </c>
      <c r="J735">
        <v>0</v>
      </c>
      <c r="K735">
        <v>0</v>
      </c>
      <c r="L735">
        <v>0</v>
      </c>
      <c r="M735">
        <v>0</v>
      </c>
      <c r="N735">
        <v>0</v>
      </c>
    </row>
    <row r="736" spans="1:14" x14ac:dyDescent="0.2">
      <c r="A736" t="s">
        <v>1194</v>
      </c>
      <c r="B736" s="1" t="s">
        <v>1172</v>
      </c>
      <c r="C736" t="s">
        <v>14</v>
      </c>
      <c r="D736" t="s">
        <v>548</v>
      </c>
      <c r="E736">
        <v>27</v>
      </c>
      <c r="F736" t="s">
        <v>857</v>
      </c>
      <c r="G736">
        <v>2022</v>
      </c>
      <c r="H736" t="s">
        <v>1195</v>
      </c>
      <c r="I736" t="s">
        <v>62</v>
      </c>
      <c r="J736">
        <v>899</v>
      </c>
      <c r="K736">
        <v>295</v>
      </c>
      <c r="L736">
        <f t="shared" ref="L736:L751" si="216">J736-K736</f>
        <v>604</v>
      </c>
      <c r="M736">
        <v>240</v>
      </c>
      <c r="N736">
        <f t="shared" ref="N736:N751" si="217">L736-M736</f>
        <v>364</v>
      </c>
    </row>
    <row r="737" spans="1:14" x14ac:dyDescent="0.2">
      <c r="A737" t="s">
        <v>1196</v>
      </c>
      <c r="B737" s="1" t="s">
        <v>1172</v>
      </c>
      <c r="C737" t="s">
        <v>14</v>
      </c>
      <c r="D737" t="s">
        <v>989</v>
      </c>
      <c r="E737">
        <v>27</v>
      </c>
      <c r="F737" t="s">
        <v>857</v>
      </c>
      <c r="G737">
        <v>2022</v>
      </c>
      <c r="H737" t="s">
        <v>1197</v>
      </c>
      <c r="I737" t="s">
        <v>28</v>
      </c>
      <c r="J737">
        <v>799</v>
      </c>
      <c r="K737">
        <v>205</v>
      </c>
      <c r="L737">
        <f t="shared" si="216"/>
        <v>594</v>
      </c>
      <c r="M737">
        <v>240</v>
      </c>
      <c r="N737">
        <f t="shared" si="217"/>
        <v>354</v>
      </c>
    </row>
    <row r="738" spans="1:14" x14ac:dyDescent="0.2">
      <c r="A738" t="s">
        <v>1198</v>
      </c>
      <c r="B738" s="1" t="s">
        <v>1172</v>
      </c>
      <c r="C738" t="s">
        <v>14</v>
      </c>
      <c r="D738" t="s">
        <v>548</v>
      </c>
      <c r="E738">
        <v>27</v>
      </c>
      <c r="F738" t="s">
        <v>857</v>
      </c>
      <c r="G738">
        <v>2022</v>
      </c>
      <c r="H738" t="s">
        <v>263</v>
      </c>
      <c r="I738" t="s">
        <v>144</v>
      </c>
      <c r="J738">
        <v>899</v>
      </c>
      <c r="K738">
        <v>295</v>
      </c>
      <c r="L738">
        <f t="shared" si="216"/>
        <v>604</v>
      </c>
      <c r="M738">
        <v>240</v>
      </c>
      <c r="N738">
        <f t="shared" si="217"/>
        <v>364</v>
      </c>
    </row>
    <row r="739" spans="1:14" x14ac:dyDescent="0.2">
      <c r="A739" t="s">
        <v>1199</v>
      </c>
      <c r="B739" s="1" t="s">
        <v>1172</v>
      </c>
      <c r="C739" t="s">
        <v>14</v>
      </c>
      <c r="D739" t="s">
        <v>81</v>
      </c>
      <c r="E739">
        <v>27</v>
      </c>
      <c r="F739" t="s">
        <v>857</v>
      </c>
      <c r="G739">
        <v>2022</v>
      </c>
      <c r="H739" t="s">
        <v>1200</v>
      </c>
      <c r="I739" t="s">
        <v>455</v>
      </c>
      <c r="J739">
        <v>849</v>
      </c>
      <c r="K739">
        <v>250</v>
      </c>
      <c r="L739">
        <f t="shared" si="216"/>
        <v>599</v>
      </c>
      <c r="M739">
        <v>240</v>
      </c>
      <c r="N739">
        <f t="shared" si="217"/>
        <v>359</v>
      </c>
    </row>
    <row r="740" spans="1:14" x14ac:dyDescent="0.2">
      <c r="A740" t="s">
        <v>1201</v>
      </c>
      <c r="B740" s="1" t="s">
        <v>1180</v>
      </c>
      <c r="C740" t="s">
        <v>14</v>
      </c>
      <c r="D740" t="s">
        <v>81</v>
      </c>
      <c r="E740">
        <v>29</v>
      </c>
      <c r="F740" t="s">
        <v>857</v>
      </c>
      <c r="G740">
        <v>2022</v>
      </c>
      <c r="H740" t="s">
        <v>1202</v>
      </c>
      <c r="I740" t="s">
        <v>866</v>
      </c>
      <c r="J740">
        <v>849</v>
      </c>
      <c r="K740">
        <v>250</v>
      </c>
      <c r="L740">
        <f t="shared" si="216"/>
        <v>599</v>
      </c>
      <c r="M740">
        <v>240</v>
      </c>
      <c r="N740">
        <f t="shared" si="217"/>
        <v>359</v>
      </c>
    </row>
    <row r="741" spans="1:14" x14ac:dyDescent="0.2">
      <c r="A741" t="s">
        <v>1203</v>
      </c>
      <c r="B741" s="1" t="s">
        <v>1116</v>
      </c>
      <c r="C741" t="s">
        <v>14</v>
      </c>
      <c r="D741" t="s">
        <v>844</v>
      </c>
      <c r="E741">
        <v>26</v>
      </c>
      <c r="F741" t="s">
        <v>857</v>
      </c>
      <c r="G741">
        <v>2022</v>
      </c>
      <c r="H741" t="s">
        <v>49</v>
      </c>
      <c r="I741" t="s">
        <v>32</v>
      </c>
      <c r="J741">
        <v>799</v>
      </c>
      <c r="K741">
        <v>205</v>
      </c>
      <c r="L741">
        <f t="shared" si="216"/>
        <v>594</v>
      </c>
      <c r="M741">
        <v>240</v>
      </c>
      <c r="N741">
        <f t="shared" si="217"/>
        <v>354</v>
      </c>
    </row>
    <row r="742" spans="1:14" x14ac:dyDescent="0.2">
      <c r="A742" t="s">
        <v>1204</v>
      </c>
      <c r="B742" s="1" t="s">
        <v>1172</v>
      </c>
      <c r="C742" t="s">
        <v>14</v>
      </c>
      <c r="D742" t="s">
        <v>895</v>
      </c>
      <c r="E742">
        <v>27</v>
      </c>
      <c r="F742" t="s">
        <v>857</v>
      </c>
      <c r="G742">
        <v>2022</v>
      </c>
      <c r="H742" t="s">
        <v>31</v>
      </c>
      <c r="I742" t="s">
        <v>32</v>
      </c>
      <c r="J742">
        <v>849</v>
      </c>
      <c r="K742">
        <v>250</v>
      </c>
      <c r="L742">
        <f t="shared" si="216"/>
        <v>599</v>
      </c>
      <c r="M742">
        <v>240</v>
      </c>
      <c r="N742">
        <f t="shared" si="217"/>
        <v>359</v>
      </c>
    </row>
    <row r="743" spans="1:14" x14ac:dyDescent="0.2">
      <c r="A743" t="s">
        <v>1205</v>
      </c>
      <c r="B743" s="1" t="s">
        <v>1180</v>
      </c>
      <c r="C743" t="s">
        <v>14</v>
      </c>
      <c r="D743" t="s">
        <v>448</v>
      </c>
      <c r="E743">
        <v>29</v>
      </c>
      <c r="F743" t="s">
        <v>857</v>
      </c>
      <c r="G743">
        <v>2022</v>
      </c>
      <c r="H743" t="s">
        <v>670</v>
      </c>
      <c r="I743" t="s">
        <v>122</v>
      </c>
      <c r="J743">
        <v>899</v>
      </c>
      <c r="K743">
        <v>295</v>
      </c>
      <c r="L743">
        <f t="shared" si="216"/>
        <v>604</v>
      </c>
      <c r="M743">
        <v>240</v>
      </c>
      <c r="N743">
        <f t="shared" si="217"/>
        <v>364</v>
      </c>
    </row>
    <row r="744" spans="1:14" x14ac:dyDescent="0.2">
      <c r="A744" t="s">
        <v>1206</v>
      </c>
      <c r="B744" s="1" t="s">
        <v>1180</v>
      </c>
      <c r="C744" t="s">
        <v>14</v>
      </c>
      <c r="D744" t="s">
        <v>81</v>
      </c>
      <c r="E744">
        <v>29</v>
      </c>
      <c r="F744" t="s">
        <v>857</v>
      </c>
      <c r="G744">
        <v>2022</v>
      </c>
      <c r="H744" t="s">
        <v>1207</v>
      </c>
      <c r="I744" t="s">
        <v>28</v>
      </c>
      <c r="J744">
        <v>849</v>
      </c>
      <c r="K744">
        <v>250</v>
      </c>
      <c r="L744">
        <f t="shared" si="216"/>
        <v>599</v>
      </c>
      <c r="M744">
        <v>240</v>
      </c>
      <c r="N744">
        <f t="shared" si="217"/>
        <v>359</v>
      </c>
    </row>
    <row r="745" spans="1:14" x14ac:dyDescent="0.2">
      <c r="A745" t="s">
        <v>1208</v>
      </c>
      <c r="B745" s="1" t="s">
        <v>1172</v>
      </c>
      <c r="C745" t="s">
        <v>14</v>
      </c>
      <c r="D745" t="s">
        <v>957</v>
      </c>
      <c r="E745">
        <v>27</v>
      </c>
      <c r="F745" t="s">
        <v>857</v>
      </c>
      <c r="G745">
        <v>2022</v>
      </c>
      <c r="H745" t="s">
        <v>157</v>
      </c>
      <c r="I745" t="s">
        <v>97</v>
      </c>
      <c r="J745">
        <v>799</v>
      </c>
      <c r="K745">
        <v>205</v>
      </c>
      <c r="L745">
        <f t="shared" si="216"/>
        <v>594</v>
      </c>
      <c r="M745">
        <v>240</v>
      </c>
      <c r="N745">
        <f t="shared" si="217"/>
        <v>354</v>
      </c>
    </row>
    <row r="746" spans="1:14" x14ac:dyDescent="0.2">
      <c r="A746" t="s">
        <v>1209</v>
      </c>
      <c r="B746" s="1" t="s">
        <v>1172</v>
      </c>
      <c r="C746" t="s">
        <v>14</v>
      </c>
      <c r="D746" t="s">
        <v>954</v>
      </c>
      <c r="E746">
        <v>27</v>
      </c>
      <c r="F746" t="s">
        <v>857</v>
      </c>
      <c r="G746">
        <v>2022</v>
      </c>
      <c r="H746" t="s">
        <v>1210</v>
      </c>
      <c r="I746" t="s">
        <v>866</v>
      </c>
      <c r="J746">
        <v>799</v>
      </c>
      <c r="K746">
        <v>205</v>
      </c>
      <c r="L746">
        <f t="shared" si="216"/>
        <v>594</v>
      </c>
      <c r="M746">
        <v>240</v>
      </c>
      <c r="N746">
        <f t="shared" si="217"/>
        <v>354</v>
      </c>
    </row>
    <row r="747" spans="1:14" x14ac:dyDescent="0.2">
      <c r="A747" t="s">
        <v>1211</v>
      </c>
      <c r="B747" s="1" t="s">
        <v>1180</v>
      </c>
      <c r="C747" t="s">
        <v>14</v>
      </c>
      <c r="D747" t="s">
        <v>1212</v>
      </c>
      <c r="E747">
        <v>29</v>
      </c>
      <c r="F747" t="s">
        <v>857</v>
      </c>
      <c r="G747">
        <v>2022</v>
      </c>
      <c r="H747" t="s">
        <v>1213</v>
      </c>
      <c r="I747" t="s">
        <v>122</v>
      </c>
      <c r="J747">
        <v>799</v>
      </c>
      <c r="K747">
        <v>205</v>
      </c>
      <c r="L747">
        <f t="shared" si="216"/>
        <v>594</v>
      </c>
      <c r="M747">
        <v>240</v>
      </c>
      <c r="N747">
        <f t="shared" si="217"/>
        <v>354</v>
      </c>
    </row>
    <row r="748" spans="1:14" x14ac:dyDescent="0.2">
      <c r="A748" t="s">
        <v>1214</v>
      </c>
      <c r="B748" s="1" t="s">
        <v>1180</v>
      </c>
      <c r="C748" t="s">
        <v>14</v>
      </c>
      <c r="D748" t="s">
        <v>1215</v>
      </c>
      <c r="E748">
        <v>29</v>
      </c>
      <c r="F748" t="s">
        <v>857</v>
      </c>
      <c r="G748">
        <v>2022</v>
      </c>
      <c r="H748" t="s">
        <v>1216</v>
      </c>
      <c r="I748" t="s">
        <v>32</v>
      </c>
      <c r="J748">
        <v>799</v>
      </c>
      <c r="K748">
        <v>205</v>
      </c>
      <c r="L748">
        <f t="shared" si="216"/>
        <v>594</v>
      </c>
      <c r="M748">
        <v>240</v>
      </c>
      <c r="N748">
        <f t="shared" si="217"/>
        <v>354</v>
      </c>
    </row>
    <row r="749" spans="1:14" x14ac:dyDescent="0.2">
      <c r="A749" t="s">
        <v>1217</v>
      </c>
      <c r="B749" s="1" t="s">
        <v>1116</v>
      </c>
      <c r="C749" t="s">
        <v>14</v>
      </c>
      <c r="D749" t="s">
        <v>1218</v>
      </c>
      <c r="E749">
        <v>26</v>
      </c>
      <c r="F749" t="s">
        <v>857</v>
      </c>
      <c r="G749">
        <v>2022</v>
      </c>
      <c r="H749" t="s">
        <v>1219</v>
      </c>
      <c r="I749" t="s">
        <v>144</v>
      </c>
      <c r="J749">
        <v>799</v>
      </c>
      <c r="K749">
        <v>205</v>
      </c>
      <c r="L749">
        <f t="shared" si="216"/>
        <v>594</v>
      </c>
      <c r="M749">
        <v>240</v>
      </c>
      <c r="N749">
        <f t="shared" si="217"/>
        <v>354</v>
      </c>
    </row>
    <row r="750" spans="1:14" x14ac:dyDescent="0.2">
      <c r="A750" t="s">
        <v>1220</v>
      </c>
      <c r="B750" s="1" t="s">
        <v>1172</v>
      </c>
      <c r="C750" t="s">
        <v>14</v>
      </c>
      <c r="D750" t="s">
        <v>812</v>
      </c>
      <c r="E750">
        <v>27</v>
      </c>
      <c r="F750" t="s">
        <v>857</v>
      </c>
      <c r="G750">
        <v>2022</v>
      </c>
      <c r="H750" t="s">
        <v>1221</v>
      </c>
      <c r="I750" t="s">
        <v>28</v>
      </c>
      <c r="J750">
        <v>999</v>
      </c>
      <c r="K750">
        <v>325</v>
      </c>
      <c r="L750">
        <f t="shared" si="216"/>
        <v>674</v>
      </c>
      <c r="M750">
        <v>240</v>
      </c>
      <c r="N750">
        <f t="shared" si="217"/>
        <v>434</v>
      </c>
    </row>
    <row r="751" spans="1:14" x14ac:dyDescent="0.2">
      <c r="A751" t="s">
        <v>1222</v>
      </c>
      <c r="B751" s="1" t="s">
        <v>1172</v>
      </c>
      <c r="C751" t="s">
        <v>14</v>
      </c>
      <c r="D751" t="s">
        <v>284</v>
      </c>
      <c r="E751">
        <v>27</v>
      </c>
      <c r="F751" t="s">
        <v>857</v>
      </c>
      <c r="G751">
        <v>2022</v>
      </c>
      <c r="H751" t="s">
        <v>449</v>
      </c>
      <c r="I751" t="s">
        <v>97</v>
      </c>
      <c r="J751">
        <v>899</v>
      </c>
      <c r="K751">
        <v>295</v>
      </c>
      <c r="L751">
        <f t="shared" si="216"/>
        <v>604</v>
      </c>
      <c r="M751">
        <v>240</v>
      </c>
      <c r="N751">
        <f t="shared" si="217"/>
        <v>364</v>
      </c>
    </row>
    <row r="752" spans="1:14" x14ac:dyDescent="0.2">
      <c r="A752" t="s">
        <v>1101</v>
      </c>
      <c r="B752" s="1" t="s">
        <v>1062</v>
      </c>
      <c r="C752" t="s">
        <v>106</v>
      </c>
      <c r="D752" t="s">
        <v>975</v>
      </c>
      <c r="E752">
        <v>23</v>
      </c>
      <c r="F752" t="s">
        <v>857</v>
      </c>
      <c r="G752">
        <v>2022</v>
      </c>
      <c r="H752" t="s">
        <v>104</v>
      </c>
      <c r="I752" t="s">
        <v>62</v>
      </c>
      <c r="J752">
        <v>-799</v>
      </c>
      <c r="K752">
        <v>320</v>
      </c>
      <c r="L752">
        <f t="shared" ref="L752:L753" si="218">J752+K752</f>
        <v>-479</v>
      </c>
      <c r="M752">
        <v>240</v>
      </c>
      <c r="N752">
        <f t="shared" ref="N752:N753" si="219">L752+M752</f>
        <v>-239</v>
      </c>
    </row>
    <row r="753" spans="1:14" x14ac:dyDescent="0.2">
      <c r="A753" t="s">
        <v>1063</v>
      </c>
      <c r="B753" s="1" t="s">
        <v>1062</v>
      </c>
      <c r="C753" t="s">
        <v>106</v>
      </c>
      <c r="D753" t="s">
        <v>81</v>
      </c>
      <c r="E753">
        <v>23</v>
      </c>
      <c r="F753" t="s">
        <v>857</v>
      </c>
      <c r="G753">
        <v>2022</v>
      </c>
      <c r="H753" t="s">
        <v>235</v>
      </c>
      <c r="I753" t="s">
        <v>62</v>
      </c>
      <c r="J753">
        <v>-849</v>
      </c>
      <c r="K753">
        <v>345</v>
      </c>
      <c r="L753">
        <f t="shared" si="218"/>
        <v>-504</v>
      </c>
      <c r="M753">
        <v>240</v>
      </c>
      <c r="N753">
        <f t="shared" si="219"/>
        <v>-264</v>
      </c>
    </row>
    <row r="754" spans="1:14" x14ac:dyDescent="0.2">
      <c r="A754" t="s">
        <v>1224</v>
      </c>
      <c r="B754" s="1" t="s">
        <v>1223</v>
      </c>
      <c r="C754" t="s">
        <v>14</v>
      </c>
      <c r="D754" t="s">
        <v>747</v>
      </c>
      <c r="E754">
        <v>30</v>
      </c>
      <c r="F754" t="s">
        <v>857</v>
      </c>
      <c r="G754">
        <v>2022</v>
      </c>
      <c r="H754" t="s">
        <v>1225</v>
      </c>
      <c r="I754" t="s">
        <v>85</v>
      </c>
      <c r="J754">
        <v>799</v>
      </c>
      <c r="K754">
        <v>205</v>
      </c>
      <c r="L754">
        <f>J754-K754</f>
        <v>594</v>
      </c>
      <c r="M754">
        <v>240</v>
      </c>
      <c r="N754">
        <f>L754-M754</f>
        <v>354</v>
      </c>
    </row>
    <row r="755" spans="1:14" x14ac:dyDescent="0.2">
      <c r="A755" t="s">
        <v>1083</v>
      </c>
      <c r="B755" s="1" t="s">
        <v>1072</v>
      </c>
      <c r="C755" t="s">
        <v>106</v>
      </c>
      <c r="D755" t="s">
        <v>879</v>
      </c>
      <c r="E755">
        <v>24</v>
      </c>
      <c r="F755" t="s">
        <v>857</v>
      </c>
      <c r="G755">
        <v>2022</v>
      </c>
      <c r="H755" t="s">
        <v>1084</v>
      </c>
      <c r="I755" t="s">
        <v>32</v>
      </c>
      <c r="J755">
        <v>-849</v>
      </c>
      <c r="K755">
        <v>345</v>
      </c>
      <c r="L755">
        <f>J755+K755</f>
        <v>-504</v>
      </c>
      <c r="M755">
        <v>240</v>
      </c>
      <c r="N755">
        <f>L755+M755</f>
        <v>-264</v>
      </c>
    </row>
    <row r="756" spans="1:14" x14ac:dyDescent="0.2">
      <c r="A756" t="s">
        <v>1227</v>
      </c>
      <c r="B756" s="1" t="s">
        <v>1226</v>
      </c>
      <c r="C756" t="s">
        <v>43</v>
      </c>
      <c r="D756" t="s">
        <v>1228</v>
      </c>
      <c r="E756">
        <v>31</v>
      </c>
      <c r="F756" t="s">
        <v>857</v>
      </c>
      <c r="G756">
        <v>2022</v>
      </c>
      <c r="H756" t="s">
        <v>104</v>
      </c>
      <c r="I756" t="s">
        <v>62</v>
      </c>
      <c r="J756">
        <v>0</v>
      </c>
      <c r="K756">
        <v>0</v>
      </c>
      <c r="L756">
        <v>0</v>
      </c>
      <c r="M756">
        <v>0</v>
      </c>
      <c r="N756">
        <v>0</v>
      </c>
    </row>
    <row r="757" spans="1:14" x14ac:dyDescent="0.2">
      <c r="A757" t="s">
        <v>1229</v>
      </c>
      <c r="B757" s="1" t="s">
        <v>1180</v>
      </c>
      <c r="C757" t="s">
        <v>14</v>
      </c>
      <c r="D757" t="s">
        <v>484</v>
      </c>
      <c r="E757">
        <v>29</v>
      </c>
      <c r="F757" t="s">
        <v>857</v>
      </c>
      <c r="G757">
        <v>2022</v>
      </c>
      <c r="H757" t="s">
        <v>1230</v>
      </c>
      <c r="I757" t="s">
        <v>28</v>
      </c>
      <c r="J757">
        <v>799</v>
      </c>
      <c r="K757">
        <v>205</v>
      </c>
      <c r="L757">
        <f t="shared" ref="L757:L763" si="220">J757-K757</f>
        <v>594</v>
      </c>
      <c r="M757">
        <v>240</v>
      </c>
      <c r="N757">
        <f t="shared" ref="N757:N763" si="221">L757-M757</f>
        <v>354</v>
      </c>
    </row>
    <row r="758" spans="1:14" x14ac:dyDescent="0.2">
      <c r="A758" t="s">
        <v>1231</v>
      </c>
      <c r="B758" s="1" t="s">
        <v>1223</v>
      </c>
      <c r="C758" t="s">
        <v>14</v>
      </c>
      <c r="D758" t="s">
        <v>380</v>
      </c>
      <c r="E758">
        <v>30</v>
      </c>
      <c r="F758" t="s">
        <v>857</v>
      </c>
      <c r="G758">
        <v>2022</v>
      </c>
      <c r="H758" t="s">
        <v>796</v>
      </c>
      <c r="I758" t="s">
        <v>58</v>
      </c>
      <c r="J758">
        <v>849</v>
      </c>
      <c r="K758">
        <v>250</v>
      </c>
      <c r="L758">
        <f t="shared" si="220"/>
        <v>599</v>
      </c>
      <c r="M758">
        <v>240</v>
      </c>
      <c r="N758">
        <f t="shared" si="221"/>
        <v>359</v>
      </c>
    </row>
    <row r="759" spans="1:14" x14ac:dyDescent="0.2">
      <c r="A759" t="s">
        <v>1232</v>
      </c>
      <c r="B759" s="1" t="s">
        <v>1180</v>
      </c>
      <c r="C759" t="s">
        <v>14</v>
      </c>
      <c r="D759" t="s">
        <v>1233</v>
      </c>
      <c r="E759">
        <v>29</v>
      </c>
      <c r="F759" t="s">
        <v>857</v>
      </c>
      <c r="G759">
        <v>2022</v>
      </c>
      <c r="H759" t="s">
        <v>272</v>
      </c>
      <c r="I759" t="s">
        <v>23</v>
      </c>
      <c r="J759">
        <v>799</v>
      </c>
      <c r="K759">
        <v>205</v>
      </c>
      <c r="L759">
        <f t="shared" si="220"/>
        <v>594</v>
      </c>
      <c r="M759">
        <v>240</v>
      </c>
      <c r="N759">
        <f t="shared" si="221"/>
        <v>354</v>
      </c>
    </row>
    <row r="760" spans="1:14" x14ac:dyDescent="0.2">
      <c r="A760" t="s">
        <v>1234</v>
      </c>
      <c r="B760" s="1" t="s">
        <v>1226</v>
      </c>
      <c r="C760" t="s">
        <v>14</v>
      </c>
      <c r="D760" t="s">
        <v>379</v>
      </c>
      <c r="E760">
        <v>31</v>
      </c>
      <c r="F760" t="s">
        <v>857</v>
      </c>
      <c r="G760">
        <v>2022</v>
      </c>
      <c r="H760" t="s">
        <v>1235</v>
      </c>
      <c r="I760" t="s">
        <v>122</v>
      </c>
      <c r="J760">
        <v>799</v>
      </c>
      <c r="K760">
        <v>205</v>
      </c>
      <c r="L760">
        <f t="shared" si="220"/>
        <v>594</v>
      </c>
      <c r="M760">
        <v>240</v>
      </c>
      <c r="N760">
        <f t="shared" si="221"/>
        <v>354</v>
      </c>
    </row>
    <row r="761" spans="1:14" x14ac:dyDescent="0.2">
      <c r="A761" t="s">
        <v>1236</v>
      </c>
      <c r="B761" s="1" t="s">
        <v>1226</v>
      </c>
      <c r="C761" t="s">
        <v>14</v>
      </c>
      <c r="D761" t="s">
        <v>1089</v>
      </c>
      <c r="E761">
        <v>31</v>
      </c>
      <c r="F761" t="s">
        <v>857</v>
      </c>
      <c r="G761">
        <v>2022</v>
      </c>
      <c r="H761" t="s">
        <v>211</v>
      </c>
      <c r="I761" t="s">
        <v>212</v>
      </c>
      <c r="J761">
        <v>799</v>
      </c>
      <c r="K761">
        <v>205</v>
      </c>
      <c r="L761">
        <f t="shared" si="220"/>
        <v>594</v>
      </c>
      <c r="M761">
        <v>240</v>
      </c>
      <c r="N761">
        <f t="shared" si="221"/>
        <v>354</v>
      </c>
    </row>
    <row r="762" spans="1:14" x14ac:dyDescent="0.2">
      <c r="A762" t="s">
        <v>1237</v>
      </c>
      <c r="B762" s="1" t="s">
        <v>1223</v>
      </c>
      <c r="C762" t="s">
        <v>14</v>
      </c>
      <c r="D762" t="s">
        <v>977</v>
      </c>
      <c r="E762">
        <v>30</v>
      </c>
      <c r="F762" t="s">
        <v>857</v>
      </c>
      <c r="G762">
        <v>2022</v>
      </c>
      <c r="H762" t="s">
        <v>965</v>
      </c>
      <c r="I762" t="s">
        <v>122</v>
      </c>
      <c r="J762">
        <v>799</v>
      </c>
      <c r="K762">
        <v>205</v>
      </c>
      <c r="L762">
        <f t="shared" si="220"/>
        <v>594</v>
      </c>
      <c r="M762">
        <v>240</v>
      </c>
      <c r="N762">
        <f t="shared" si="221"/>
        <v>354</v>
      </c>
    </row>
    <row r="763" spans="1:14" x14ac:dyDescent="0.2">
      <c r="A763" t="s">
        <v>1238</v>
      </c>
      <c r="B763" s="1" t="s">
        <v>1180</v>
      </c>
      <c r="C763" t="s">
        <v>14</v>
      </c>
      <c r="D763" t="s">
        <v>81</v>
      </c>
      <c r="E763">
        <v>29</v>
      </c>
      <c r="F763" t="s">
        <v>857</v>
      </c>
      <c r="G763">
        <v>2022</v>
      </c>
      <c r="H763" t="s">
        <v>260</v>
      </c>
      <c r="I763" t="s">
        <v>28</v>
      </c>
      <c r="J763">
        <v>849</v>
      </c>
      <c r="K763">
        <v>250</v>
      </c>
      <c r="L763">
        <f t="shared" si="220"/>
        <v>599</v>
      </c>
      <c r="M763">
        <v>240</v>
      </c>
      <c r="N763">
        <f t="shared" si="221"/>
        <v>359</v>
      </c>
    </row>
    <row r="764" spans="1:14" x14ac:dyDescent="0.2">
      <c r="A764" t="s">
        <v>1239</v>
      </c>
      <c r="B764" s="1" t="s">
        <v>1223</v>
      </c>
      <c r="C764" t="s">
        <v>20</v>
      </c>
      <c r="D764" t="s">
        <v>573</v>
      </c>
      <c r="E764">
        <v>30</v>
      </c>
      <c r="F764" t="s">
        <v>857</v>
      </c>
      <c r="G764">
        <v>2022</v>
      </c>
      <c r="H764" t="s">
        <v>84</v>
      </c>
      <c r="I764" t="s">
        <v>85</v>
      </c>
      <c r="J764">
        <v>0</v>
      </c>
      <c r="K764">
        <v>0</v>
      </c>
      <c r="L764">
        <v>0</v>
      </c>
      <c r="M764">
        <v>0</v>
      </c>
      <c r="N764">
        <v>0</v>
      </c>
    </row>
    <row r="765" spans="1:14" x14ac:dyDescent="0.2">
      <c r="A765" t="s">
        <v>1240</v>
      </c>
      <c r="B765" s="1" t="s">
        <v>1223</v>
      </c>
      <c r="C765" t="s">
        <v>14</v>
      </c>
      <c r="D765" t="s">
        <v>1105</v>
      </c>
      <c r="E765">
        <v>30</v>
      </c>
      <c r="F765" t="s">
        <v>857</v>
      </c>
      <c r="G765">
        <v>2022</v>
      </c>
      <c r="H765" t="s">
        <v>1241</v>
      </c>
      <c r="I765" t="s">
        <v>85</v>
      </c>
      <c r="J765">
        <v>849</v>
      </c>
      <c r="K765">
        <v>250</v>
      </c>
      <c r="L765">
        <f t="shared" ref="L765:L771" si="222">J765-K765</f>
        <v>599</v>
      </c>
      <c r="M765">
        <v>240</v>
      </c>
      <c r="N765">
        <f t="shared" ref="N765:N771" si="223">L765-M765</f>
        <v>359</v>
      </c>
    </row>
    <row r="766" spans="1:14" x14ac:dyDescent="0.2">
      <c r="A766" t="s">
        <v>1242</v>
      </c>
      <c r="B766" s="1" t="s">
        <v>1226</v>
      </c>
      <c r="C766" t="s">
        <v>14</v>
      </c>
      <c r="D766" t="s">
        <v>1037</v>
      </c>
      <c r="E766">
        <v>31</v>
      </c>
      <c r="F766" t="s">
        <v>857</v>
      </c>
      <c r="G766">
        <v>2022</v>
      </c>
      <c r="H766" t="s">
        <v>162</v>
      </c>
      <c r="I766" t="s">
        <v>163</v>
      </c>
      <c r="J766">
        <v>799</v>
      </c>
      <c r="K766">
        <v>205</v>
      </c>
      <c r="L766">
        <f t="shared" si="222"/>
        <v>594</v>
      </c>
      <c r="M766">
        <v>240</v>
      </c>
      <c r="N766">
        <f t="shared" si="223"/>
        <v>354</v>
      </c>
    </row>
    <row r="767" spans="1:14" x14ac:dyDescent="0.2">
      <c r="A767" t="s">
        <v>1243</v>
      </c>
      <c r="B767" s="1" t="s">
        <v>1226</v>
      </c>
      <c r="C767" t="s">
        <v>14</v>
      </c>
      <c r="D767" t="s">
        <v>1244</v>
      </c>
      <c r="E767">
        <v>31</v>
      </c>
      <c r="F767" t="s">
        <v>857</v>
      </c>
      <c r="G767">
        <v>2022</v>
      </c>
      <c r="H767" t="s">
        <v>1245</v>
      </c>
      <c r="I767" t="s">
        <v>502</v>
      </c>
      <c r="J767">
        <v>849</v>
      </c>
      <c r="K767">
        <v>250</v>
      </c>
      <c r="L767">
        <f t="shared" si="222"/>
        <v>599</v>
      </c>
      <c r="M767">
        <v>240</v>
      </c>
      <c r="N767">
        <f t="shared" si="223"/>
        <v>359</v>
      </c>
    </row>
    <row r="768" spans="1:14" x14ac:dyDescent="0.2">
      <c r="A768" t="s">
        <v>1246</v>
      </c>
      <c r="B768" s="1" t="s">
        <v>1226</v>
      </c>
      <c r="C768" t="s">
        <v>14</v>
      </c>
      <c r="D768" t="s">
        <v>169</v>
      </c>
      <c r="E768">
        <v>31</v>
      </c>
      <c r="F768" t="s">
        <v>857</v>
      </c>
      <c r="G768">
        <v>2022</v>
      </c>
      <c r="H768" t="s">
        <v>1247</v>
      </c>
      <c r="I768" t="s">
        <v>62</v>
      </c>
      <c r="J768">
        <v>799</v>
      </c>
      <c r="K768">
        <v>205</v>
      </c>
      <c r="L768">
        <f t="shared" si="222"/>
        <v>594</v>
      </c>
      <c r="M768">
        <v>240</v>
      </c>
      <c r="N768">
        <f t="shared" si="223"/>
        <v>354</v>
      </c>
    </row>
    <row r="769" spans="1:14" x14ac:dyDescent="0.2">
      <c r="A769" t="s">
        <v>1248</v>
      </c>
      <c r="B769" s="1" t="s">
        <v>1223</v>
      </c>
      <c r="C769" t="s">
        <v>14</v>
      </c>
      <c r="D769" t="s">
        <v>504</v>
      </c>
      <c r="E769">
        <v>30</v>
      </c>
      <c r="F769" t="s">
        <v>857</v>
      </c>
      <c r="G769">
        <v>2022</v>
      </c>
      <c r="H769" t="s">
        <v>1249</v>
      </c>
      <c r="I769" t="s">
        <v>28</v>
      </c>
      <c r="J769">
        <v>899</v>
      </c>
      <c r="K769">
        <v>295</v>
      </c>
      <c r="L769">
        <f t="shared" si="222"/>
        <v>604</v>
      </c>
      <c r="M769">
        <v>240</v>
      </c>
      <c r="N769">
        <f t="shared" si="223"/>
        <v>364</v>
      </c>
    </row>
    <row r="770" spans="1:14" x14ac:dyDescent="0.2">
      <c r="A770" t="s">
        <v>1250</v>
      </c>
      <c r="B770" s="1" t="s">
        <v>1226</v>
      </c>
      <c r="C770" t="s">
        <v>14</v>
      </c>
      <c r="D770" t="s">
        <v>548</v>
      </c>
      <c r="E770">
        <v>31</v>
      </c>
      <c r="F770" t="s">
        <v>857</v>
      </c>
      <c r="G770">
        <v>2022</v>
      </c>
      <c r="H770" t="s">
        <v>157</v>
      </c>
      <c r="I770" t="s">
        <v>97</v>
      </c>
      <c r="J770">
        <v>899</v>
      </c>
      <c r="K770">
        <v>295</v>
      </c>
      <c r="L770">
        <f t="shared" si="222"/>
        <v>604</v>
      </c>
      <c r="M770">
        <v>240</v>
      </c>
      <c r="N770">
        <f t="shared" si="223"/>
        <v>364</v>
      </c>
    </row>
    <row r="771" spans="1:14" x14ac:dyDescent="0.2">
      <c r="A771" t="s">
        <v>1251</v>
      </c>
      <c r="B771" s="1" t="s">
        <v>1223</v>
      </c>
      <c r="C771" t="s">
        <v>14</v>
      </c>
      <c r="D771" t="s">
        <v>448</v>
      </c>
      <c r="E771">
        <v>30</v>
      </c>
      <c r="F771" t="s">
        <v>857</v>
      </c>
      <c r="G771">
        <v>2022</v>
      </c>
      <c r="H771" t="s">
        <v>1252</v>
      </c>
      <c r="I771" t="s">
        <v>19</v>
      </c>
      <c r="J771">
        <v>899</v>
      </c>
      <c r="K771">
        <v>295</v>
      </c>
      <c r="L771">
        <f t="shared" si="222"/>
        <v>604</v>
      </c>
      <c r="M771">
        <v>240</v>
      </c>
      <c r="N771">
        <f t="shared" si="223"/>
        <v>364</v>
      </c>
    </row>
    <row r="772" spans="1:14" x14ac:dyDescent="0.2">
      <c r="A772" t="s">
        <v>806</v>
      </c>
      <c r="B772" s="1" t="s">
        <v>805</v>
      </c>
      <c r="C772" t="s">
        <v>106</v>
      </c>
      <c r="D772" t="s">
        <v>308</v>
      </c>
      <c r="E772">
        <v>26</v>
      </c>
      <c r="F772" t="s">
        <v>646</v>
      </c>
      <c r="G772">
        <v>2022</v>
      </c>
      <c r="H772" t="s">
        <v>807</v>
      </c>
      <c r="I772" t="s">
        <v>28</v>
      </c>
      <c r="J772">
        <v>-999</v>
      </c>
      <c r="K772">
        <v>395</v>
      </c>
      <c r="L772">
        <f t="shared" ref="L772:L776" si="224">J772+K772</f>
        <v>-604</v>
      </c>
      <c r="M772">
        <v>240</v>
      </c>
      <c r="N772">
        <f t="shared" ref="N772:N776" si="225">L772+M772</f>
        <v>-364</v>
      </c>
    </row>
    <row r="773" spans="1:14" x14ac:dyDescent="0.2">
      <c r="A773" t="s">
        <v>847</v>
      </c>
      <c r="B773" s="1" t="s">
        <v>842</v>
      </c>
      <c r="C773" t="s">
        <v>106</v>
      </c>
      <c r="D773" t="s">
        <v>81</v>
      </c>
      <c r="E773">
        <v>29</v>
      </c>
      <c r="F773" t="s">
        <v>646</v>
      </c>
      <c r="G773">
        <v>2022</v>
      </c>
      <c r="H773" t="s">
        <v>848</v>
      </c>
      <c r="I773" t="s">
        <v>376</v>
      </c>
      <c r="J773">
        <v>-849</v>
      </c>
      <c r="K773">
        <v>345</v>
      </c>
      <c r="L773">
        <f t="shared" si="224"/>
        <v>-504</v>
      </c>
      <c r="M773">
        <v>240</v>
      </c>
      <c r="N773">
        <f t="shared" si="225"/>
        <v>-264</v>
      </c>
    </row>
    <row r="774" spans="1:14" x14ac:dyDescent="0.2">
      <c r="A774" t="s">
        <v>829</v>
      </c>
      <c r="B774" s="1" t="s">
        <v>814</v>
      </c>
      <c r="C774" t="s">
        <v>106</v>
      </c>
      <c r="D774" t="s">
        <v>548</v>
      </c>
      <c r="E774">
        <v>27</v>
      </c>
      <c r="F774" t="s">
        <v>646</v>
      </c>
      <c r="G774">
        <v>2022</v>
      </c>
      <c r="H774" t="s">
        <v>830</v>
      </c>
      <c r="I774" t="s">
        <v>62</v>
      </c>
      <c r="J774">
        <v>-999</v>
      </c>
      <c r="K774">
        <v>395</v>
      </c>
      <c r="L774">
        <f t="shared" si="224"/>
        <v>-604</v>
      </c>
      <c r="M774">
        <v>240</v>
      </c>
      <c r="N774">
        <f t="shared" si="225"/>
        <v>-364</v>
      </c>
    </row>
    <row r="775" spans="1:14" x14ac:dyDescent="0.2">
      <c r="A775" t="s">
        <v>811</v>
      </c>
      <c r="B775" s="1" t="s">
        <v>810</v>
      </c>
      <c r="C775" t="s">
        <v>106</v>
      </c>
      <c r="D775" t="s">
        <v>812</v>
      </c>
      <c r="E775">
        <v>25</v>
      </c>
      <c r="F775" t="s">
        <v>646</v>
      </c>
      <c r="G775">
        <v>2022</v>
      </c>
      <c r="H775" t="s">
        <v>813</v>
      </c>
      <c r="I775" t="s">
        <v>28</v>
      </c>
      <c r="J775">
        <v>-999</v>
      </c>
      <c r="K775">
        <v>395</v>
      </c>
      <c r="L775">
        <f t="shared" si="224"/>
        <v>-604</v>
      </c>
      <c r="M775">
        <v>240</v>
      </c>
      <c r="N775">
        <f t="shared" si="225"/>
        <v>-364</v>
      </c>
    </row>
    <row r="776" spans="1:14" x14ac:dyDescent="0.2">
      <c r="A776" t="s">
        <v>831</v>
      </c>
      <c r="B776" s="1" t="s">
        <v>814</v>
      </c>
      <c r="C776" t="s">
        <v>106</v>
      </c>
      <c r="D776" t="s">
        <v>81</v>
      </c>
      <c r="E776">
        <v>27</v>
      </c>
      <c r="F776" t="s">
        <v>646</v>
      </c>
      <c r="G776">
        <v>2022</v>
      </c>
      <c r="H776" t="s">
        <v>832</v>
      </c>
      <c r="I776" t="s">
        <v>122</v>
      </c>
      <c r="J776">
        <v>-849</v>
      </c>
      <c r="K776">
        <v>345</v>
      </c>
      <c r="L776">
        <f t="shared" si="224"/>
        <v>-504</v>
      </c>
      <c r="M776">
        <v>240</v>
      </c>
      <c r="N776">
        <f t="shared" si="225"/>
        <v>-264</v>
      </c>
    </row>
    <row r="777" spans="1:14" x14ac:dyDescent="0.2">
      <c r="A777" t="s">
        <v>1254</v>
      </c>
      <c r="B777" s="1" t="s">
        <v>1253</v>
      </c>
      <c r="C777" t="s">
        <v>14</v>
      </c>
      <c r="D777" t="s">
        <v>425</v>
      </c>
      <c r="E777">
        <v>1</v>
      </c>
      <c r="F777" t="s">
        <v>1255</v>
      </c>
      <c r="G777">
        <v>2022</v>
      </c>
      <c r="H777" t="s">
        <v>1256</v>
      </c>
      <c r="I777" t="s">
        <v>62</v>
      </c>
      <c r="J777">
        <v>799</v>
      </c>
      <c r="K777">
        <v>205</v>
      </c>
      <c r="L777">
        <f t="shared" ref="L777:L781" si="226">J777-K777</f>
        <v>594</v>
      </c>
      <c r="M777">
        <v>240</v>
      </c>
      <c r="N777">
        <f t="shared" ref="N777:N781" si="227">L777-M777</f>
        <v>354</v>
      </c>
    </row>
    <row r="778" spans="1:14" x14ac:dyDescent="0.2">
      <c r="A778" t="s">
        <v>1257</v>
      </c>
      <c r="B778" s="1" t="s">
        <v>1253</v>
      </c>
      <c r="C778" t="s">
        <v>14</v>
      </c>
      <c r="D778" t="s">
        <v>133</v>
      </c>
      <c r="E778">
        <v>1</v>
      </c>
      <c r="F778" t="s">
        <v>1255</v>
      </c>
      <c r="G778">
        <v>2022</v>
      </c>
      <c r="H778" t="s">
        <v>1258</v>
      </c>
      <c r="I778" t="s">
        <v>212</v>
      </c>
      <c r="J778">
        <v>799</v>
      </c>
      <c r="K778">
        <v>205</v>
      </c>
      <c r="L778">
        <f t="shared" si="226"/>
        <v>594</v>
      </c>
      <c r="M778">
        <v>240</v>
      </c>
      <c r="N778">
        <f t="shared" si="227"/>
        <v>354</v>
      </c>
    </row>
    <row r="779" spans="1:14" x14ac:dyDescent="0.2">
      <c r="A779" t="s">
        <v>1259</v>
      </c>
      <c r="B779" s="1" t="s">
        <v>1253</v>
      </c>
      <c r="C779" t="s">
        <v>14</v>
      </c>
      <c r="D779" t="s">
        <v>487</v>
      </c>
      <c r="E779">
        <v>1</v>
      </c>
      <c r="F779" t="s">
        <v>1255</v>
      </c>
      <c r="G779">
        <v>2022</v>
      </c>
      <c r="H779" t="s">
        <v>1260</v>
      </c>
      <c r="I779" t="s">
        <v>28</v>
      </c>
      <c r="J779">
        <v>799</v>
      </c>
      <c r="K779">
        <v>205</v>
      </c>
      <c r="L779">
        <f t="shared" si="226"/>
        <v>594</v>
      </c>
      <c r="M779">
        <v>240</v>
      </c>
      <c r="N779">
        <f t="shared" si="227"/>
        <v>354</v>
      </c>
    </row>
    <row r="780" spans="1:14" x14ac:dyDescent="0.2">
      <c r="A780" t="s">
        <v>1261</v>
      </c>
      <c r="B780" s="1" t="s">
        <v>1253</v>
      </c>
      <c r="C780" t="s">
        <v>14</v>
      </c>
      <c r="D780" t="s">
        <v>548</v>
      </c>
      <c r="E780">
        <v>1</v>
      </c>
      <c r="F780" t="s">
        <v>1255</v>
      </c>
      <c r="G780">
        <v>2022</v>
      </c>
      <c r="H780" t="s">
        <v>359</v>
      </c>
      <c r="I780" t="s">
        <v>85</v>
      </c>
      <c r="J780">
        <v>899</v>
      </c>
      <c r="K780">
        <v>295</v>
      </c>
      <c r="L780">
        <f t="shared" si="226"/>
        <v>604</v>
      </c>
      <c r="M780">
        <v>240</v>
      </c>
      <c r="N780">
        <f t="shared" si="227"/>
        <v>364</v>
      </c>
    </row>
    <row r="781" spans="1:14" x14ac:dyDescent="0.2">
      <c r="A781" t="s">
        <v>1262</v>
      </c>
      <c r="B781" s="1" t="s">
        <v>1253</v>
      </c>
      <c r="C781" t="s">
        <v>14</v>
      </c>
      <c r="D781" t="s">
        <v>1263</v>
      </c>
      <c r="E781">
        <v>1</v>
      </c>
      <c r="F781" t="s">
        <v>1255</v>
      </c>
      <c r="G781">
        <v>2022</v>
      </c>
      <c r="H781" t="s">
        <v>49</v>
      </c>
      <c r="I781" t="s">
        <v>32</v>
      </c>
      <c r="J781">
        <v>849</v>
      </c>
      <c r="K781">
        <v>250</v>
      </c>
      <c r="L781">
        <f t="shared" si="226"/>
        <v>599</v>
      </c>
      <c r="M781">
        <v>240</v>
      </c>
      <c r="N781">
        <f t="shared" si="227"/>
        <v>359</v>
      </c>
    </row>
    <row r="782" spans="1:14" x14ac:dyDescent="0.2">
      <c r="A782" t="s">
        <v>1264</v>
      </c>
      <c r="B782" s="1" t="s">
        <v>1253</v>
      </c>
      <c r="C782" t="s">
        <v>20</v>
      </c>
      <c r="D782" t="s">
        <v>786</v>
      </c>
      <c r="E782">
        <v>1</v>
      </c>
      <c r="F782" t="s">
        <v>1255</v>
      </c>
      <c r="G782">
        <v>2022</v>
      </c>
      <c r="H782" t="s">
        <v>104</v>
      </c>
      <c r="I782" t="s">
        <v>62</v>
      </c>
      <c r="J782">
        <v>0</v>
      </c>
      <c r="K782">
        <v>0</v>
      </c>
      <c r="L782">
        <v>0</v>
      </c>
      <c r="M782">
        <v>0</v>
      </c>
      <c r="N782">
        <v>0</v>
      </c>
    </row>
    <row r="783" spans="1:14" x14ac:dyDescent="0.2">
      <c r="A783" t="s">
        <v>1265</v>
      </c>
      <c r="B783" s="1" t="s">
        <v>1253</v>
      </c>
      <c r="C783" t="s">
        <v>14</v>
      </c>
      <c r="D783" t="s">
        <v>308</v>
      </c>
      <c r="E783">
        <v>1</v>
      </c>
      <c r="F783" t="s">
        <v>1255</v>
      </c>
      <c r="G783">
        <v>2022</v>
      </c>
      <c r="H783" t="s">
        <v>714</v>
      </c>
      <c r="I783" t="s">
        <v>376</v>
      </c>
      <c r="J783">
        <v>899</v>
      </c>
      <c r="K783">
        <v>295</v>
      </c>
      <c r="L783">
        <f t="shared" ref="L783:L794" si="228">J783-K783</f>
        <v>604</v>
      </c>
      <c r="M783">
        <v>240</v>
      </c>
      <c r="N783">
        <f t="shared" ref="N783:N794" si="229">L783-M783</f>
        <v>364</v>
      </c>
    </row>
    <row r="784" spans="1:14" x14ac:dyDescent="0.2">
      <c r="A784" t="s">
        <v>1266</v>
      </c>
      <c r="B784" s="1" t="s">
        <v>1253</v>
      </c>
      <c r="C784" t="s">
        <v>14</v>
      </c>
      <c r="D784" t="s">
        <v>504</v>
      </c>
      <c r="E784">
        <v>1</v>
      </c>
      <c r="F784" t="s">
        <v>1255</v>
      </c>
      <c r="G784">
        <v>2022</v>
      </c>
      <c r="H784" t="s">
        <v>1267</v>
      </c>
      <c r="I784" t="s">
        <v>23</v>
      </c>
      <c r="J784">
        <v>899</v>
      </c>
      <c r="K784">
        <v>295</v>
      </c>
      <c r="L784">
        <f t="shared" si="228"/>
        <v>604</v>
      </c>
      <c r="M784">
        <v>240</v>
      </c>
      <c r="N784">
        <f t="shared" si="229"/>
        <v>364</v>
      </c>
    </row>
    <row r="785" spans="1:14" x14ac:dyDescent="0.2">
      <c r="A785" t="s">
        <v>1268</v>
      </c>
      <c r="B785" s="1" t="s">
        <v>1253</v>
      </c>
      <c r="C785" t="s">
        <v>14</v>
      </c>
      <c r="D785" t="s">
        <v>573</v>
      </c>
      <c r="E785">
        <v>1</v>
      </c>
      <c r="F785" t="s">
        <v>1255</v>
      </c>
      <c r="G785">
        <v>2022</v>
      </c>
      <c r="H785" t="s">
        <v>1269</v>
      </c>
      <c r="I785" t="s">
        <v>253</v>
      </c>
      <c r="J785">
        <v>899</v>
      </c>
      <c r="K785">
        <v>295</v>
      </c>
      <c r="L785">
        <f t="shared" si="228"/>
        <v>604</v>
      </c>
      <c r="M785">
        <v>240</v>
      </c>
      <c r="N785">
        <f t="shared" si="229"/>
        <v>364</v>
      </c>
    </row>
    <row r="786" spans="1:14" x14ac:dyDescent="0.2">
      <c r="A786" t="s">
        <v>1271</v>
      </c>
      <c r="B786" s="1" t="s">
        <v>1270</v>
      </c>
      <c r="C786" t="s">
        <v>14</v>
      </c>
      <c r="D786" t="s">
        <v>812</v>
      </c>
      <c r="E786">
        <v>2</v>
      </c>
      <c r="F786" t="s">
        <v>1255</v>
      </c>
      <c r="G786">
        <v>2022</v>
      </c>
      <c r="H786" t="s">
        <v>1272</v>
      </c>
      <c r="I786" t="s">
        <v>62</v>
      </c>
      <c r="J786">
        <v>999</v>
      </c>
      <c r="K786">
        <v>325</v>
      </c>
      <c r="L786">
        <f t="shared" si="228"/>
        <v>674</v>
      </c>
      <c r="M786">
        <v>240</v>
      </c>
      <c r="N786">
        <f t="shared" si="229"/>
        <v>434</v>
      </c>
    </row>
    <row r="787" spans="1:14" x14ac:dyDescent="0.2">
      <c r="A787" t="s">
        <v>1273</v>
      </c>
      <c r="B787" s="1" t="s">
        <v>1270</v>
      </c>
      <c r="C787" t="s">
        <v>14</v>
      </c>
      <c r="D787" t="s">
        <v>380</v>
      </c>
      <c r="E787">
        <v>2</v>
      </c>
      <c r="F787" t="s">
        <v>1255</v>
      </c>
      <c r="G787">
        <v>2022</v>
      </c>
      <c r="H787" t="s">
        <v>314</v>
      </c>
      <c r="I787" t="s">
        <v>58</v>
      </c>
      <c r="J787">
        <v>849</v>
      </c>
      <c r="K787">
        <v>250</v>
      </c>
      <c r="L787">
        <f t="shared" si="228"/>
        <v>599</v>
      </c>
      <c r="M787">
        <v>240</v>
      </c>
      <c r="N787">
        <f t="shared" si="229"/>
        <v>359</v>
      </c>
    </row>
    <row r="788" spans="1:14" x14ac:dyDescent="0.2">
      <c r="A788" t="s">
        <v>1275</v>
      </c>
      <c r="B788" s="1" t="s">
        <v>1274</v>
      </c>
      <c r="C788" t="s">
        <v>14</v>
      </c>
      <c r="D788" t="s">
        <v>895</v>
      </c>
      <c r="E788">
        <v>3</v>
      </c>
      <c r="F788" t="s">
        <v>1255</v>
      </c>
      <c r="G788">
        <v>2022</v>
      </c>
      <c r="H788" t="s">
        <v>1276</v>
      </c>
      <c r="I788" t="s">
        <v>85</v>
      </c>
      <c r="J788">
        <v>849</v>
      </c>
      <c r="K788">
        <v>250</v>
      </c>
      <c r="L788">
        <f t="shared" si="228"/>
        <v>599</v>
      </c>
      <c r="M788">
        <v>240</v>
      </c>
      <c r="N788">
        <f t="shared" si="229"/>
        <v>359</v>
      </c>
    </row>
    <row r="789" spans="1:14" x14ac:dyDescent="0.2">
      <c r="A789" t="s">
        <v>1277</v>
      </c>
      <c r="B789" s="1" t="s">
        <v>1270</v>
      </c>
      <c r="C789" t="s">
        <v>14</v>
      </c>
      <c r="D789" t="s">
        <v>809</v>
      </c>
      <c r="E789">
        <v>2</v>
      </c>
      <c r="F789" t="s">
        <v>1255</v>
      </c>
      <c r="G789">
        <v>2022</v>
      </c>
      <c r="H789" t="s">
        <v>1084</v>
      </c>
      <c r="I789" t="s">
        <v>32</v>
      </c>
      <c r="J789">
        <v>999</v>
      </c>
      <c r="K789">
        <v>325</v>
      </c>
      <c r="L789">
        <f t="shared" si="228"/>
        <v>674</v>
      </c>
      <c r="M789">
        <v>240</v>
      </c>
      <c r="N789">
        <f t="shared" si="229"/>
        <v>434</v>
      </c>
    </row>
    <row r="790" spans="1:14" x14ac:dyDescent="0.2">
      <c r="A790" t="s">
        <v>1278</v>
      </c>
      <c r="B790" s="1" t="s">
        <v>1270</v>
      </c>
      <c r="C790" t="s">
        <v>14</v>
      </c>
      <c r="D790" t="s">
        <v>1015</v>
      </c>
      <c r="E790">
        <v>2</v>
      </c>
      <c r="F790" t="s">
        <v>1255</v>
      </c>
      <c r="G790">
        <v>2022</v>
      </c>
      <c r="H790" t="s">
        <v>1235</v>
      </c>
      <c r="I790" t="s">
        <v>122</v>
      </c>
      <c r="J790">
        <v>849</v>
      </c>
      <c r="K790">
        <v>250</v>
      </c>
      <c r="L790">
        <f t="shared" si="228"/>
        <v>599</v>
      </c>
      <c r="M790">
        <v>240</v>
      </c>
      <c r="N790">
        <f t="shared" si="229"/>
        <v>359</v>
      </c>
    </row>
    <row r="791" spans="1:14" x14ac:dyDescent="0.2">
      <c r="A791" t="s">
        <v>1279</v>
      </c>
      <c r="B791" s="1" t="s">
        <v>1274</v>
      </c>
      <c r="C791" t="s">
        <v>14</v>
      </c>
      <c r="D791" t="s">
        <v>967</v>
      </c>
      <c r="E791">
        <v>3</v>
      </c>
      <c r="F791" t="s">
        <v>1255</v>
      </c>
      <c r="G791">
        <v>2022</v>
      </c>
      <c r="H791" t="s">
        <v>1280</v>
      </c>
      <c r="I791" t="s">
        <v>85</v>
      </c>
      <c r="J791">
        <v>799</v>
      </c>
      <c r="K791">
        <v>205</v>
      </c>
      <c r="L791">
        <f t="shared" si="228"/>
        <v>594</v>
      </c>
      <c r="M791">
        <v>240</v>
      </c>
      <c r="N791">
        <f t="shared" si="229"/>
        <v>354</v>
      </c>
    </row>
    <row r="792" spans="1:14" x14ac:dyDescent="0.2">
      <c r="A792" t="s">
        <v>1281</v>
      </c>
      <c r="B792" s="1" t="s">
        <v>1270</v>
      </c>
      <c r="C792" t="s">
        <v>14</v>
      </c>
      <c r="D792" t="s">
        <v>504</v>
      </c>
      <c r="E792">
        <v>2</v>
      </c>
      <c r="F792" t="s">
        <v>1255</v>
      </c>
      <c r="G792">
        <v>2022</v>
      </c>
      <c r="H792" t="s">
        <v>1282</v>
      </c>
      <c r="I792" t="s">
        <v>502</v>
      </c>
      <c r="J792">
        <v>899</v>
      </c>
      <c r="K792">
        <v>295</v>
      </c>
      <c r="L792">
        <f t="shared" si="228"/>
        <v>604</v>
      </c>
      <c r="M792">
        <v>240</v>
      </c>
      <c r="N792">
        <f t="shared" si="229"/>
        <v>364</v>
      </c>
    </row>
    <row r="793" spans="1:14" x14ac:dyDescent="0.2">
      <c r="A793" t="s">
        <v>1283</v>
      </c>
      <c r="B793" s="1" t="s">
        <v>1274</v>
      </c>
      <c r="C793" t="s">
        <v>14</v>
      </c>
      <c r="D793" t="s">
        <v>548</v>
      </c>
      <c r="E793">
        <v>3</v>
      </c>
      <c r="F793" t="s">
        <v>1255</v>
      </c>
      <c r="G793">
        <v>2022</v>
      </c>
      <c r="H793" t="s">
        <v>1284</v>
      </c>
      <c r="I793" t="s">
        <v>85</v>
      </c>
      <c r="J793">
        <v>899</v>
      </c>
      <c r="K793">
        <v>295</v>
      </c>
      <c r="L793">
        <f t="shared" si="228"/>
        <v>604</v>
      </c>
      <c r="M793">
        <v>240</v>
      </c>
      <c r="N793">
        <f t="shared" si="229"/>
        <v>364</v>
      </c>
    </row>
    <row r="794" spans="1:14" x14ac:dyDescent="0.2">
      <c r="A794" t="s">
        <v>1285</v>
      </c>
      <c r="B794" s="1" t="s">
        <v>1270</v>
      </c>
      <c r="C794" t="s">
        <v>14</v>
      </c>
      <c r="D794" t="s">
        <v>879</v>
      </c>
      <c r="E794">
        <v>2</v>
      </c>
      <c r="F794" t="s">
        <v>1255</v>
      </c>
      <c r="G794">
        <v>2022</v>
      </c>
      <c r="H794" t="s">
        <v>604</v>
      </c>
      <c r="I794" t="s">
        <v>85</v>
      </c>
      <c r="J794">
        <v>849</v>
      </c>
      <c r="K794">
        <v>250</v>
      </c>
      <c r="L794">
        <f t="shared" si="228"/>
        <v>599</v>
      </c>
      <c r="M794">
        <v>240</v>
      </c>
      <c r="N794">
        <f t="shared" si="229"/>
        <v>359</v>
      </c>
    </row>
    <row r="795" spans="1:14" x14ac:dyDescent="0.2">
      <c r="A795" t="s">
        <v>1279</v>
      </c>
      <c r="B795" s="1" t="s">
        <v>1274</v>
      </c>
      <c r="C795" t="s">
        <v>106</v>
      </c>
      <c r="D795" t="s">
        <v>967</v>
      </c>
      <c r="E795">
        <v>3</v>
      </c>
      <c r="F795" t="s">
        <v>1255</v>
      </c>
      <c r="G795">
        <v>2022</v>
      </c>
      <c r="H795" t="s">
        <v>1280</v>
      </c>
      <c r="I795" t="s">
        <v>85</v>
      </c>
      <c r="J795">
        <v>-799</v>
      </c>
      <c r="K795">
        <v>320</v>
      </c>
      <c r="L795">
        <f>J795+K795</f>
        <v>-479</v>
      </c>
      <c r="M795">
        <v>240</v>
      </c>
      <c r="N795">
        <f>L795+M795</f>
        <v>-239</v>
      </c>
    </row>
    <row r="796" spans="1:14" x14ac:dyDescent="0.2">
      <c r="A796" t="s">
        <v>1286</v>
      </c>
      <c r="B796" s="1" t="s">
        <v>1274</v>
      </c>
      <c r="C796" t="s">
        <v>14</v>
      </c>
      <c r="D796" t="s">
        <v>425</v>
      </c>
      <c r="E796">
        <v>3</v>
      </c>
      <c r="F796" t="s">
        <v>1255</v>
      </c>
      <c r="G796">
        <v>2022</v>
      </c>
      <c r="H796" t="s">
        <v>1287</v>
      </c>
      <c r="I796" t="s">
        <v>23</v>
      </c>
      <c r="J796">
        <v>799</v>
      </c>
      <c r="K796">
        <v>205</v>
      </c>
      <c r="L796">
        <f t="shared" ref="L796:L814" si="230">J796-K796</f>
        <v>594</v>
      </c>
      <c r="M796">
        <v>240</v>
      </c>
      <c r="N796">
        <f t="shared" ref="N796:N814" si="231">L796-M796</f>
        <v>354</v>
      </c>
    </row>
    <row r="797" spans="1:14" x14ac:dyDescent="0.2">
      <c r="A797" t="s">
        <v>1288</v>
      </c>
      <c r="B797" s="1" t="s">
        <v>1274</v>
      </c>
      <c r="C797" t="s">
        <v>14</v>
      </c>
      <c r="D797" t="s">
        <v>81</v>
      </c>
      <c r="E797">
        <v>3</v>
      </c>
      <c r="F797" t="s">
        <v>1255</v>
      </c>
      <c r="G797">
        <v>2022</v>
      </c>
      <c r="H797" t="s">
        <v>637</v>
      </c>
      <c r="I797" t="s">
        <v>28</v>
      </c>
      <c r="J797">
        <v>849</v>
      </c>
      <c r="K797">
        <v>250</v>
      </c>
      <c r="L797">
        <f t="shared" si="230"/>
        <v>599</v>
      </c>
      <c r="M797">
        <v>240</v>
      </c>
      <c r="N797">
        <f t="shared" si="231"/>
        <v>359</v>
      </c>
    </row>
    <row r="798" spans="1:14" x14ac:dyDescent="0.2">
      <c r="A798" t="s">
        <v>1289</v>
      </c>
      <c r="B798" s="1" t="s">
        <v>1274</v>
      </c>
      <c r="C798" t="s">
        <v>14</v>
      </c>
      <c r="D798" t="s">
        <v>881</v>
      </c>
      <c r="E798">
        <v>3</v>
      </c>
      <c r="F798" t="s">
        <v>1255</v>
      </c>
      <c r="G798">
        <v>2022</v>
      </c>
      <c r="H798" t="s">
        <v>1290</v>
      </c>
      <c r="I798" t="s">
        <v>58</v>
      </c>
      <c r="J798">
        <v>799</v>
      </c>
      <c r="K798">
        <v>205</v>
      </c>
      <c r="L798">
        <f t="shared" si="230"/>
        <v>594</v>
      </c>
      <c r="M798">
        <v>240</v>
      </c>
      <c r="N798">
        <f t="shared" si="231"/>
        <v>354</v>
      </c>
    </row>
    <row r="799" spans="1:14" x14ac:dyDescent="0.2">
      <c r="A799" t="s">
        <v>1291</v>
      </c>
      <c r="B799" s="1" t="s">
        <v>1274</v>
      </c>
      <c r="C799" t="s">
        <v>14</v>
      </c>
      <c r="D799" t="s">
        <v>747</v>
      </c>
      <c r="E799">
        <v>3</v>
      </c>
      <c r="F799" t="s">
        <v>1255</v>
      </c>
      <c r="G799">
        <v>2022</v>
      </c>
      <c r="H799" t="s">
        <v>1292</v>
      </c>
      <c r="I799" t="s">
        <v>144</v>
      </c>
      <c r="J799">
        <v>799</v>
      </c>
      <c r="K799">
        <v>205</v>
      </c>
      <c r="L799">
        <f t="shared" si="230"/>
        <v>594</v>
      </c>
      <c r="M799">
        <v>240</v>
      </c>
      <c r="N799">
        <f t="shared" si="231"/>
        <v>354</v>
      </c>
    </row>
    <row r="800" spans="1:14" x14ac:dyDescent="0.2">
      <c r="A800" t="s">
        <v>1293</v>
      </c>
      <c r="B800" s="1" t="s">
        <v>1274</v>
      </c>
      <c r="C800" t="s">
        <v>14</v>
      </c>
      <c r="D800" t="s">
        <v>133</v>
      </c>
      <c r="E800">
        <v>3</v>
      </c>
      <c r="F800" t="s">
        <v>1255</v>
      </c>
      <c r="G800">
        <v>2022</v>
      </c>
      <c r="H800" t="s">
        <v>1294</v>
      </c>
      <c r="I800" t="s">
        <v>62</v>
      </c>
      <c r="J800">
        <v>799</v>
      </c>
      <c r="K800">
        <v>205</v>
      </c>
      <c r="L800">
        <f t="shared" si="230"/>
        <v>594</v>
      </c>
      <c r="M800">
        <v>240</v>
      </c>
      <c r="N800">
        <f t="shared" si="231"/>
        <v>354</v>
      </c>
    </row>
    <row r="801" spans="1:14" x14ac:dyDescent="0.2">
      <c r="A801" t="s">
        <v>1295</v>
      </c>
      <c r="B801" s="1" t="s">
        <v>1274</v>
      </c>
      <c r="C801" t="s">
        <v>14</v>
      </c>
      <c r="D801" t="s">
        <v>1076</v>
      </c>
      <c r="E801">
        <v>3</v>
      </c>
      <c r="F801" t="s">
        <v>1255</v>
      </c>
      <c r="G801">
        <v>2022</v>
      </c>
      <c r="H801" t="s">
        <v>309</v>
      </c>
      <c r="I801" t="s">
        <v>212</v>
      </c>
      <c r="J801">
        <v>849</v>
      </c>
      <c r="K801">
        <v>250</v>
      </c>
      <c r="L801">
        <f t="shared" si="230"/>
        <v>599</v>
      </c>
      <c r="M801">
        <v>240</v>
      </c>
      <c r="N801">
        <f t="shared" si="231"/>
        <v>359</v>
      </c>
    </row>
    <row r="802" spans="1:14" x14ac:dyDescent="0.2">
      <c r="A802" t="s">
        <v>1296</v>
      </c>
      <c r="B802" s="1" t="s">
        <v>1274</v>
      </c>
      <c r="C802" t="s">
        <v>14</v>
      </c>
      <c r="D802" t="s">
        <v>81</v>
      </c>
      <c r="E802">
        <v>3</v>
      </c>
      <c r="F802" t="s">
        <v>1255</v>
      </c>
      <c r="G802">
        <v>2022</v>
      </c>
      <c r="H802" t="s">
        <v>170</v>
      </c>
      <c r="I802" t="s">
        <v>171</v>
      </c>
      <c r="J802">
        <v>849</v>
      </c>
      <c r="K802">
        <v>250</v>
      </c>
      <c r="L802">
        <f t="shared" si="230"/>
        <v>599</v>
      </c>
      <c r="M802">
        <v>240</v>
      </c>
      <c r="N802">
        <f t="shared" si="231"/>
        <v>359</v>
      </c>
    </row>
    <row r="803" spans="1:14" x14ac:dyDescent="0.2">
      <c r="A803" t="s">
        <v>1297</v>
      </c>
      <c r="B803" s="1" t="s">
        <v>1274</v>
      </c>
      <c r="C803" t="s">
        <v>14</v>
      </c>
      <c r="D803" t="s">
        <v>895</v>
      </c>
      <c r="E803">
        <v>3</v>
      </c>
      <c r="F803" t="s">
        <v>1255</v>
      </c>
      <c r="G803">
        <v>2022</v>
      </c>
      <c r="H803" t="s">
        <v>196</v>
      </c>
      <c r="I803" t="s">
        <v>62</v>
      </c>
      <c r="J803">
        <v>849</v>
      </c>
      <c r="K803">
        <v>250</v>
      </c>
      <c r="L803">
        <f t="shared" si="230"/>
        <v>599</v>
      </c>
      <c r="M803">
        <v>240</v>
      </c>
      <c r="N803">
        <f t="shared" si="231"/>
        <v>359</v>
      </c>
    </row>
    <row r="804" spans="1:14" x14ac:dyDescent="0.2">
      <c r="A804" t="s">
        <v>1298</v>
      </c>
      <c r="B804" s="1" t="s">
        <v>1274</v>
      </c>
      <c r="C804" t="s">
        <v>14</v>
      </c>
      <c r="D804" t="s">
        <v>1141</v>
      </c>
      <c r="E804">
        <v>3</v>
      </c>
      <c r="F804" t="s">
        <v>1255</v>
      </c>
      <c r="G804">
        <v>2022</v>
      </c>
      <c r="H804" t="s">
        <v>965</v>
      </c>
      <c r="I804" t="s">
        <v>122</v>
      </c>
      <c r="J804">
        <v>799</v>
      </c>
      <c r="K804">
        <v>205</v>
      </c>
      <c r="L804">
        <f t="shared" si="230"/>
        <v>594</v>
      </c>
      <c r="M804">
        <v>240</v>
      </c>
      <c r="N804">
        <f t="shared" si="231"/>
        <v>354</v>
      </c>
    </row>
    <row r="805" spans="1:14" x14ac:dyDescent="0.2">
      <c r="A805" t="s">
        <v>1299</v>
      </c>
      <c r="B805" s="1" t="s">
        <v>1274</v>
      </c>
      <c r="C805" t="s">
        <v>14</v>
      </c>
      <c r="D805" t="s">
        <v>954</v>
      </c>
      <c r="E805">
        <v>3</v>
      </c>
      <c r="F805" t="s">
        <v>1255</v>
      </c>
      <c r="G805">
        <v>2022</v>
      </c>
      <c r="H805" t="s">
        <v>157</v>
      </c>
      <c r="I805" t="s">
        <v>97</v>
      </c>
      <c r="J805">
        <v>799</v>
      </c>
      <c r="K805">
        <v>205</v>
      </c>
      <c r="L805">
        <f t="shared" si="230"/>
        <v>594</v>
      </c>
      <c r="M805">
        <v>240</v>
      </c>
      <c r="N805">
        <f t="shared" si="231"/>
        <v>354</v>
      </c>
    </row>
    <row r="806" spans="1:14" x14ac:dyDescent="0.2">
      <c r="A806" t="s">
        <v>1300</v>
      </c>
      <c r="B806" s="1" t="s">
        <v>1270</v>
      </c>
      <c r="C806" t="s">
        <v>14</v>
      </c>
      <c r="D806" t="s">
        <v>957</v>
      </c>
      <c r="E806">
        <v>2</v>
      </c>
      <c r="F806" t="s">
        <v>1255</v>
      </c>
      <c r="G806">
        <v>2022</v>
      </c>
      <c r="H806" t="s">
        <v>309</v>
      </c>
      <c r="I806" t="s">
        <v>212</v>
      </c>
      <c r="J806">
        <v>799</v>
      </c>
      <c r="K806">
        <v>205</v>
      </c>
      <c r="L806">
        <f t="shared" si="230"/>
        <v>594</v>
      </c>
      <c r="M806">
        <v>240</v>
      </c>
      <c r="N806">
        <f t="shared" si="231"/>
        <v>354</v>
      </c>
    </row>
    <row r="807" spans="1:14" x14ac:dyDescent="0.2">
      <c r="A807" t="s">
        <v>1302</v>
      </c>
      <c r="B807" s="1" t="s">
        <v>1301</v>
      </c>
      <c r="C807" t="s">
        <v>14</v>
      </c>
      <c r="D807" t="s">
        <v>1303</v>
      </c>
      <c r="E807">
        <v>4</v>
      </c>
      <c r="F807" t="s">
        <v>1255</v>
      </c>
      <c r="G807">
        <v>2022</v>
      </c>
      <c r="H807" t="s">
        <v>235</v>
      </c>
      <c r="I807" t="s">
        <v>62</v>
      </c>
      <c r="J807">
        <v>849</v>
      </c>
      <c r="K807">
        <v>250</v>
      </c>
      <c r="L807">
        <f t="shared" si="230"/>
        <v>599</v>
      </c>
      <c r="M807">
        <v>240</v>
      </c>
      <c r="N807">
        <f t="shared" si="231"/>
        <v>359</v>
      </c>
    </row>
    <row r="808" spans="1:14" x14ac:dyDescent="0.2">
      <c r="A808" t="s">
        <v>1304</v>
      </c>
      <c r="B808" s="1" t="s">
        <v>1301</v>
      </c>
      <c r="C808" t="s">
        <v>14</v>
      </c>
      <c r="D808" t="s">
        <v>895</v>
      </c>
      <c r="E808">
        <v>4</v>
      </c>
      <c r="F808" t="s">
        <v>1255</v>
      </c>
      <c r="G808">
        <v>2022</v>
      </c>
      <c r="H808" t="s">
        <v>1305</v>
      </c>
      <c r="I808" t="s">
        <v>62</v>
      </c>
      <c r="J808">
        <v>849</v>
      </c>
      <c r="K808">
        <v>250</v>
      </c>
      <c r="L808">
        <f t="shared" si="230"/>
        <v>599</v>
      </c>
      <c r="M808">
        <v>240</v>
      </c>
      <c r="N808">
        <f t="shared" si="231"/>
        <v>359</v>
      </c>
    </row>
    <row r="809" spans="1:14" x14ac:dyDescent="0.2">
      <c r="A809" t="s">
        <v>1306</v>
      </c>
      <c r="B809" s="1" t="s">
        <v>1301</v>
      </c>
      <c r="C809" t="s">
        <v>14</v>
      </c>
      <c r="D809" t="s">
        <v>891</v>
      </c>
      <c r="E809">
        <v>4</v>
      </c>
      <c r="F809" t="s">
        <v>1255</v>
      </c>
      <c r="G809">
        <v>2022</v>
      </c>
      <c r="H809" t="s">
        <v>1307</v>
      </c>
      <c r="I809" t="s">
        <v>122</v>
      </c>
      <c r="J809">
        <v>849</v>
      </c>
      <c r="K809">
        <v>250</v>
      </c>
      <c r="L809">
        <f t="shared" si="230"/>
        <v>599</v>
      </c>
      <c r="M809">
        <v>240</v>
      </c>
      <c r="N809">
        <f t="shared" si="231"/>
        <v>359</v>
      </c>
    </row>
    <row r="810" spans="1:14" x14ac:dyDescent="0.2">
      <c r="A810" t="s">
        <v>1308</v>
      </c>
      <c r="B810" s="1" t="s">
        <v>1301</v>
      </c>
      <c r="C810" t="s">
        <v>14</v>
      </c>
      <c r="D810" t="s">
        <v>448</v>
      </c>
      <c r="E810">
        <v>4</v>
      </c>
      <c r="F810" t="s">
        <v>1255</v>
      </c>
      <c r="G810">
        <v>2022</v>
      </c>
      <c r="H810" t="s">
        <v>157</v>
      </c>
      <c r="I810" t="s">
        <v>97</v>
      </c>
      <c r="J810">
        <v>899</v>
      </c>
      <c r="K810">
        <v>295</v>
      </c>
      <c r="L810">
        <f t="shared" si="230"/>
        <v>604</v>
      </c>
      <c r="M810">
        <v>240</v>
      </c>
      <c r="N810">
        <f t="shared" si="231"/>
        <v>364</v>
      </c>
    </row>
    <row r="811" spans="1:14" x14ac:dyDescent="0.2">
      <c r="A811" t="s">
        <v>1309</v>
      </c>
      <c r="B811" s="1" t="s">
        <v>1301</v>
      </c>
      <c r="C811" t="s">
        <v>14</v>
      </c>
      <c r="D811" t="s">
        <v>1310</v>
      </c>
      <c r="E811">
        <v>4</v>
      </c>
      <c r="F811" t="s">
        <v>1255</v>
      </c>
      <c r="G811">
        <v>2022</v>
      </c>
      <c r="H811" t="s">
        <v>1311</v>
      </c>
      <c r="I811" t="s">
        <v>58</v>
      </c>
      <c r="J811">
        <v>849</v>
      </c>
      <c r="K811">
        <v>250</v>
      </c>
      <c r="L811">
        <f t="shared" si="230"/>
        <v>599</v>
      </c>
      <c r="M811">
        <v>240</v>
      </c>
      <c r="N811">
        <f t="shared" si="231"/>
        <v>359</v>
      </c>
    </row>
    <row r="812" spans="1:14" x14ac:dyDescent="0.2">
      <c r="A812" t="s">
        <v>1312</v>
      </c>
      <c r="B812" s="1" t="s">
        <v>1301</v>
      </c>
      <c r="C812" t="s">
        <v>14</v>
      </c>
      <c r="D812" t="s">
        <v>895</v>
      </c>
      <c r="E812">
        <v>4</v>
      </c>
      <c r="F812" t="s">
        <v>1255</v>
      </c>
      <c r="G812">
        <v>2022</v>
      </c>
      <c r="H812" t="s">
        <v>84</v>
      </c>
      <c r="I812" t="s">
        <v>85</v>
      </c>
      <c r="J812">
        <v>849</v>
      </c>
      <c r="K812">
        <v>250</v>
      </c>
      <c r="L812">
        <f t="shared" si="230"/>
        <v>599</v>
      </c>
      <c r="M812">
        <v>240</v>
      </c>
      <c r="N812">
        <f t="shared" si="231"/>
        <v>359</v>
      </c>
    </row>
    <row r="813" spans="1:14" x14ac:dyDescent="0.2">
      <c r="A813" t="s">
        <v>1313</v>
      </c>
      <c r="B813" s="1" t="s">
        <v>1301</v>
      </c>
      <c r="C813" t="s">
        <v>14</v>
      </c>
      <c r="D813" t="s">
        <v>1015</v>
      </c>
      <c r="E813">
        <v>4</v>
      </c>
      <c r="F813" t="s">
        <v>1255</v>
      </c>
      <c r="G813">
        <v>2022</v>
      </c>
      <c r="H813" t="s">
        <v>198</v>
      </c>
      <c r="I813" t="s">
        <v>32</v>
      </c>
      <c r="J813">
        <v>849</v>
      </c>
      <c r="K813">
        <v>250</v>
      </c>
      <c r="L813">
        <f t="shared" si="230"/>
        <v>599</v>
      </c>
      <c r="M813">
        <v>240</v>
      </c>
      <c r="N813">
        <f t="shared" si="231"/>
        <v>359</v>
      </c>
    </row>
    <row r="814" spans="1:14" x14ac:dyDescent="0.2">
      <c r="A814" t="s">
        <v>1314</v>
      </c>
      <c r="B814" s="1" t="s">
        <v>1301</v>
      </c>
      <c r="C814" t="s">
        <v>14</v>
      </c>
      <c r="D814" t="s">
        <v>81</v>
      </c>
      <c r="E814">
        <v>4</v>
      </c>
      <c r="F814" t="s">
        <v>1255</v>
      </c>
      <c r="G814">
        <v>2022</v>
      </c>
      <c r="H814" t="s">
        <v>309</v>
      </c>
      <c r="I814" t="s">
        <v>212</v>
      </c>
      <c r="J814">
        <v>849</v>
      </c>
      <c r="K814">
        <v>250</v>
      </c>
      <c r="L814">
        <f t="shared" si="230"/>
        <v>599</v>
      </c>
      <c r="M814">
        <v>240</v>
      </c>
      <c r="N814">
        <f t="shared" si="231"/>
        <v>359</v>
      </c>
    </row>
    <row r="815" spans="1:14" x14ac:dyDescent="0.2">
      <c r="A815" t="s">
        <v>1315</v>
      </c>
      <c r="B815" s="1" t="s">
        <v>1301</v>
      </c>
      <c r="C815" t="s">
        <v>20</v>
      </c>
      <c r="D815" t="s">
        <v>379</v>
      </c>
      <c r="E815">
        <v>4</v>
      </c>
      <c r="F815" t="s">
        <v>1255</v>
      </c>
      <c r="G815">
        <v>2022</v>
      </c>
      <c r="H815" t="s">
        <v>49</v>
      </c>
      <c r="I815" t="s">
        <v>32</v>
      </c>
      <c r="J815">
        <v>0</v>
      </c>
      <c r="K815">
        <v>0</v>
      </c>
      <c r="L815">
        <v>0</v>
      </c>
      <c r="M815">
        <v>0</v>
      </c>
      <c r="N815">
        <v>0</v>
      </c>
    </row>
    <row r="816" spans="1:14" x14ac:dyDescent="0.2">
      <c r="A816" t="s">
        <v>1317</v>
      </c>
      <c r="B816" s="1" t="s">
        <v>1316</v>
      </c>
      <c r="C816" t="s">
        <v>43</v>
      </c>
      <c r="D816" t="s">
        <v>834</v>
      </c>
      <c r="E816">
        <v>6</v>
      </c>
      <c r="F816" t="s">
        <v>1255</v>
      </c>
      <c r="G816">
        <v>2022</v>
      </c>
      <c r="H816" t="s">
        <v>198</v>
      </c>
      <c r="I816" t="s">
        <v>32</v>
      </c>
      <c r="J816">
        <v>0</v>
      </c>
      <c r="K816">
        <v>0</v>
      </c>
      <c r="L816">
        <v>0</v>
      </c>
      <c r="M816">
        <v>0</v>
      </c>
      <c r="N816">
        <v>0</v>
      </c>
    </row>
    <row r="817" spans="1:14" x14ac:dyDescent="0.2">
      <c r="A817" t="s">
        <v>1319</v>
      </c>
      <c r="B817" s="1" t="s">
        <v>1318</v>
      </c>
      <c r="C817" t="s">
        <v>14</v>
      </c>
      <c r="D817" t="s">
        <v>448</v>
      </c>
      <c r="E817">
        <v>5</v>
      </c>
      <c r="F817" t="s">
        <v>1255</v>
      </c>
      <c r="G817">
        <v>2022</v>
      </c>
      <c r="H817" t="s">
        <v>101</v>
      </c>
      <c r="I817" t="s">
        <v>62</v>
      </c>
      <c r="J817">
        <v>899</v>
      </c>
      <c r="K817">
        <v>295</v>
      </c>
      <c r="L817">
        <f t="shared" ref="L817:L826" si="232">J817-K817</f>
        <v>604</v>
      </c>
      <c r="M817">
        <v>240</v>
      </c>
      <c r="N817">
        <f t="shared" ref="N817:N826" si="233">L817-M817</f>
        <v>364</v>
      </c>
    </row>
    <row r="818" spans="1:14" x14ac:dyDescent="0.2">
      <c r="A818" t="s">
        <v>1320</v>
      </c>
      <c r="B818" s="1" t="s">
        <v>1318</v>
      </c>
      <c r="C818" t="s">
        <v>14</v>
      </c>
      <c r="D818" t="s">
        <v>81</v>
      </c>
      <c r="E818">
        <v>5</v>
      </c>
      <c r="F818" t="s">
        <v>1255</v>
      </c>
      <c r="G818">
        <v>2022</v>
      </c>
      <c r="H818" t="s">
        <v>1321</v>
      </c>
      <c r="I818" t="s">
        <v>212</v>
      </c>
      <c r="J818">
        <v>849</v>
      </c>
      <c r="K818">
        <v>250</v>
      </c>
      <c r="L818">
        <f t="shared" si="232"/>
        <v>599</v>
      </c>
      <c r="M818">
        <v>240</v>
      </c>
      <c r="N818">
        <f t="shared" si="233"/>
        <v>359</v>
      </c>
    </row>
    <row r="819" spans="1:14" x14ac:dyDescent="0.2">
      <c r="A819" t="s">
        <v>1322</v>
      </c>
      <c r="B819" s="1" t="s">
        <v>1318</v>
      </c>
      <c r="C819" t="s">
        <v>14</v>
      </c>
      <c r="D819" t="s">
        <v>128</v>
      </c>
      <c r="E819">
        <v>5</v>
      </c>
      <c r="F819" t="s">
        <v>1255</v>
      </c>
      <c r="G819">
        <v>2022</v>
      </c>
      <c r="H819" t="s">
        <v>1323</v>
      </c>
      <c r="I819" t="s">
        <v>498</v>
      </c>
      <c r="J819">
        <v>849</v>
      </c>
      <c r="K819">
        <v>250</v>
      </c>
      <c r="L819">
        <f t="shared" si="232"/>
        <v>599</v>
      </c>
      <c r="M819">
        <v>240</v>
      </c>
      <c r="N819">
        <f t="shared" si="233"/>
        <v>359</v>
      </c>
    </row>
    <row r="820" spans="1:14" x14ac:dyDescent="0.2">
      <c r="A820" t="s">
        <v>1322</v>
      </c>
      <c r="B820" s="1" t="s">
        <v>1318</v>
      </c>
      <c r="C820" t="s">
        <v>14</v>
      </c>
      <c r="D820" t="s">
        <v>1324</v>
      </c>
      <c r="E820">
        <v>5</v>
      </c>
      <c r="F820" t="s">
        <v>1255</v>
      </c>
      <c r="G820">
        <v>2022</v>
      </c>
      <c r="H820" t="s">
        <v>1323</v>
      </c>
      <c r="I820" t="s">
        <v>498</v>
      </c>
      <c r="J820">
        <v>849</v>
      </c>
      <c r="K820">
        <v>250</v>
      </c>
      <c r="L820">
        <f t="shared" si="232"/>
        <v>599</v>
      </c>
      <c r="M820">
        <v>240</v>
      </c>
      <c r="N820">
        <f t="shared" si="233"/>
        <v>359</v>
      </c>
    </row>
    <row r="821" spans="1:14" x14ac:dyDescent="0.2">
      <c r="A821" t="s">
        <v>1325</v>
      </c>
      <c r="B821" s="1" t="s">
        <v>1318</v>
      </c>
      <c r="C821" t="s">
        <v>14</v>
      </c>
      <c r="D821" t="s">
        <v>819</v>
      </c>
      <c r="E821">
        <v>5</v>
      </c>
      <c r="F821" t="s">
        <v>1255</v>
      </c>
      <c r="G821">
        <v>2022</v>
      </c>
      <c r="H821" t="s">
        <v>84</v>
      </c>
      <c r="I821" t="s">
        <v>85</v>
      </c>
      <c r="J821">
        <v>999</v>
      </c>
      <c r="K821">
        <v>325</v>
      </c>
      <c r="L821">
        <f t="shared" si="232"/>
        <v>674</v>
      </c>
      <c r="M821">
        <v>240</v>
      </c>
      <c r="N821">
        <f t="shared" si="233"/>
        <v>434</v>
      </c>
    </row>
    <row r="822" spans="1:14" x14ac:dyDescent="0.2">
      <c r="A822" t="s">
        <v>1326</v>
      </c>
      <c r="B822" s="1" t="s">
        <v>1301</v>
      </c>
      <c r="C822" t="s">
        <v>14</v>
      </c>
      <c r="D822" t="s">
        <v>1076</v>
      </c>
      <c r="E822">
        <v>4</v>
      </c>
      <c r="F822" t="s">
        <v>1255</v>
      </c>
      <c r="G822">
        <v>2022</v>
      </c>
      <c r="H822" t="s">
        <v>235</v>
      </c>
      <c r="I822" t="s">
        <v>62</v>
      </c>
      <c r="J822">
        <v>849</v>
      </c>
      <c r="K822">
        <v>250</v>
      </c>
      <c r="L822">
        <f t="shared" si="232"/>
        <v>599</v>
      </c>
      <c r="M822">
        <v>240</v>
      </c>
      <c r="N822">
        <f t="shared" si="233"/>
        <v>359</v>
      </c>
    </row>
    <row r="823" spans="1:14" x14ac:dyDescent="0.2">
      <c r="A823" t="s">
        <v>1327</v>
      </c>
      <c r="B823" s="1" t="s">
        <v>1318</v>
      </c>
      <c r="C823" t="s">
        <v>14</v>
      </c>
      <c r="D823" t="s">
        <v>834</v>
      </c>
      <c r="E823">
        <v>5</v>
      </c>
      <c r="F823" t="s">
        <v>1255</v>
      </c>
      <c r="G823">
        <v>2022</v>
      </c>
      <c r="H823" t="s">
        <v>999</v>
      </c>
      <c r="I823" t="s">
        <v>257</v>
      </c>
      <c r="J823">
        <v>849</v>
      </c>
      <c r="K823">
        <v>250</v>
      </c>
      <c r="L823">
        <f t="shared" si="232"/>
        <v>599</v>
      </c>
      <c r="M823">
        <v>240</v>
      </c>
      <c r="N823">
        <f t="shared" si="233"/>
        <v>359</v>
      </c>
    </row>
    <row r="824" spans="1:14" x14ac:dyDescent="0.2">
      <c r="A824" t="s">
        <v>1328</v>
      </c>
      <c r="B824" s="1" t="s">
        <v>1318</v>
      </c>
      <c r="C824" t="s">
        <v>14</v>
      </c>
      <c r="D824" t="s">
        <v>1171</v>
      </c>
      <c r="E824">
        <v>5</v>
      </c>
      <c r="F824" t="s">
        <v>1255</v>
      </c>
      <c r="G824">
        <v>2022</v>
      </c>
      <c r="H824" t="s">
        <v>211</v>
      </c>
      <c r="I824" t="s">
        <v>212</v>
      </c>
      <c r="J824">
        <v>799</v>
      </c>
      <c r="K824">
        <v>205</v>
      </c>
      <c r="L824">
        <f t="shared" si="232"/>
        <v>594</v>
      </c>
      <c r="M824">
        <v>240</v>
      </c>
      <c r="N824">
        <f t="shared" si="233"/>
        <v>354</v>
      </c>
    </row>
    <row r="825" spans="1:14" x14ac:dyDescent="0.2">
      <c r="A825" t="s">
        <v>1329</v>
      </c>
      <c r="B825" s="1" t="s">
        <v>1318</v>
      </c>
      <c r="C825" t="s">
        <v>14</v>
      </c>
      <c r="D825" t="s">
        <v>954</v>
      </c>
      <c r="E825">
        <v>5</v>
      </c>
      <c r="F825" t="s">
        <v>1255</v>
      </c>
      <c r="G825">
        <v>2022</v>
      </c>
      <c r="H825" t="s">
        <v>18</v>
      </c>
      <c r="I825" t="s">
        <v>19</v>
      </c>
      <c r="J825">
        <v>799</v>
      </c>
      <c r="K825">
        <v>205</v>
      </c>
      <c r="L825">
        <f t="shared" si="232"/>
        <v>594</v>
      </c>
      <c r="M825">
        <v>240</v>
      </c>
      <c r="N825">
        <f t="shared" si="233"/>
        <v>354</v>
      </c>
    </row>
    <row r="826" spans="1:14" x14ac:dyDescent="0.2">
      <c r="A826" t="s">
        <v>1330</v>
      </c>
      <c r="B826" s="1" t="s">
        <v>1318</v>
      </c>
      <c r="C826" t="s">
        <v>14</v>
      </c>
      <c r="D826" t="s">
        <v>879</v>
      </c>
      <c r="E826">
        <v>5</v>
      </c>
      <c r="F826" t="s">
        <v>1255</v>
      </c>
      <c r="G826">
        <v>2022</v>
      </c>
      <c r="H826" t="s">
        <v>1331</v>
      </c>
      <c r="I826" t="s">
        <v>28</v>
      </c>
      <c r="J826">
        <v>849</v>
      </c>
      <c r="K826">
        <v>250</v>
      </c>
      <c r="L826">
        <f t="shared" si="232"/>
        <v>599</v>
      </c>
      <c r="M826">
        <v>240</v>
      </c>
      <c r="N826">
        <f t="shared" si="233"/>
        <v>359</v>
      </c>
    </row>
    <row r="827" spans="1:14" x14ac:dyDescent="0.2">
      <c r="A827" t="s">
        <v>1332</v>
      </c>
      <c r="B827" s="1" t="s">
        <v>1316</v>
      </c>
      <c r="C827" t="s">
        <v>43</v>
      </c>
      <c r="D827" t="s">
        <v>1010</v>
      </c>
      <c r="E827">
        <v>6</v>
      </c>
      <c r="F827" t="s">
        <v>1255</v>
      </c>
      <c r="G827">
        <v>2022</v>
      </c>
      <c r="H827" t="s">
        <v>309</v>
      </c>
      <c r="I827" t="s">
        <v>212</v>
      </c>
      <c r="J827">
        <v>0</v>
      </c>
      <c r="K827">
        <v>0</v>
      </c>
      <c r="L827">
        <v>0</v>
      </c>
      <c r="M827">
        <v>0</v>
      </c>
      <c r="N827">
        <v>0</v>
      </c>
    </row>
    <row r="828" spans="1:14" x14ac:dyDescent="0.2">
      <c r="A828" t="s">
        <v>1333</v>
      </c>
      <c r="B828" s="1" t="s">
        <v>1316</v>
      </c>
      <c r="C828" t="s">
        <v>43</v>
      </c>
      <c r="D828" t="s">
        <v>81</v>
      </c>
      <c r="E828">
        <v>6</v>
      </c>
      <c r="F828" t="s">
        <v>1255</v>
      </c>
      <c r="G828">
        <v>2022</v>
      </c>
      <c r="H828" t="s">
        <v>157</v>
      </c>
      <c r="I828" t="s">
        <v>97</v>
      </c>
      <c r="J828">
        <v>0</v>
      </c>
      <c r="K828">
        <v>0</v>
      </c>
      <c r="L828">
        <v>0</v>
      </c>
      <c r="M828">
        <v>0</v>
      </c>
      <c r="N828">
        <v>0</v>
      </c>
    </row>
    <row r="829" spans="1:14" x14ac:dyDescent="0.2">
      <c r="A829" t="s">
        <v>1268</v>
      </c>
      <c r="B829" s="1" t="s">
        <v>1253</v>
      </c>
      <c r="C829" t="s">
        <v>106</v>
      </c>
      <c r="D829" t="s">
        <v>573</v>
      </c>
      <c r="E829">
        <v>1</v>
      </c>
      <c r="F829" t="s">
        <v>1255</v>
      </c>
      <c r="G829">
        <v>2022</v>
      </c>
      <c r="H829" t="s">
        <v>1269</v>
      </c>
      <c r="I829" t="s">
        <v>253</v>
      </c>
      <c r="J829">
        <v>-899</v>
      </c>
      <c r="K829">
        <v>375</v>
      </c>
      <c r="L829">
        <f t="shared" ref="L829:L830" si="234">J829+K829</f>
        <v>-524</v>
      </c>
      <c r="M829">
        <v>240</v>
      </c>
      <c r="N829">
        <f t="shared" ref="N829:N830" si="235">L829+M829</f>
        <v>-284</v>
      </c>
    </row>
    <row r="830" spans="1:14" x14ac:dyDescent="0.2">
      <c r="A830" t="s">
        <v>1278</v>
      </c>
      <c r="B830" s="1" t="s">
        <v>1270</v>
      </c>
      <c r="C830" t="s">
        <v>106</v>
      </c>
      <c r="D830" t="s">
        <v>1015</v>
      </c>
      <c r="E830">
        <v>2</v>
      </c>
      <c r="F830" t="s">
        <v>1255</v>
      </c>
      <c r="G830">
        <v>2022</v>
      </c>
      <c r="H830" t="s">
        <v>1235</v>
      </c>
      <c r="I830" t="s">
        <v>122</v>
      </c>
      <c r="J830">
        <v>-849</v>
      </c>
      <c r="K830">
        <v>345</v>
      </c>
      <c r="L830">
        <f t="shared" si="234"/>
        <v>-504</v>
      </c>
      <c r="M830">
        <v>240</v>
      </c>
      <c r="N830">
        <f t="shared" si="235"/>
        <v>-264</v>
      </c>
    </row>
    <row r="831" spans="1:14" x14ac:dyDescent="0.2">
      <c r="A831" t="s">
        <v>1335</v>
      </c>
      <c r="B831" s="1" t="s">
        <v>1334</v>
      </c>
      <c r="C831" t="s">
        <v>43</v>
      </c>
      <c r="D831" t="s">
        <v>895</v>
      </c>
      <c r="E831">
        <v>7</v>
      </c>
      <c r="F831" t="s">
        <v>1255</v>
      </c>
      <c r="G831">
        <v>2022</v>
      </c>
      <c r="H831" t="s">
        <v>1336</v>
      </c>
      <c r="I831" t="s">
        <v>97</v>
      </c>
      <c r="J831">
        <v>0</v>
      </c>
      <c r="K831">
        <v>0</v>
      </c>
      <c r="L831">
        <v>0</v>
      </c>
      <c r="M831">
        <v>0</v>
      </c>
      <c r="N831">
        <v>0</v>
      </c>
    </row>
    <row r="832" spans="1:14" x14ac:dyDescent="0.2">
      <c r="A832" t="s">
        <v>1329</v>
      </c>
      <c r="B832" s="1" t="s">
        <v>1318</v>
      </c>
      <c r="C832" t="s">
        <v>106</v>
      </c>
      <c r="D832" t="s">
        <v>954</v>
      </c>
      <c r="E832">
        <v>5</v>
      </c>
      <c r="F832" t="s">
        <v>1255</v>
      </c>
      <c r="G832">
        <v>2022</v>
      </c>
      <c r="H832" t="s">
        <v>18</v>
      </c>
      <c r="I832" t="s">
        <v>19</v>
      </c>
      <c r="J832">
        <v>-799</v>
      </c>
      <c r="K832">
        <v>320</v>
      </c>
      <c r="L832">
        <f>J832+K832</f>
        <v>-479</v>
      </c>
      <c r="M832">
        <v>240</v>
      </c>
      <c r="N832">
        <f>L832+M832</f>
        <v>-239</v>
      </c>
    </row>
    <row r="833" spans="1:14" x14ac:dyDescent="0.2">
      <c r="A833" t="s">
        <v>1337</v>
      </c>
      <c r="B833" s="1" t="s">
        <v>1334</v>
      </c>
      <c r="C833" t="s">
        <v>14</v>
      </c>
      <c r="D833" t="s">
        <v>1338</v>
      </c>
      <c r="E833">
        <v>7</v>
      </c>
      <c r="F833" t="s">
        <v>1255</v>
      </c>
      <c r="G833">
        <v>2022</v>
      </c>
      <c r="H833" t="s">
        <v>1339</v>
      </c>
      <c r="I833" t="s">
        <v>163</v>
      </c>
      <c r="J833">
        <v>799</v>
      </c>
      <c r="K833">
        <v>205</v>
      </c>
      <c r="L833">
        <f t="shared" ref="L833:L838" si="236">J833-K833</f>
        <v>594</v>
      </c>
      <c r="M833">
        <v>240</v>
      </c>
      <c r="N833">
        <f t="shared" ref="N833:N838" si="237">L833-M833</f>
        <v>354</v>
      </c>
    </row>
    <row r="834" spans="1:14" x14ac:dyDescent="0.2">
      <c r="A834" t="s">
        <v>1317</v>
      </c>
      <c r="B834" s="1" t="s">
        <v>1316</v>
      </c>
      <c r="C834" t="s">
        <v>14</v>
      </c>
      <c r="D834" t="s">
        <v>834</v>
      </c>
      <c r="E834">
        <v>6</v>
      </c>
      <c r="F834" t="s">
        <v>1255</v>
      </c>
      <c r="G834">
        <v>2022</v>
      </c>
      <c r="H834" t="s">
        <v>198</v>
      </c>
      <c r="I834" t="s">
        <v>32</v>
      </c>
      <c r="J834">
        <v>849</v>
      </c>
      <c r="K834">
        <v>250</v>
      </c>
      <c r="L834">
        <f t="shared" si="236"/>
        <v>599</v>
      </c>
      <c r="M834">
        <v>240</v>
      </c>
      <c r="N834">
        <f t="shared" si="237"/>
        <v>359</v>
      </c>
    </row>
    <row r="835" spans="1:14" x14ac:dyDescent="0.2">
      <c r="A835" t="s">
        <v>1340</v>
      </c>
      <c r="B835" s="1" t="s">
        <v>1334</v>
      </c>
      <c r="C835" t="s">
        <v>14</v>
      </c>
      <c r="D835" t="s">
        <v>923</v>
      </c>
      <c r="E835">
        <v>7</v>
      </c>
      <c r="F835" t="s">
        <v>1255</v>
      </c>
      <c r="G835">
        <v>2022</v>
      </c>
      <c r="H835" t="s">
        <v>157</v>
      </c>
      <c r="I835" t="s">
        <v>97</v>
      </c>
      <c r="J835">
        <v>849</v>
      </c>
      <c r="K835">
        <v>250</v>
      </c>
      <c r="L835">
        <f t="shared" si="236"/>
        <v>599</v>
      </c>
      <c r="M835">
        <v>240</v>
      </c>
      <c r="N835">
        <f t="shared" si="237"/>
        <v>359</v>
      </c>
    </row>
    <row r="836" spans="1:14" x14ac:dyDescent="0.2">
      <c r="A836" t="s">
        <v>1341</v>
      </c>
      <c r="B836" s="1" t="s">
        <v>1316</v>
      </c>
      <c r="C836" t="s">
        <v>14</v>
      </c>
      <c r="D836" t="s">
        <v>665</v>
      </c>
      <c r="E836">
        <v>6</v>
      </c>
      <c r="F836" t="s">
        <v>1255</v>
      </c>
      <c r="G836">
        <v>2022</v>
      </c>
      <c r="H836" t="s">
        <v>84</v>
      </c>
      <c r="I836" t="s">
        <v>85</v>
      </c>
      <c r="J836">
        <v>799</v>
      </c>
      <c r="K836">
        <v>205</v>
      </c>
      <c r="L836">
        <f t="shared" si="236"/>
        <v>594</v>
      </c>
      <c r="M836">
        <v>240</v>
      </c>
      <c r="N836">
        <f t="shared" si="237"/>
        <v>354</v>
      </c>
    </row>
    <row r="837" spans="1:14" x14ac:dyDescent="0.2">
      <c r="A837" t="s">
        <v>1342</v>
      </c>
      <c r="B837" s="1" t="s">
        <v>1316</v>
      </c>
      <c r="C837" t="s">
        <v>14</v>
      </c>
      <c r="D837" t="s">
        <v>957</v>
      </c>
      <c r="E837">
        <v>6</v>
      </c>
      <c r="F837" t="s">
        <v>1255</v>
      </c>
      <c r="G837">
        <v>2022</v>
      </c>
      <c r="H837" t="s">
        <v>999</v>
      </c>
      <c r="I837" t="s">
        <v>257</v>
      </c>
      <c r="J837">
        <v>799</v>
      </c>
      <c r="K837">
        <v>205</v>
      </c>
      <c r="L837">
        <f t="shared" si="236"/>
        <v>594</v>
      </c>
      <c r="M837">
        <v>240</v>
      </c>
      <c r="N837">
        <f t="shared" si="237"/>
        <v>354</v>
      </c>
    </row>
    <row r="838" spans="1:14" x14ac:dyDescent="0.2">
      <c r="A838" t="s">
        <v>1343</v>
      </c>
      <c r="B838" s="1" t="s">
        <v>1334</v>
      </c>
      <c r="C838" t="s">
        <v>14</v>
      </c>
      <c r="D838" t="s">
        <v>81</v>
      </c>
      <c r="E838">
        <v>7</v>
      </c>
      <c r="F838" t="s">
        <v>1255</v>
      </c>
      <c r="G838">
        <v>2022</v>
      </c>
      <c r="H838" t="s">
        <v>170</v>
      </c>
      <c r="I838" t="s">
        <v>171</v>
      </c>
      <c r="J838">
        <v>849</v>
      </c>
      <c r="K838">
        <v>250</v>
      </c>
      <c r="L838">
        <f t="shared" si="236"/>
        <v>599</v>
      </c>
      <c r="M838">
        <v>240</v>
      </c>
      <c r="N838">
        <f t="shared" si="237"/>
        <v>359</v>
      </c>
    </row>
    <row r="839" spans="1:14" x14ac:dyDescent="0.2">
      <c r="A839" t="s">
        <v>1344</v>
      </c>
      <c r="B839" s="1" t="s">
        <v>1316</v>
      </c>
      <c r="C839" t="s">
        <v>20</v>
      </c>
      <c r="D839" t="s">
        <v>380</v>
      </c>
      <c r="E839">
        <v>6</v>
      </c>
      <c r="F839" t="s">
        <v>1255</v>
      </c>
      <c r="G839">
        <v>2022</v>
      </c>
      <c r="H839" t="s">
        <v>796</v>
      </c>
      <c r="I839" t="s">
        <v>58</v>
      </c>
      <c r="J839">
        <v>0</v>
      </c>
      <c r="K839">
        <v>0</v>
      </c>
      <c r="L839">
        <v>0</v>
      </c>
      <c r="M839">
        <v>0</v>
      </c>
      <c r="N839">
        <v>0</v>
      </c>
    </row>
    <row r="840" spans="1:14" x14ac:dyDescent="0.2">
      <c r="A840" t="s">
        <v>1335</v>
      </c>
      <c r="B840" s="1" t="s">
        <v>1334</v>
      </c>
      <c r="C840" t="s">
        <v>14</v>
      </c>
      <c r="D840" t="s">
        <v>895</v>
      </c>
      <c r="E840">
        <v>7</v>
      </c>
      <c r="F840" t="s">
        <v>1255</v>
      </c>
      <c r="G840">
        <v>2022</v>
      </c>
      <c r="H840" t="s">
        <v>1336</v>
      </c>
      <c r="I840" t="s">
        <v>97</v>
      </c>
      <c r="J840">
        <v>849</v>
      </c>
      <c r="K840">
        <v>250</v>
      </c>
      <c r="L840">
        <f t="shared" ref="L840:L848" si="238">J840-K840</f>
        <v>599</v>
      </c>
      <c r="M840">
        <v>240</v>
      </c>
      <c r="N840">
        <f t="shared" ref="N840:N848" si="239">L840-M840</f>
        <v>359</v>
      </c>
    </row>
    <row r="841" spans="1:14" x14ac:dyDescent="0.2">
      <c r="A841" t="s">
        <v>1345</v>
      </c>
      <c r="B841" s="1" t="s">
        <v>1316</v>
      </c>
      <c r="C841" t="s">
        <v>14</v>
      </c>
      <c r="D841" t="s">
        <v>81</v>
      </c>
      <c r="E841">
        <v>6</v>
      </c>
      <c r="F841" t="s">
        <v>1255</v>
      </c>
      <c r="G841">
        <v>2022</v>
      </c>
      <c r="H841" t="s">
        <v>1346</v>
      </c>
      <c r="I841" t="s">
        <v>163</v>
      </c>
      <c r="J841">
        <v>849</v>
      </c>
      <c r="K841">
        <v>250</v>
      </c>
      <c r="L841">
        <f t="shared" si="238"/>
        <v>599</v>
      </c>
      <c r="M841">
        <v>240</v>
      </c>
      <c r="N841">
        <f t="shared" si="239"/>
        <v>359</v>
      </c>
    </row>
    <row r="842" spans="1:14" x14ac:dyDescent="0.2">
      <c r="A842" t="s">
        <v>1347</v>
      </c>
      <c r="B842" s="1" t="s">
        <v>1316</v>
      </c>
      <c r="C842" t="s">
        <v>14</v>
      </c>
      <c r="D842" t="s">
        <v>1348</v>
      </c>
      <c r="E842">
        <v>6</v>
      </c>
      <c r="F842" t="s">
        <v>1255</v>
      </c>
      <c r="G842">
        <v>2022</v>
      </c>
      <c r="H842" t="s">
        <v>84</v>
      </c>
      <c r="I842" t="s">
        <v>85</v>
      </c>
      <c r="J842">
        <v>799</v>
      </c>
      <c r="K842">
        <v>205</v>
      </c>
      <c r="L842">
        <f t="shared" si="238"/>
        <v>594</v>
      </c>
      <c r="M842">
        <v>240</v>
      </c>
      <c r="N842">
        <f t="shared" si="239"/>
        <v>354</v>
      </c>
    </row>
    <row r="843" spans="1:14" x14ac:dyDescent="0.2">
      <c r="A843" t="s">
        <v>1349</v>
      </c>
      <c r="B843" s="1" t="s">
        <v>1334</v>
      </c>
      <c r="C843" t="s">
        <v>14</v>
      </c>
      <c r="D843" t="s">
        <v>1212</v>
      </c>
      <c r="E843">
        <v>7</v>
      </c>
      <c r="F843" t="s">
        <v>1255</v>
      </c>
      <c r="G843">
        <v>2022</v>
      </c>
      <c r="H843" t="s">
        <v>246</v>
      </c>
      <c r="I843" t="s">
        <v>58</v>
      </c>
      <c r="J843">
        <v>799</v>
      </c>
      <c r="K843">
        <v>205</v>
      </c>
      <c r="L843">
        <f t="shared" si="238"/>
        <v>594</v>
      </c>
      <c r="M843">
        <v>240</v>
      </c>
      <c r="N843">
        <f t="shared" si="239"/>
        <v>354</v>
      </c>
    </row>
    <row r="844" spans="1:14" x14ac:dyDescent="0.2">
      <c r="A844" t="s">
        <v>1350</v>
      </c>
      <c r="B844" s="1" t="s">
        <v>1316</v>
      </c>
      <c r="C844" t="s">
        <v>14</v>
      </c>
      <c r="D844" t="s">
        <v>1076</v>
      </c>
      <c r="E844">
        <v>6</v>
      </c>
      <c r="F844" t="s">
        <v>1255</v>
      </c>
      <c r="G844">
        <v>2022</v>
      </c>
      <c r="H844" t="s">
        <v>1351</v>
      </c>
      <c r="I844" t="s">
        <v>85</v>
      </c>
      <c r="J844">
        <v>849</v>
      </c>
      <c r="K844">
        <v>250</v>
      </c>
      <c r="L844">
        <f t="shared" si="238"/>
        <v>599</v>
      </c>
      <c r="M844">
        <v>240</v>
      </c>
      <c r="N844">
        <f t="shared" si="239"/>
        <v>359</v>
      </c>
    </row>
    <row r="845" spans="1:14" x14ac:dyDescent="0.2">
      <c r="A845" t="s">
        <v>1352</v>
      </c>
      <c r="B845" s="1" t="s">
        <v>1334</v>
      </c>
      <c r="C845" t="s">
        <v>14</v>
      </c>
      <c r="D845" t="s">
        <v>689</v>
      </c>
      <c r="E845">
        <v>7</v>
      </c>
      <c r="F845" t="s">
        <v>1255</v>
      </c>
      <c r="G845">
        <v>2022</v>
      </c>
      <c r="H845" t="s">
        <v>246</v>
      </c>
      <c r="I845" t="s">
        <v>58</v>
      </c>
      <c r="J845">
        <v>799</v>
      </c>
      <c r="K845">
        <v>205</v>
      </c>
      <c r="L845">
        <f t="shared" si="238"/>
        <v>594</v>
      </c>
      <c r="M845">
        <v>240</v>
      </c>
      <c r="N845">
        <f t="shared" si="239"/>
        <v>354</v>
      </c>
    </row>
    <row r="846" spans="1:14" x14ac:dyDescent="0.2">
      <c r="A846" t="s">
        <v>1353</v>
      </c>
      <c r="B846" s="1" t="s">
        <v>1316</v>
      </c>
      <c r="C846" t="s">
        <v>14</v>
      </c>
      <c r="D846" t="s">
        <v>1354</v>
      </c>
      <c r="E846">
        <v>6</v>
      </c>
      <c r="F846" t="s">
        <v>1255</v>
      </c>
      <c r="G846">
        <v>2022</v>
      </c>
      <c r="H846" t="s">
        <v>157</v>
      </c>
      <c r="I846" t="s">
        <v>97</v>
      </c>
      <c r="J846">
        <v>799</v>
      </c>
      <c r="K846">
        <v>205</v>
      </c>
      <c r="L846">
        <f t="shared" si="238"/>
        <v>594</v>
      </c>
      <c r="M846">
        <v>240</v>
      </c>
      <c r="N846">
        <f t="shared" si="239"/>
        <v>354</v>
      </c>
    </row>
    <row r="847" spans="1:14" x14ac:dyDescent="0.2">
      <c r="A847" t="s">
        <v>1332</v>
      </c>
      <c r="B847" s="1" t="s">
        <v>1316</v>
      </c>
      <c r="C847" t="s">
        <v>14</v>
      </c>
      <c r="D847" t="s">
        <v>1010</v>
      </c>
      <c r="E847">
        <v>6</v>
      </c>
      <c r="F847" t="s">
        <v>1255</v>
      </c>
      <c r="G847">
        <v>2022</v>
      </c>
      <c r="H847" t="s">
        <v>309</v>
      </c>
      <c r="I847" t="s">
        <v>212</v>
      </c>
      <c r="J847">
        <v>799</v>
      </c>
      <c r="K847">
        <v>205</v>
      </c>
      <c r="L847">
        <f t="shared" si="238"/>
        <v>594</v>
      </c>
      <c r="M847">
        <v>240</v>
      </c>
      <c r="N847">
        <f t="shared" si="239"/>
        <v>354</v>
      </c>
    </row>
    <row r="848" spans="1:14" x14ac:dyDescent="0.2">
      <c r="A848" t="s">
        <v>1355</v>
      </c>
      <c r="B848" s="1" t="s">
        <v>1316</v>
      </c>
      <c r="C848" t="s">
        <v>14</v>
      </c>
      <c r="D848" t="s">
        <v>786</v>
      </c>
      <c r="E848">
        <v>6</v>
      </c>
      <c r="F848" t="s">
        <v>1255</v>
      </c>
      <c r="G848">
        <v>2022</v>
      </c>
      <c r="H848" t="s">
        <v>417</v>
      </c>
      <c r="I848" t="s">
        <v>253</v>
      </c>
      <c r="J848">
        <v>799</v>
      </c>
      <c r="K848">
        <v>205</v>
      </c>
      <c r="L848">
        <f t="shared" si="238"/>
        <v>594</v>
      </c>
      <c r="M848">
        <v>240</v>
      </c>
      <c r="N848">
        <f t="shared" si="239"/>
        <v>354</v>
      </c>
    </row>
    <row r="849" spans="1:14" x14ac:dyDescent="0.2">
      <c r="A849" t="s">
        <v>1356</v>
      </c>
      <c r="B849" s="1" t="s">
        <v>1316</v>
      </c>
      <c r="C849" t="s">
        <v>20</v>
      </c>
      <c r="D849" t="s">
        <v>895</v>
      </c>
      <c r="E849">
        <v>6</v>
      </c>
      <c r="F849" t="s">
        <v>1255</v>
      </c>
      <c r="G849">
        <v>2022</v>
      </c>
      <c r="H849" t="s">
        <v>1078</v>
      </c>
      <c r="I849" t="s">
        <v>37</v>
      </c>
      <c r="J849">
        <v>0</v>
      </c>
      <c r="K849">
        <v>0</v>
      </c>
      <c r="L849">
        <v>0</v>
      </c>
      <c r="M849">
        <v>0</v>
      </c>
      <c r="N849">
        <v>0</v>
      </c>
    </row>
    <row r="850" spans="1:14" x14ac:dyDescent="0.2">
      <c r="A850" t="s">
        <v>1358</v>
      </c>
      <c r="B850" s="1" t="s">
        <v>1357</v>
      </c>
      <c r="C850" t="s">
        <v>14</v>
      </c>
      <c r="D850" t="s">
        <v>81</v>
      </c>
      <c r="E850">
        <v>8</v>
      </c>
      <c r="F850" t="s">
        <v>1255</v>
      </c>
      <c r="G850">
        <v>2022</v>
      </c>
      <c r="H850" t="s">
        <v>162</v>
      </c>
      <c r="I850" t="s">
        <v>163</v>
      </c>
      <c r="J850">
        <v>849</v>
      </c>
      <c r="K850">
        <v>250</v>
      </c>
      <c r="L850">
        <f t="shared" ref="L850:L864" si="240">J850-K850</f>
        <v>599</v>
      </c>
      <c r="M850">
        <v>240</v>
      </c>
      <c r="N850">
        <f t="shared" ref="N850:N864" si="241">L850-M850</f>
        <v>359</v>
      </c>
    </row>
    <row r="851" spans="1:14" x14ac:dyDescent="0.2">
      <c r="A851" t="s">
        <v>1359</v>
      </c>
      <c r="B851" s="1" t="s">
        <v>1357</v>
      </c>
      <c r="C851" t="s">
        <v>14</v>
      </c>
      <c r="D851" t="s">
        <v>834</v>
      </c>
      <c r="E851">
        <v>8</v>
      </c>
      <c r="F851" t="s">
        <v>1255</v>
      </c>
      <c r="G851">
        <v>2022</v>
      </c>
      <c r="H851" t="s">
        <v>1360</v>
      </c>
      <c r="I851" t="s">
        <v>97</v>
      </c>
      <c r="J851">
        <v>849</v>
      </c>
      <c r="K851">
        <v>250</v>
      </c>
      <c r="L851">
        <f t="shared" si="240"/>
        <v>599</v>
      </c>
      <c r="M851">
        <v>240</v>
      </c>
      <c r="N851">
        <f t="shared" si="241"/>
        <v>359</v>
      </c>
    </row>
    <row r="852" spans="1:14" x14ac:dyDescent="0.2">
      <c r="A852" t="s">
        <v>1361</v>
      </c>
      <c r="B852" s="1" t="s">
        <v>1357</v>
      </c>
      <c r="C852" t="s">
        <v>14</v>
      </c>
      <c r="D852" t="s">
        <v>81</v>
      </c>
      <c r="E852">
        <v>8</v>
      </c>
      <c r="F852" t="s">
        <v>1255</v>
      </c>
      <c r="G852">
        <v>2022</v>
      </c>
      <c r="H852" t="s">
        <v>170</v>
      </c>
      <c r="I852" t="s">
        <v>171</v>
      </c>
      <c r="J852">
        <v>849</v>
      </c>
      <c r="K852">
        <v>250</v>
      </c>
      <c r="L852">
        <f t="shared" si="240"/>
        <v>599</v>
      </c>
      <c r="M852">
        <v>240</v>
      </c>
      <c r="N852">
        <f t="shared" si="241"/>
        <v>359</v>
      </c>
    </row>
    <row r="853" spans="1:14" x14ac:dyDescent="0.2">
      <c r="A853" t="s">
        <v>1362</v>
      </c>
      <c r="B853" s="1" t="s">
        <v>1357</v>
      </c>
      <c r="C853" t="s">
        <v>14</v>
      </c>
      <c r="D853" t="s">
        <v>81</v>
      </c>
      <c r="E853">
        <v>8</v>
      </c>
      <c r="F853" t="s">
        <v>1255</v>
      </c>
      <c r="G853">
        <v>2022</v>
      </c>
      <c r="H853" t="s">
        <v>1363</v>
      </c>
      <c r="I853" t="s">
        <v>250</v>
      </c>
      <c r="J853">
        <v>849</v>
      </c>
      <c r="K853">
        <v>250</v>
      </c>
      <c r="L853">
        <f t="shared" si="240"/>
        <v>599</v>
      </c>
      <c r="M853">
        <v>240</v>
      </c>
      <c r="N853">
        <f t="shared" si="241"/>
        <v>359</v>
      </c>
    </row>
    <row r="854" spans="1:14" x14ac:dyDescent="0.2">
      <c r="A854" t="s">
        <v>1365</v>
      </c>
      <c r="B854" s="1" t="s">
        <v>1364</v>
      </c>
      <c r="C854" t="s">
        <v>14</v>
      </c>
      <c r="D854" t="s">
        <v>1076</v>
      </c>
      <c r="E854">
        <v>9</v>
      </c>
      <c r="F854" t="s">
        <v>1255</v>
      </c>
      <c r="G854">
        <v>2022</v>
      </c>
      <c r="H854" t="s">
        <v>1366</v>
      </c>
      <c r="I854" t="s">
        <v>62</v>
      </c>
      <c r="J854">
        <v>849</v>
      </c>
      <c r="K854">
        <v>250</v>
      </c>
      <c r="L854">
        <f t="shared" si="240"/>
        <v>599</v>
      </c>
      <c r="M854">
        <v>240</v>
      </c>
      <c r="N854">
        <f t="shared" si="241"/>
        <v>359</v>
      </c>
    </row>
    <row r="855" spans="1:14" x14ac:dyDescent="0.2">
      <c r="A855" t="s">
        <v>1367</v>
      </c>
      <c r="B855" s="1" t="s">
        <v>1357</v>
      </c>
      <c r="C855" t="s">
        <v>14</v>
      </c>
      <c r="D855" t="s">
        <v>448</v>
      </c>
      <c r="E855">
        <v>8</v>
      </c>
      <c r="F855" t="s">
        <v>1255</v>
      </c>
      <c r="G855">
        <v>2022</v>
      </c>
      <c r="H855" t="s">
        <v>670</v>
      </c>
      <c r="I855" t="s">
        <v>122</v>
      </c>
      <c r="J855">
        <v>899</v>
      </c>
      <c r="K855">
        <v>295</v>
      </c>
      <c r="L855">
        <f t="shared" si="240"/>
        <v>604</v>
      </c>
      <c r="M855">
        <v>240</v>
      </c>
      <c r="N855">
        <f t="shared" si="241"/>
        <v>364</v>
      </c>
    </row>
    <row r="856" spans="1:14" x14ac:dyDescent="0.2">
      <c r="A856" t="s">
        <v>1368</v>
      </c>
      <c r="B856" s="1" t="s">
        <v>1364</v>
      </c>
      <c r="C856" t="s">
        <v>14</v>
      </c>
      <c r="D856" t="s">
        <v>573</v>
      </c>
      <c r="E856">
        <v>9</v>
      </c>
      <c r="F856" t="s">
        <v>1255</v>
      </c>
      <c r="G856">
        <v>2022</v>
      </c>
      <c r="H856" t="s">
        <v>170</v>
      </c>
      <c r="I856" t="s">
        <v>171</v>
      </c>
      <c r="J856">
        <v>899</v>
      </c>
      <c r="K856">
        <v>295</v>
      </c>
      <c r="L856">
        <f t="shared" si="240"/>
        <v>604</v>
      </c>
      <c r="M856">
        <v>240</v>
      </c>
      <c r="N856">
        <f t="shared" si="241"/>
        <v>364</v>
      </c>
    </row>
    <row r="857" spans="1:14" x14ac:dyDescent="0.2">
      <c r="A857" t="s">
        <v>1369</v>
      </c>
      <c r="B857" s="1" t="s">
        <v>1364</v>
      </c>
      <c r="C857" t="s">
        <v>14</v>
      </c>
      <c r="D857" t="s">
        <v>1370</v>
      </c>
      <c r="E857">
        <v>9</v>
      </c>
      <c r="F857" t="s">
        <v>1255</v>
      </c>
      <c r="G857">
        <v>2022</v>
      </c>
      <c r="H857" t="s">
        <v>1371</v>
      </c>
      <c r="I857" t="s">
        <v>62</v>
      </c>
      <c r="J857">
        <v>799</v>
      </c>
      <c r="K857">
        <v>205</v>
      </c>
      <c r="L857">
        <f t="shared" si="240"/>
        <v>594</v>
      </c>
      <c r="M857">
        <v>240</v>
      </c>
      <c r="N857">
        <f t="shared" si="241"/>
        <v>354</v>
      </c>
    </row>
    <row r="858" spans="1:14" x14ac:dyDescent="0.2">
      <c r="A858" t="s">
        <v>1372</v>
      </c>
      <c r="B858" s="1" t="s">
        <v>1364</v>
      </c>
      <c r="C858" t="s">
        <v>14</v>
      </c>
      <c r="D858" t="s">
        <v>81</v>
      </c>
      <c r="E858">
        <v>9</v>
      </c>
      <c r="F858" t="s">
        <v>1255</v>
      </c>
      <c r="G858">
        <v>2022</v>
      </c>
      <c r="H858" t="s">
        <v>215</v>
      </c>
      <c r="I858" t="s">
        <v>135</v>
      </c>
      <c r="J858">
        <v>849</v>
      </c>
      <c r="K858">
        <v>250</v>
      </c>
      <c r="L858">
        <f t="shared" si="240"/>
        <v>599</v>
      </c>
      <c r="M858">
        <v>240</v>
      </c>
      <c r="N858">
        <f t="shared" si="241"/>
        <v>359</v>
      </c>
    </row>
    <row r="859" spans="1:14" x14ac:dyDescent="0.2">
      <c r="A859" t="s">
        <v>1373</v>
      </c>
      <c r="B859" s="1" t="s">
        <v>1364</v>
      </c>
      <c r="C859" t="s">
        <v>14</v>
      </c>
      <c r="D859" t="s">
        <v>977</v>
      </c>
      <c r="E859">
        <v>9</v>
      </c>
      <c r="F859" t="s">
        <v>1255</v>
      </c>
      <c r="G859">
        <v>2022</v>
      </c>
      <c r="H859" t="s">
        <v>1374</v>
      </c>
      <c r="I859" t="s">
        <v>62</v>
      </c>
      <c r="J859">
        <v>799</v>
      </c>
      <c r="K859">
        <v>205</v>
      </c>
      <c r="L859">
        <f t="shared" si="240"/>
        <v>594</v>
      </c>
      <c r="M859">
        <v>240</v>
      </c>
      <c r="N859">
        <f t="shared" si="241"/>
        <v>354</v>
      </c>
    </row>
    <row r="860" spans="1:14" x14ac:dyDescent="0.2">
      <c r="A860" t="s">
        <v>1375</v>
      </c>
      <c r="B860" s="1" t="s">
        <v>1364</v>
      </c>
      <c r="C860" t="s">
        <v>14</v>
      </c>
      <c r="D860" t="s">
        <v>504</v>
      </c>
      <c r="E860">
        <v>9</v>
      </c>
      <c r="F860" t="s">
        <v>1255</v>
      </c>
      <c r="G860">
        <v>2022</v>
      </c>
      <c r="H860" t="s">
        <v>246</v>
      </c>
      <c r="I860" t="s">
        <v>58</v>
      </c>
      <c r="J860">
        <v>899</v>
      </c>
      <c r="K860">
        <v>295</v>
      </c>
      <c r="L860">
        <f t="shared" si="240"/>
        <v>604</v>
      </c>
      <c r="M860">
        <v>240</v>
      </c>
      <c r="N860">
        <f t="shared" si="241"/>
        <v>364</v>
      </c>
    </row>
    <row r="861" spans="1:14" x14ac:dyDescent="0.2">
      <c r="A861" t="s">
        <v>1376</v>
      </c>
      <c r="B861" s="1" t="s">
        <v>1364</v>
      </c>
      <c r="C861" t="s">
        <v>14</v>
      </c>
      <c r="D861" t="s">
        <v>1377</v>
      </c>
      <c r="E861">
        <v>9</v>
      </c>
      <c r="F861" t="s">
        <v>1255</v>
      </c>
      <c r="G861">
        <v>2022</v>
      </c>
      <c r="H861" t="s">
        <v>235</v>
      </c>
      <c r="I861" t="s">
        <v>62</v>
      </c>
      <c r="J861">
        <v>799</v>
      </c>
      <c r="K861">
        <v>205</v>
      </c>
      <c r="L861">
        <f t="shared" si="240"/>
        <v>594</v>
      </c>
      <c r="M861">
        <v>240</v>
      </c>
      <c r="N861">
        <f t="shared" si="241"/>
        <v>354</v>
      </c>
    </row>
    <row r="862" spans="1:14" x14ac:dyDescent="0.2">
      <c r="A862" t="s">
        <v>1378</v>
      </c>
      <c r="B862" s="1" t="s">
        <v>1357</v>
      </c>
      <c r="C862" t="s">
        <v>14</v>
      </c>
      <c r="D862" t="s">
        <v>379</v>
      </c>
      <c r="E862">
        <v>8</v>
      </c>
      <c r="F862" t="s">
        <v>1255</v>
      </c>
      <c r="G862">
        <v>2022</v>
      </c>
      <c r="H862" t="s">
        <v>1379</v>
      </c>
      <c r="I862" t="s">
        <v>85</v>
      </c>
      <c r="J862">
        <v>799</v>
      </c>
      <c r="K862">
        <v>205</v>
      </c>
      <c r="L862">
        <f t="shared" si="240"/>
        <v>594</v>
      </c>
      <c r="M862">
        <v>240</v>
      </c>
      <c r="N862">
        <f t="shared" si="241"/>
        <v>354</v>
      </c>
    </row>
    <row r="863" spans="1:14" x14ac:dyDescent="0.2">
      <c r="A863" t="s">
        <v>1380</v>
      </c>
      <c r="B863" s="1" t="s">
        <v>1357</v>
      </c>
      <c r="C863" t="s">
        <v>14</v>
      </c>
      <c r="D863" t="s">
        <v>548</v>
      </c>
      <c r="E863">
        <v>8</v>
      </c>
      <c r="F863" t="s">
        <v>1255</v>
      </c>
      <c r="G863">
        <v>2022</v>
      </c>
      <c r="H863" t="s">
        <v>1381</v>
      </c>
      <c r="I863" t="s">
        <v>171</v>
      </c>
      <c r="J863">
        <v>899</v>
      </c>
      <c r="K863">
        <v>295</v>
      </c>
      <c r="L863">
        <f t="shared" si="240"/>
        <v>604</v>
      </c>
      <c r="M863">
        <v>240</v>
      </c>
      <c r="N863">
        <f t="shared" si="241"/>
        <v>364</v>
      </c>
    </row>
    <row r="864" spans="1:14" x14ac:dyDescent="0.2">
      <c r="A864" t="s">
        <v>1382</v>
      </c>
      <c r="B864" s="1" t="s">
        <v>1364</v>
      </c>
      <c r="C864" t="s">
        <v>14</v>
      </c>
      <c r="D864" t="s">
        <v>1383</v>
      </c>
      <c r="E864">
        <v>9</v>
      </c>
      <c r="F864" t="s">
        <v>1255</v>
      </c>
      <c r="G864">
        <v>2022</v>
      </c>
      <c r="H864" t="s">
        <v>1384</v>
      </c>
      <c r="I864" t="s">
        <v>32</v>
      </c>
      <c r="J864">
        <v>799</v>
      </c>
      <c r="K864">
        <v>205</v>
      </c>
      <c r="L864">
        <f t="shared" si="240"/>
        <v>594</v>
      </c>
      <c r="M864">
        <v>240</v>
      </c>
      <c r="N864">
        <f t="shared" si="241"/>
        <v>354</v>
      </c>
    </row>
    <row r="865" spans="1:14" x14ac:dyDescent="0.2">
      <c r="A865" t="s">
        <v>1275</v>
      </c>
      <c r="B865" s="1" t="s">
        <v>1274</v>
      </c>
      <c r="C865" t="s">
        <v>106</v>
      </c>
      <c r="D865" t="s">
        <v>895</v>
      </c>
      <c r="E865">
        <v>3</v>
      </c>
      <c r="F865" t="s">
        <v>1255</v>
      </c>
      <c r="G865">
        <v>2022</v>
      </c>
      <c r="H865" t="s">
        <v>1276</v>
      </c>
      <c r="I865" t="s">
        <v>85</v>
      </c>
      <c r="J865">
        <v>-849</v>
      </c>
      <c r="K865">
        <v>345</v>
      </c>
      <c r="L865">
        <f>J865+K865</f>
        <v>-504</v>
      </c>
      <c r="M865">
        <v>240</v>
      </c>
      <c r="N865">
        <f>L865+M865</f>
        <v>-264</v>
      </c>
    </row>
    <row r="866" spans="1:14" x14ac:dyDescent="0.2">
      <c r="A866" t="s">
        <v>1385</v>
      </c>
      <c r="B866" s="1" t="s">
        <v>1364</v>
      </c>
      <c r="C866" t="s">
        <v>14</v>
      </c>
      <c r="D866" t="s">
        <v>1386</v>
      </c>
      <c r="E866">
        <v>9</v>
      </c>
      <c r="F866" t="s">
        <v>1255</v>
      </c>
      <c r="G866">
        <v>2022</v>
      </c>
      <c r="H866" t="s">
        <v>22</v>
      </c>
      <c r="I866" t="s">
        <v>23</v>
      </c>
      <c r="J866">
        <v>799</v>
      </c>
      <c r="K866">
        <v>205</v>
      </c>
      <c r="L866">
        <f t="shared" ref="L866:L867" si="242">J866-K866</f>
        <v>594</v>
      </c>
      <c r="M866">
        <v>240</v>
      </c>
      <c r="N866">
        <f t="shared" ref="N866:N867" si="243">L866-M866</f>
        <v>354</v>
      </c>
    </row>
    <row r="867" spans="1:14" x14ac:dyDescent="0.2">
      <c r="A867" t="s">
        <v>1387</v>
      </c>
      <c r="B867" s="1" t="s">
        <v>1364</v>
      </c>
      <c r="C867" t="s">
        <v>14</v>
      </c>
      <c r="D867" t="s">
        <v>1042</v>
      </c>
      <c r="E867">
        <v>9</v>
      </c>
      <c r="F867" t="s">
        <v>1255</v>
      </c>
      <c r="G867">
        <v>2022</v>
      </c>
      <c r="H867" t="s">
        <v>104</v>
      </c>
      <c r="I867" t="s">
        <v>62</v>
      </c>
      <c r="J867">
        <v>899</v>
      </c>
      <c r="K867">
        <v>295</v>
      </c>
      <c r="L867">
        <f t="shared" si="242"/>
        <v>604</v>
      </c>
      <c r="M867">
        <v>240</v>
      </c>
      <c r="N867">
        <f t="shared" si="243"/>
        <v>364</v>
      </c>
    </row>
    <row r="868" spans="1:14" x14ac:dyDescent="0.2">
      <c r="A868" t="s">
        <v>1320</v>
      </c>
      <c r="B868" s="1" t="s">
        <v>1318</v>
      </c>
      <c r="C868" t="s">
        <v>106</v>
      </c>
      <c r="D868" t="s">
        <v>81</v>
      </c>
      <c r="E868">
        <v>5</v>
      </c>
      <c r="F868" t="s">
        <v>1255</v>
      </c>
      <c r="G868">
        <v>2022</v>
      </c>
      <c r="H868" t="s">
        <v>1321</v>
      </c>
      <c r="I868" t="s">
        <v>212</v>
      </c>
      <c r="J868">
        <v>-849</v>
      </c>
      <c r="K868">
        <v>345</v>
      </c>
      <c r="L868">
        <f t="shared" ref="L868:L869" si="244">J868+K868</f>
        <v>-504</v>
      </c>
      <c r="M868">
        <v>240</v>
      </c>
      <c r="N868">
        <f t="shared" ref="N868:N869" si="245">L868+M868</f>
        <v>-264</v>
      </c>
    </row>
    <row r="869" spans="1:14" x14ac:dyDescent="0.2">
      <c r="A869" t="s">
        <v>1387</v>
      </c>
      <c r="B869" s="1" t="s">
        <v>1364</v>
      </c>
      <c r="C869" t="s">
        <v>106</v>
      </c>
      <c r="D869" t="s">
        <v>1042</v>
      </c>
      <c r="E869">
        <v>9</v>
      </c>
      <c r="F869" t="s">
        <v>1255</v>
      </c>
      <c r="G869">
        <v>2022</v>
      </c>
      <c r="H869" t="s">
        <v>104</v>
      </c>
      <c r="I869" t="s">
        <v>62</v>
      </c>
      <c r="J869">
        <v>-899</v>
      </c>
      <c r="K869">
        <v>375</v>
      </c>
      <c r="L869">
        <f t="shared" si="244"/>
        <v>-524</v>
      </c>
      <c r="M869">
        <v>240</v>
      </c>
      <c r="N869">
        <f t="shared" si="245"/>
        <v>-284</v>
      </c>
    </row>
    <row r="870" spans="1:14" x14ac:dyDescent="0.2">
      <c r="A870" t="s">
        <v>1389</v>
      </c>
      <c r="B870" s="1" t="s">
        <v>1388</v>
      </c>
      <c r="C870" t="s">
        <v>14</v>
      </c>
      <c r="D870" t="s">
        <v>380</v>
      </c>
      <c r="E870">
        <v>10</v>
      </c>
      <c r="F870" t="s">
        <v>1255</v>
      </c>
      <c r="G870">
        <v>2022</v>
      </c>
      <c r="H870" t="s">
        <v>215</v>
      </c>
      <c r="I870" t="s">
        <v>135</v>
      </c>
      <c r="J870">
        <v>849</v>
      </c>
      <c r="K870">
        <v>250</v>
      </c>
      <c r="L870">
        <f t="shared" ref="L870:L881" si="246">J870-K870</f>
        <v>599</v>
      </c>
      <c r="M870">
        <v>240</v>
      </c>
      <c r="N870">
        <f t="shared" ref="N870:N881" si="247">L870-M870</f>
        <v>359</v>
      </c>
    </row>
    <row r="871" spans="1:14" x14ac:dyDescent="0.2">
      <c r="A871" t="s">
        <v>1391</v>
      </c>
      <c r="B871" s="1" t="s">
        <v>1390</v>
      </c>
      <c r="C871" t="s">
        <v>14</v>
      </c>
      <c r="D871" t="s">
        <v>809</v>
      </c>
      <c r="E871">
        <v>11</v>
      </c>
      <c r="F871" t="s">
        <v>1255</v>
      </c>
      <c r="G871">
        <v>2022</v>
      </c>
      <c r="H871" t="s">
        <v>235</v>
      </c>
      <c r="I871" t="s">
        <v>62</v>
      </c>
      <c r="J871">
        <v>999</v>
      </c>
      <c r="K871">
        <v>325</v>
      </c>
      <c r="L871">
        <f t="shared" si="246"/>
        <v>674</v>
      </c>
      <c r="M871">
        <v>240</v>
      </c>
      <c r="N871">
        <f t="shared" si="247"/>
        <v>434</v>
      </c>
    </row>
    <row r="872" spans="1:14" x14ac:dyDescent="0.2">
      <c r="A872" t="s">
        <v>1392</v>
      </c>
      <c r="B872" s="1" t="s">
        <v>1364</v>
      </c>
      <c r="C872" t="s">
        <v>14</v>
      </c>
      <c r="D872" t="s">
        <v>1076</v>
      </c>
      <c r="E872">
        <v>9</v>
      </c>
      <c r="F872" t="s">
        <v>1255</v>
      </c>
      <c r="G872">
        <v>2022</v>
      </c>
      <c r="H872" t="s">
        <v>91</v>
      </c>
      <c r="I872" t="s">
        <v>23</v>
      </c>
      <c r="J872">
        <v>849</v>
      </c>
      <c r="K872">
        <v>250</v>
      </c>
      <c r="L872">
        <f t="shared" si="246"/>
        <v>599</v>
      </c>
      <c r="M872">
        <v>240</v>
      </c>
      <c r="N872">
        <f t="shared" si="247"/>
        <v>359</v>
      </c>
    </row>
    <row r="873" spans="1:14" x14ac:dyDescent="0.2">
      <c r="A873" t="s">
        <v>1393</v>
      </c>
      <c r="B873" s="1" t="s">
        <v>1390</v>
      </c>
      <c r="C873" t="s">
        <v>14</v>
      </c>
      <c r="D873" t="s">
        <v>812</v>
      </c>
      <c r="E873">
        <v>11</v>
      </c>
      <c r="F873" t="s">
        <v>1255</v>
      </c>
      <c r="G873">
        <v>2022</v>
      </c>
      <c r="H873" t="s">
        <v>208</v>
      </c>
      <c r="I873" t="s">
        <v>97</v>
      </c>
      <c r="J873">
        <v>999</v>
      </c>
      <c r="K873">
        <v>325</v>
      </c>
      <c r="L873">
        <f t="shared" si="246"/>
        <v>674</v>
      </c>
      <c r="M873">
        <v>240</v>
      </c>
      <c r="N873">
        <f t="shared" si="247"/>
        <v>434</v>
      </c>
    </row>
    <row r="874" spans="1:14" x14ac:dyDescent="0.2">
      <c r="A874" t="s">
        <v>1394</v>
      </c>
      <c r="B874" s="1" t="s">
        <v>1388</v>
      </c>
      <c r="C874" t="s">
        <v>14</v>
      </c>
      <c r="D874" t="s">
        <v>81</v>
      </c>
      <c r="E874">
        <v>10</v>
      </c>
      <c r="F874" t="s">
        <v>1255</v>
      </c>
      <c r="G874">
        <v>2022</v>
      </c>
      <c r="H874" t="s">
        <v>309</v>
      </c>
      <c r="I874" t="s">
        <v>212</v>
      </c>
      <c r="J874">
        <v>849</v>
      </c>
      <c r="K874">
        <v>250</v>
      </c>
      <c r="L874">
        <f t="shared" si="246"/>
        <v>599</v>
      </c>
      <c r="M874">
        <v>240</v>
      </c>
      <c r="N874">
        <f t="shared" si="247"/>
        <v>359</v>
      </c>
    </row>
    <row r="875" spans="1:14" x14ac:dyDescent="0.2">
      <c r="A875" t="s">
        <v>1395</v>
      </c>
      <c r="B875" s="1" t="s">
        <v>1364</v>
      </c>
      <c r="C875" t="s">
        <v>14</v>
      </c>
      <c r="D875" t="s">
        <v>1076</v>
      </c>
      <c r="E875">
        <v>9</v>
      </c>
      <c r="F875" t="s">
        <v>1255</v>
      </c>
      <c r="G875">
        <v>2022</v>
      </c>
      <c r="H875" t="s">
        <v>866</v>
      </c>
      <c r="I875" t="s">
        <v>866</v>
      </c>
      <c r="J875">
        <v>849</v>
      </c>
      <c r="K875">
        <v>250</v>
      </c>
      <c r="L875">
        <f t="shared" si="246"/>
        <v>599</v>
      </c>
      <c r="M875">
        <v>240</v>
      </c>
      <c r="N875">
        <f t="shared" si="247"/>
        <v>359</v>
      </c>
    </row>
    <row r="876" spans="1:14" x14ac:dyDescent="0.2">
      <c r="A876" t="s">
        <v>1396</v>
      </c>
      <c r="B876" s="1" t="s">
        <v>1388</v>
      </c>
      <c r="C876" t="s">
        <v>14</v>
      </c>
      <c r="D876" t="s">
        <v>809</v>
      </c>
      <c r="E876">
        <v>10</v>
      </c>
      <c r="F876" t="s">
        <v>1255</v>
      </c>
      <c r="G876">
        <v>2022</v>
      </c>
      <c r="H876" t="s">
        <v>162</v>
      </c>
      <c r="I876" t="s">
        <v>163</v>
      </c>
      <c r="J876">
        <v>999</v>
      </c>
      <c r="K876">
        <v>325</v>
      </c>
      <c r="L876">
        <f t="shared" si="246"/>
        <v>674</v>
      </c>
      <c r="M876">
        <v>240</v>
      </c>
      <c r="N876">
        <f t="shared" si="247"/>
        <v>434</v>
      </c>
    </row>
    <row r="877" spans="1:14" x14ac:dyDescent="0.2">
      <c r="A877" t="s">
        <v>1397</v>
      </c>
      <c r="B877" s="1" t="s">
        <v>1388</v>
      </c>
      <c r="C877" t="s">
        <v>14</v>
      </c>
      <c r="D877" t="s">
        <v>895</v>
      </c>
      <c r="E877">
        <v>10</v>
      </c>
      <c r="F877" t="s">
        <v>1255</v>
      </c>
      <c r="G877">
        <v>2022</v>
      </c>
      <c r="H877" t="s">
        <v>104</v>
      </c>
      <c r="I877" t="s">
        <v>62</v>
      </c>
      <c r="J877">
        <v>849</v>
      </c>
      <c r="K877">
        <v>250</v>
      </c>
      <c r="L877">
        <f t="shared" si="246"/>
        <v>599</v>
      </c>
      <c r="M877">
        <v>240</v>
      </c>
      <c r="N877">
        <f t="shared" si="247"/>
        <v>359</v>
      </c>
    </row>
    <row r="878" spans="1:14" x14ac:dyDescent="0.2">
      <c r="A878" t="s">
        <v>1398</v>
      </c>
      <c r="B878" s="1" t="s">
        <v>1388</v>
      </c>
      <c r="C878" t="s">
        <v>14</v>
      </c>
      <c r="D878" t="s">
        <v>879</v>
      </c>
      <c r="E878">
        <v>10</v>
      </c>
      <c r="F878" t="s">
        <v>1255</v>
      </c>
      <c r="G878">
        <v>2022</v>
      </c>
      <c r="H878" t="s">
        <v>1399</v>
      </c>
      <c r="I878" t="s">
        <v>28</v>
      </c>
      <c r="J878">
        <v>849</v>
      </c>
      <c r="K878">
        <v>250</v>
      </c>
      <c r="L878">
        <f t="shared" si="246"/>
        <v>599</v>
      </c>
      <c r="M878">
        <v>240</v>
      </c>
      <c r="N878">
        <f t="shared" si="247"/>
        <v>359</v>
      </c>
    </row>
    <row r="879" spans="1:14" x14ac:dyDescent="0.2">
      <c r="A879" t="s">
        <v>1400</v>
      </c>
      <c r="B879" s="1" t="s">
        <v>1364</v>
      </c>
      <c r="C879" t="s">
        <v>14</v>
      </c>
      <c r="D879" t="s">
        <v>822</v>
      </c>
      <c r="E879">
        <v>9</v>
      </c>
      <c r="F879" t="s">
        <v>1255</v>
      </c>
      <c r="G879">
        <v>2022</v>
      </c>
      <c r="H879" t="s">
        <v>965</v>
      </c>
      <c r="I879" t="s">
        <v>122</v>
      </c>
      <c r="J879">
        <v>849</v>
      </c>
      <c r="K879">
        <v>250</v>
      </c>
      <c r="L879">
        <f t="shared" si="246"/>
        <v>599</v>
      </c>
      <c r="M879">
        <v>240</v>
      </c>
      <c r="N879">
        <f t="shared" si="247"/>
        <v>359</v>
      </c>
    </row>
    <row r="880" spans="1:14" x14ac:dyDescent="0.2">
      <c r="A880" t="s">
        <v>1401</v>
      </c>
      <c r="B880" s="1" t="s">
        <v>1388</v>
      </c>
      <c r="C880" t="s">
        <v>14</v>
      </c>
      <c r="D880" t="s">
        <v>1402</v>
      </c>
      <c r="E880">
        <v>10</v>
      </c>
      <c r="F880" t="s">
        <v>1255</v>
      </c>
      <c r="G880">
        <v>2022</v>
      </c>
      <c r="H880" t="s">
        <v>260</v>
      </c>
      <c r="I880" t="s">
        <v>28</v>
      </c>
      <c r="J880">
        <v>849</v>
      </c>
      <c r="K880">
        <v>250</v>
      </c>
      <c r="L880">
        <f t="shared" si="246"/>
        <v>599</v>
      </c>
      <c r="M880">
        <v>240</v>
      </c>
      <c r="N880">
        <f t="shared" si="247"/>
        <v>359</v>
      </c>
    </row>
    <row r="881" spans="1:14" x14ac:dyDescent="0.2">
      <c r="A881" t="s">
        <v>1403</v>
      </c>
      <c r="B881" s="1" t="s">
        <v>1388</v>
      </c>
      <c r="C881" t="s">
        <v>14</v>
      </c>
      <c r="D881" t="s">
        <v>445</v>
      </c>
      <c r="E881">
        <v>10</v>
      </c>
      <c r="F881" t="s">
        <v>1255</v>
      </c>
      <c r="G881">
        <v>2022</v>
      </c>
      <c r="H881" t="s">
        <v>104</v>
      </c>
      <c r="I881" t="s">
        <v>62</v>
      </c>
      <c r="J881">
        <v>899</v>
      </c>
      <c r="K881">
        <v>295</v>
      </c>
      <c r="L881">
        <f t="shared" si="246"/>
        <v>604</v>
      </c>
      <c r="M881">
        <v>240</v>
      </c>
      <c r="N881">
        <f t="shared" si="247"/>
        <v>364</v>
      </c>
    </row>
    <row r="882" spans="1:14" x14ac:dyDescent="0.2">
      <c r="A882" t="s">
        <v>1298</v>
      </c>
      <c r="B882" s="1" t="s">
        <v>1274</v>
      </c>
      <c r="C882" t="s">
        <v>106</v>
      </c>
      <c r="D882" t="s">
        <v>1141</v>
      </c>
      <c r="E882">
        <v>3</v>
      </c>
      <c r="F882" t="s">
        <v>1255</v>
      </c>
      <c r="G882">
        <v>2022</v>
      </c>
      <c r="H882" t="s">
        <v>965</v>
      </c>
      <c r="I882" t="s">
        <v>122</v>
      </c>
      <c r="J882">
        <v>-799</v>
      </c>
      <c r="K882">
        <v>320</v>
      </c>
      <c r="L882">
        <f t="shared" ref="L882:L884" si="248">J882+K882</f>
        <v>-479</v>
      </c>
      <c r="M882">
        <v>240</v>
      </c>
      <c r="N882">
        <f t="shared" ref="N882:N884" si="249">L882+M882</f>
        <v>-239</v>
      </c>
    </row>
    <row r="883" spans="1:14" x14ac:dyDescent="0.2">
      <c r="A883" t="s">
        <v>1326</v>
      </c>
      <c r="B883" s="1" t="s">
        <v>1301</v>
      </c>
      <c r="C883" t="s">
        <v>106</v>
      </c>
      <c r="D883" t="s">
        <v>1076</v>
      </c>
      <c r="E883">
        <v>4</v>
      </c>
      <c r="F883" t="s">
        <v>1255</v>
      </c>
      <c r="G883">
        <v>2022</v>
      </c>
      <c r="H883" t="s">
        <v>235</v>
      </c>
      <c r="I883" t="s">
        <v>62</v>
      </c>
      <c r="J883">
        <v>-849</v>
      </c>
      <c r="K883">
        <v>345</v>
      </c>
      <c r="L883">
        <f t="shared" si="248"/>
        <v>-504</v>
      </c>
      <c r="M883">
        <v>240</v>
      </c>
      <c r="N883">
        <f t="shared" si="249"/>
        <v>-264</v>
      </c>
    </row>
    <row r="884" spans="1:14" x14ac:dyDescent="0.2">
      <c r="A884" t="s">
        <v>1380</v>
      </c>
      <c r="B884" s="1" t="s">
        <v>1357</v>
      </c>
      <c r="C884" t="s">
        <v>106</v>
      </c>
      <c r="D884" t="s">
        <v>548</v>
      </c>
      <c r="E884">
        <v>8</v>
      </c>
      <c r="F884" t="s">
        <v>1255</v>
      </c>
      <c r="G884">
        <v>2022</v>
      </c>
      <c r="H884" t="s">
        <v>1381</v>
      </c>
      <c r="I884" t="s">
        <v>171</v>
      </c>
      <c r="J884">
        <v>-899</v>
      </c>
      <c r="K884">
        <v>375</v>
      </c>
      <c r="L884">
        <f t="shared" si="248"/>
        <v>-524</v>
      </c>
      <c r="M884">
        <v>240</v>
      </c>
      <c r="N884">
        <f t="shared" si="249"/>
        <v>-284</v>
      </c>
    </row>
    <row r="885" spans="1:14" x14ac:dyDescent="0.2">
      <c r="A885" t="s">
        <v>1404</v>
      </c>
      <c r="B885" s="1" t="s">
        <v>1390</v>
      </c>
      <c r="C885" t="s">
        <v>14</v>
      </c>
      <c r="D885" t="s">
        <v>425</v>
      </c>
      <c r="E885">
        <v>11</v>
      </c>
      <c r="F885" t="s">
        <v>1255</v>
      </c>
      <c r="G885">
        <v>2022</v>
      </c>
      <c r="H885" t="s">
        <v>1405</v>
      </c>
      <c r="I885" t="s">
        <v>257</v>
      </c>
      <c r="J885">
        <v>799</v>
      </c>
      <c r="K885">
        <v>205</v>
      </c>
      <c r="L885">
        <f t="shared" ref="L885:L889" si="250">J885-K885</f>
        <v>594</v>
      </c>
      <c r="M885">
        <v>240</v>
      </c>
      <c r="N885">
        <f t="shared" ref="N885:N889" si="251">L885-M885</f>
        <v>354</v>
      </c>
    </row>
    <row r="886" spans="1:14" x14ac:dyDescent="0.2">
      <c r="A886" t="s">
        <v>1406</v>
      </c>
      <c r="B886" s="1" t="s">
        <v>1390</v>
      </c>
      <c r="C886" t="s">
        <v>14</v>
      </c>
      <c r="D886" t="s">
        <v>1089</v>
      </c>
      <c r="E886">
        <v>11</v>
      </c>
      <c r="F886" t="s">
        <v>1255</v>
      </c>
      <c r="G886">
        <v>2022</v>
      </c>
      <c r="H886" t="s">
        <v>162</v>
      </c>
      <c r="I886" t="s">
        <v>163</v>
      </c>
      <c r="J886">
        <v>799</v>
      </c>
      <c r="K886">
        <v>205</v>
      </c>
      <c r="L886">
        <f t="shared" si="250"/>
        <v>594</v>
      </c>
      <c r="M886">
        <v>240</v>
      </c>
      <c r="N886">
        <f t="shared" si="251"/>
        <v>354</v>
      </c>
    </row>
    <row r="887" spans="1:14" x14ac:dyDescent="0.2">
      <c r="A887" t="s">
        <v>1407</v>
      </c>
      <c r="B887" s="1" t="s">
        <v>1390</v>
      </c>
      <c r="C887" t="s">
        <v>14</v>
      </c>
      <c r="D887" t="s">
        <v>881</v>
      </c>
      <c r="E887">
        <v>11</v>
      </c>
      <c r="F887" t="s">
        <v>1255</v>
      </c>
      <c r="G887">
        <v>2022</v>
      </c>
      <c r="H887" t="s">
        <v>1408</v>
      </c>
      <c r="I887" t="s">
        <v>23</v>
      </c>
      <c r="J887">
        <v>799</v>
      </c>
      <c r="K887">
        <v>205</v>
      </c>
      <c r="L887">
        <f t="shared" si="250"/>
        <v>594</v>
      </c>
      <c r="M887">
        <v>240</v>
      </c>
      <c r="N887">
        <f t="shared" si="251"/>
        <v>354</v>
      </c>
    </row>
    <row r="888" spans="1:14" x14ac:dyDescent="0.2">
      <c r="A888" t="s">
        <v>1409</v>
      </c>
      <c r="B888" s="1" t="s">
        <v>1390</v>
      </c>
      <c r="C888" t="s">
        <v>14</v>
      </c>
      <c r="D888" t="s">
        <v>1037</v>
      </c>
      <c r="E888">
        <v>11</v>
      </c>
      <c r="F888" t="s">
        <v>1255</v>
      </c>
      <c r="G888">
        <v>2022</v>
      </c>
      <c r="H888" t="s">
        <v>398</v>
      </c>
      <c r="I888" t="s">
        <v>399</v>
      </c>
      <c r="J888">
        <v>799</v>
      </c>
      <c r="K888">
        <v>205</v>
      </c>
      <c r="L888">
        <f t="shared" si="250"/>
        <v>594</v>
      </c>
      <c r="M888">
        <v>240</v>
      </c>
      <c r="N888">
        <f t="shared" si="251"/>
        <v>354</v>
      </c>
    </row>
    <row r="889" spans="1:14" x14ac:dyDescent="0.2">
      <c r="A889" t="s">
        <v>1410</v>
      </c>
      <c r="B889" s="1" t="s">
        <v>1390</v>
      </c>
      <c r="C889" t="s">
        <v>14</v>
      </c>
      <c r="D889" t="s">
        <v>967</v>
      </c>
      <c r="E889">
        <v>11</v>
      </c>
      <c r="F889" t="s">
        <v>1255</v>
      </c>
      <c r="G889">
        <v>2022</v>
      </c>
      <c r="H889" t="s">
        <v>235</v>
      </c>
      <c r="I889" t="s">
        <v>62</v>
      </c>
      <c r="J889">
        <v>799</v>
      </c>
      <c r="K889">
        <v>205</v>
      </c>
      <c r="L889">
        <f t="shared" si="250"/>
        <v>594</v>
      </c>
      <c r="M889">
        <v>240</v>
      </c>
      <c r="N889">
        <f t="shared" si="251"/>
        <v>354</v>
      </c>
    </row>
    <row r="890" spans="1:14" x14ac:dyDescent="0.2">
      <c r="A890" t="s">
        <v>1304</v>
      </c>
      <c r="B890" s="1" t="s">
        <v>1301</v>
      </c>
      <c r="C890" t="s">
        <v>106</v>
      </c>
      <c r="D890" t="s">
        <v>895</v>
      </c>
      <c r="E890">
        <v>4</v>
      </c>
      <c r="F890" t="s">
        <v>1255</v>
      </c>
      <c r="G890">
        <v>2022</v>
      </c>
      <c r="H890" t="s">
        <v>1305</v>
      </c>
      <c r="I890" t="s">
        <v>62</v>
      </c>
      <c r="J890">
        <v>-849</v>
      </c>
      <c r="K890">
        <v>345</v>
      </c>
      <c r="L890">
        <f t="shared" ref="L890:L892" si="252">J890+K890</f>
        <v>-504</v>
      </c>
      <c r="M890">
        <v>240</v>
      </c>
      <c r="N890">
        <f t="shared" ref="N890:N892" si="253">L890+M890</f>
        <v>-264</v>
      </c>
    </row>
    <row r="891" spans="1:14" x14ac:dyDescent="0.2">
      <c r="A891" t="s">
        <v>1389</v>
      </c>
      <c r="B891" s="1" t="s">
        <v>1388</v>
      </c>
      <c r="C891" t="s">
        <v>106</v>
      </c>
      <c r="D891" t="s">
        <v>380</v>
      </c>
      <c r="E891">
        <v>10</v>
      </c>
      <c r="F891" t="s">
        <v>1255</v>
      </c>
      <c r="G891">
        <v>2022</v>
      </c>
      <c r="H891" t="s">
        <v>215</v>
      </c>
      <c r="I891" t="s">
        <v>135</v>
      </c>
      <c r="J891">
        <v>-849</v>
      </c>
      <c r="K891">
        <v>345</v>
      </c>
      <c r="L891">
        <f t="shared" si="252"/>
        <v>-504</v>
      </c>
      <c r="M891">
        <v>240</v>
      </c>
      <c r="N891">
        <f t="shared" si="253"/>
        <v>-264</v>
      </c>
    </row>
    <row r="892" spans="1:14" x14ac:dyDescent="0.2">
      <c r="A892" t="s">
        <v>1372</v>
      </c>
      <c r="B892" s="1" t="s">
        <v>1364</v>
      </c>
      <c r="C892" t="s">
        <v>106</v>
      </c>
      <c r="D892" t="s">
        <v>81</v>
      </c>
      <c r="E892">
        <v>9</v>
      </c>
      <c r="F892" t="s">
        <v>1255</v>
      </c>
      <c r="G892">
        <v>2022</v>
      </c>
      <c r="H892" t="s">
        <v>215</v>
      </c>
      <c r="I892" t="s">
        <v>135</v>
      </c>
      <c r="J892">
        <v>-849</v>
      </c>
      <c r="K892">
        <v>345</v>
      </c>
      <c r="L892">
        <f t="shared" si="252"/>
        <v>-504</v>
      </c>
      <c r="M892">
        <v>240</v>
      </c>
      <c r="N892">
        <f t="shared" si="253"/>
        <v>-264</v>
      </c>
    </row>
    <row r="893" spans="1:14" x14ac:dyDescent="0.2">
      <c r="A893" t="s">
        <v>1412</v>
      </c>
      <c r="B893" s="1" t="s">
        <v>1411</v>
      </c>
      <c r="C893" t="s">
        <v>14</v>
      </c>
      <c r="D893" t="s">
        <v>893</v>
      </c>
      <c r="E893">
        <v>12</v>
      </c>
      <c r="F893" t="s">
        <v>1255</v>
      </c>
      <c r="G893">
        <v>2022</v>
      </c>
      <c r="H893" t="s">
        <v>157</v>
      </c>
      <c r="I893" t="s">
        <v>97</v>
      </c>
      <c r="J893">
        <v>849</v>
      </c>
      <c r="K893">
        <v>250</v>
      </c>
      <c r="L893">
        <f t="shared" ref="L893:L894" si="254">J893-K893</f>
        <v>599</v>
      </c>
      <c r="M893">
        <v>240</v>
      </c>
      <c r="N893">
        <f t="shared" ref="N893:N894" si="255">L893-M893</f>
        <v>359</v>
      </c>
    </row>
    <row r="894" spans="1:14" x14ac:dyDescent="0.2">
      <c r="A894" t="s">
        <v>1413</v>
      </c>
      <c r="B894" s="1" t="s">
        <v>1411</v>
      </c>
      <c r="C894" t="s">
        <v>14</v>
      </c>
      <c r="D894" t="s">
        <v>834</v>
      </c>
      <c r="E894">
        <v>12</v>
      </c>
      <c r="F894" t="s">
        <v>1255</v>
      </c>
      <c r="G894">
        <v>2022</v>
      </c>
      <c r="H894" t="s">
        <v>157</v>
      </c>
      <c r="I894" t="s">
        <v>97</v>
      </c>
      <c r="J894">
        <v>849</v>
      </c>
      <c r="K894">
        <v>250</v>
      </c>
      <c r="L894">
        <f t="shared" si="254"/>
        <v>599</v>
      </c>
      <c r="M894">
        <v>240</v>
      </c>
      <c r="N894">
        <f t="shared" si="255"/>
        <v>359</v>
      </c>
    </row>
    <row r="895" spans="1:14" x14ac:dyDescent="0.2">
      <c r="A895" t="s">
        <v>1345</v>
      </c>
      <c r="B895" s="1" t="s">
        <v>1316</v>
      </c>
      <c r="C895" t="s">
        <v>106</v>
      </c>
      <c r="D895" t="s">
        <v>81</v>
      </c>
      <c r="E895">
        <v>6</v>
      </c>
      <c r="F895" t="s">
        <v>1255</v>
      </c>
      <c r="G895">
        <v>2022</v>
      </c>
      <c r="H895" t="s">
        <v>1346</v>
      </c>
      <c r="I895" t="s">
        <v>163</v>
      </c>
      <c r="J895">
        <v>-849</v>
      </c>
      <c r="K895">
        <v>345</v>
      </c>
      <c r="L895">
        <f t="shared" ref="L895:L901" si="256">J895+K895</f>
        <v>-504</v>
      </c>
      <c r="M895">
        <v>240</v>
      </c>
      <c r="N895">
        <f t="shared" ref="N895:N901" si="257">L895+M895</f>
        <v>-264</v>
      </c>
    </row>
    <row r="896" spans="1:14" x14ac:dyDescent="0.2">
      <c r="A896" t="s">
        <v>1394</v>
      </c>
      <c r="B896" s="1" t="s">
        <v>1388</v>
      </c>
      <c r="C896" t="s">
        <v>106</v>
      </c>
      <c r="D896" t="s">
        <v>81</v>
      </c>
      <c r="E896">
        <v>10</v>
      </c>
      <c r="F896" t="s">
        <v>1255</v>
      </c>
      <c r="G896">
        <v>2022</v>
      </c>
      <c r="H896" t="s">
        <v>309</v>
      </c>
      <c r="I896" t="s">
        <v>212</v>
      </c>
      <c r="J896">
        <v>-849</v>
      </c>
      <c r="K896">
        <v>345</v>
      </c>
      <c r="L896">
        <f t="shared" si="256"/>
        <v>-504</v>
      </c>
      <c r="M896">
        <v>240</v>
      </c>
      <c r="N896">
        <f t="shared" si="257"/>
        <v>-264</v>
      </c>
    </row>
    <row r="897" spans="1:14" x14ac:dyDescent="0.2">
      <c r="A897" t="s">
        <v>1285</v>
      </c>
      <c r="B897" s="1" t="s">
        <v>1270</v>
      </c>
      <c r="C897" t="s">
        <v>106</v>
      </c>
      <c r="D897" t="s">
        <v>879</v>
      </c>
      <c r="E897">
        <v>2</v>
      </c>
      <c r="F897" t="s">
        <v>1255</v>
      </c>
      <c r="G897">
        <v>2022</v>
      </c>
      <c r="H897" t="s">
        <v>604</v>
      </c>
      <c r="I897" t="s">
        <v>85</v>
      </c>
      <c r="J897">
        <v>-849</v>
      </c>
      <c r="K897">
        <v>345</v>
      </c>
      <c r="L897">
        <f t="shared" si="256"/>
        <v>-504</v>
      </c>
      <c r="M897">
        <v>240</v>
      </c>
      <c r="N897">
        <f t="shared" si="257"/>
        <v>-264</v>
      </c>
    </row>
    <row r="898" spans="1:14" x14ac:dyDescent="0.2">
      <c r="A898" t="s">
        <v>1254</v>
      </c>
      <c r="B898" s="1" t="s">
        <v>1253</v>
      </c>
      <c r="C898" t="s">
        <v>106</v>
      </c>
      <c r="D898" t="s">
        <v>425</v>
      </c>
      <c r="E898">
        <v>1</v>
      </c>
      <c r="F898" t="s">
        <v>1255</v>
      </c>
      <c r="G898">
        <v>2022</v>
      </c>
      <c r="H898" t="s">
        <v>1256</v>
      </c>
      <c r="I898" t="s">
        <v>62</v>
      </c>
      <c r="J898">
        <v>-799</v>
      </c>
      <c r="K898">
        <v>320</v>
      </c>
      <c r="L898">
        <f t="shared" si="256"/>
        <v>-479</v>
      </c>
      <c r="M898">
        <v>240</v>
      </c>
      <c r="N898">
        <f t="shared" si="257"/>
        <v>-239</v>
      </c>
    </row>
    <row r="899" spans="1:14" x14ac:dyDescent="0.2">
      <c r="A899" t="s">
        <v>1367</v>
      </c>
      <c r="B899" s="1" t="s">
        <v>1357</v>
      </c>
      <c r="C899" t="s">
        <v>106</v>
      </c>
      <c r="D899" t="s">
        <v>448</v>
      </c>
      <c r="E899">
        <v>8</v>
      </c>
      <c r="F899" t="s">
        <v>1255</v>
      </c>
      <c r="G899">
        <v>2022</v>
      </c>
      <c r="H899" t="s">
        <v>670</v>
      </c>
      <c r="I899" t="s">
        <v>122</v>
      </c>
      <c r="J899">
        <v>-899</v>
      </c>
      <c r="K899">
        <v>375</v>
      </c>
      <c r="L899">
        <f t="shared" si="256"/>
        <v>-524</v>
      </c>
      <c r="M899">
        <v>240</v>
      </c>
      <c r="N899">
        <f t="shared" si="257"/>
        <v>-284</v>
      </c>
    </row>
    <row r="900" spans="1:14" x14ac:dyDescent="0.2">
      <c r="A900" t="s">
        <v>1396</v>
      </c>
      <c r="B900" s="1" t="s">
        <v>1388</v>
      </c>
      <c r="C900" t="s">
        <v>106</v>
      </c>
      <c r="D900" t="s">
        <v>809</v>
      </c>
      <c r="E900">
        <v>10</v>
      </c>
      <c r="F900" t="s">
        <v>1255</v>
      </c>
      <c r="G900">
        <v>2022</v>
      </c>
      <c r="H900" t="s">
        <v>162</v>
      </c>
      <c r="I900" t="s">
        <v>163</v>
      </c>
      <c r="J900">
        <v>-999</v>
      </c>
      <c r="K900">
        <v>395</v>
      </c>
      <c r="L900">
        <f t="shared" si="256"/>
        <v>-604</v>
      </c>
      <c r="M900">
        <v>240</v>
      </c>
      <c r="N900">
        <f t="shared" si="257"/>
        <v>-364</v>
      </c>
    </row>
    <row r="901" spans="1:14" x14ac:dyDescent="0.2">
      <c r="A901" t="s">
        <v>1314</v>
      </c>
      <c r="B901" s="1" t="s">
        <v>1301</v>
      </c>
      <c r="C901" t="s">
        <v>106</v>
      </c>
      <c r="D901" t="s">
        <v>81</v>
      </c>
      <c r="E901">
        <v>4</v>
      </c>
      <c r="F901" t="s">
        <v>1255</v>
      </c>
      <c r="G901">
        <v>2022</v>
      </c>
      <c r="H901" t="s">
        <v>309</v>
      </c>
      <c r="I901" t="s">
        <v>212</v>
      </c>
      <c r="J901">
        <v>-849</v>
      </c>
      <c r="K901">
        <v>345</v>
      </c>
      <c r="L901">
        <f t="shared" si="256"/>
        <v>-504</v>
      </c>
      <c r="M901">
        <v>240</v>
      </c>
      <c r="N901">
        <f t="shared" si="257"/>
        <v>-264</v>
      </c>
    </row>
    <row r="902" spans="1:14" x14ac:dyDescent="0.2">
      <c r="A902" t="s">
        <v>1415</v>
      </c>
      <c r="B902" s="1" t="s">
        <v>1414</v>
      </c>
      <c r="C902" t="s">
        <v>14</v>
      </c>
      <c r="D902" t="s">
        <v>1416</v>
      </c>
      <c r="E902">
        <v>14</v>
      </c>
      <c r="F902" t="s">
        <v>1255</v>
      </c>
      <c r="G902">
        <v>2022</v>
      </c>
      <c r="H902" t="s">
        <v>1417</v>
      </c>
      <c r="I902" t="s">
        <v>37</v>
      </c>
      <c r="J902">
        <v>799</v>
      </c>
      <c r="K902">
        <v>205</v>
      </c>
      <c r="L902">
        <f t="shared" ref="L902:L914" si="258">J902-K902</f>
        <v>594</v>
      </c>
      <c r="M902">
        <v>240</v>
      </c>
      <c r="N902">
        <f t="shared" ref="N902:N914" si="259">L902-M902</f>
        <v>354</v>
      </c>
    </row>
    <row r="903" spans="1:14" x14ac:dyDescent="0.2">
      <c r="A903" t="s">
        <v>1419</v>
      </c>
      <c r="B903" s="1" t="s">
        <v>1418</v>
      </c>
      <c r="C903" t="s">
        <v>14</v>
      </c>
      <c r="D903" t="s">
        <v>448</v>
      </c>
      <c r="E903">
        <v>13</v>
      </c>
      <c r="F903" t="s">
        <v>1255</v>
      </c>
      <c r="G903">
        <v>2022</v>
      </c>
      <c r="H903" t="s">
        <v>193</v>
      </c>
      <c r="I903" t="s">
        <v>62</v>
      </c>
      <c r="J903">
        <v>899</v>
      </c>
      <c r="K903">
        <v>295</v>
      </c>
      <c r="L903">
        <f t="shared" si="258"/>
        <v>604</v>
      </c>
      <c r="M903">
        <v>240</v>
      </c>
      <c r="N903">
        <f t="shared" si="259"/>
        <v>364</v>
      </c>
    </row>
    <row r="904" spans="1:14" x14ac:dyDescent="0.2">
      <c r="A904" t="s">
        <v>1420</v>
      </c>
      <c r="B904" s="1" t="s">
        <v>1418</v>
      </c>
      <c r="C904" t="s">
        <v>14</v>
      </c>
      <c r="D904" t="s">
        <v>380</v>
      </c>
      <c r="E904">
        <v>13</v>
      </c>
      <c r="F904" t="s">
        <v>1255</v>
      </c>
      <c r="G904">
        <v>2022</v>
      </c>
      <c r="H904" t="s">
        <v>215</v>
      </c>
      <c r="I904" t="s">
        <v>135</v>
      </c>
      <c r="J904">
        <v>849</v>
      </c>
      <c r="K904">
        <v>250</v>
      </c>
      <c r="L904">
        <f t="shared" si="258"/>
        <v>599</v>
      </c>
      <c r="M904">
        <v>240</v>
      </c>
      <c r="N904">
        <f t="shared" si="259"/>
        <v>359</v>
      </c>
    </row>
    <row r="905" spans="1:14" x14ac:dyDescent="0.2">
      <c r="A905" t="s">
        <v>1421</v>
      </c>
      <c r="B905" s="1" t="s">
        <v>1414</v>
      </c>
      <c r="C905" t="s">
        <v>14</v>
      </c>
      <c r="D905" t="s">
        <v>957</v>
      </c>
      <c r="E905">
        <v>14</v>
      </c>
      <c r="F905" t="s">
        <v>1255</v>
      </c>
      <c r="G905">
        <v>2022</v>
      </c>
      <c r="H905" t="s">
        <v>157</v>
      </c>
      <c r="I905" t="s">
        <v>97</v>
      </c>
      <c r="J905">
        <v>799</v>
      </c>
      <c r="K905">
        <v>205</v>
      </c>
      <c r="L905">
        <f t="shared" si="258"/>
        <v>594</v>
      </c>
      <c r="M905">
        <v>240</v>
      </c>
      <c r="N905">
        <f t="shared" si="259"/>
        <v>354</v>
      </c>
    </row>
    <row r="906" spans="1:14" x14ac:dyDescent="0.2">
      <c r="A906" t="s">
        <v>1422</v>
      </c>
      <c r="B906" s="1" t="s">
        <v>1418</v>
      </c>
      <c r="C906" t="s">
        <v>14</v>
      </c>
      <c r="D906" t="s">
        <v>1178</v>
      </c>
      <c r="E906">
        <v>13</v>
      </c>
      <c r="F906" t="s">
        <v>1255</v>
      </c>
      <c r="G906">
        <v>2022</v>
      </c>
      <c r="H906" t="s">
        <v>1423</v>
      </c>
      <c r="I906" t="s">
        <v>135</v>
      </c>
      <c r="J906">
        <v>799</v>
      </c>
      <c r="K906">
        <v>205</v>
      </c>
      <c r="L906">
        <f t="shared" si="258"/>
        <v>594</v>
      </c>
      <c r="M906">
        <v>240</v>
      </c>
      <c r="N906">
        <f t="shared" si="259"/>
        <v>354</v>
      </c>
    </row>
    <row r="907" spans="1:14" x14ac:dyDescent="0.2">
      <c r="A907" t="s">
        <v>1424</v>
      </c>
      <c r="B907" s="1" t="s">
        <v>1414</v>
      </c>
      <c r="C907" t="s">
        <v>14</v>
      </c>
      <c r="D907" t="s">
        <v>840</v>
      </c>
      <c r="E907">
        <v>14</v>
      </c>
      <c r="F907" t="s">
        <v>1255</v>
      </c>
      <c r="G907">
        <v>2022</v>
      </c>
      <c r="H907" t="s">
        <v>171</v>
      </c>
      <c r="I907" t="s">
        <v>171</v>
      </c>
      <c r="J907">
        <v>999</v>
      </c>
      <c r="K907">
        <v>325</v>
      </c>
      <c r="L907">
        <f t="shared" si="258"/>
        <v>674</v>
      </c>
      <c r="M907">
        <v>240</v>
      </c>
      <c r="N907">
        <f t="shared" si="259"/>
        <v>434</v>
      </c>
    </row>
    <row r="908" spans="1:14" x14ac:dyDescent="0.2">
      <c r="A908" t="s">
        <v>1425</v>
      </c>
      <c r="B908" s="1" t="s">
        <v>1414</v>
      </c>
      <c r="C908" t="s">
        <v>14</v>
      </c>
      <c r="D908" t="s">
        <v>379</v>
      </c>
      <c r="E908">
        <v>14</v>
      </c>
      <c r="F908" t="s">
        <v>1255</v>
      </c>
      <c r="G908">
        <v>2022</v>
      </c>
      <c r="H908" t="s">
        <v>263</v>
      </c>
      <c r="I908" t="s">
        <v>144</v>
      </c>
      <c r="J908">
        <v>799</v>
      </c>
      <c r="K908">
        <v>205</v>
      </c>
      <c r="L908">
        <f t="shared" si="258"/>
        <v>594</v>
      </c>
      <c r="M908">
        <v>240</v>
      </c>
      <c r="N908">
        <f t="shared" si="259"/>
        <v>354</v>
      </c>
    </row>
    <row r="909" spans="1:14" x14ac:dyDescent="0.2">
      <c r="A909" t="s">
        <v>1426</v>
      </c>
      <c r="B909" s="1" t="s">
        <v>1414</v>
      </c>
      <c r="C909" t="s">
        <v>14</v>
      </c>
      <c r="D909" t="s">
        <v>840</v>
      </c>
      <c r="E909">
        <v>14</v>
      </c>
      <c r="F909" t="s">
        <v>1255</v>
      </c>
      <c r="G909">
        <v>2022</v>
      </c>
      <c r="H909" t="s">
        <v>246</v>
      </c>
      <c r="I909" t="s">
        <v>58</v>
      </c>
      <c r="J909">
        <v>999</v>
      </c>
      <c r="K909">
        <v>325</v>
      </c>
      <c r="L909">
        <f t="shared" si="258"/>
        <v>674</v>
      </c>
      <c r="M909">
        <v>240</v>
      </c>
      <c r="N909">
        <f t="shared" si="259"/>
        <v>434</v>
      </c>
    </row>
    <row r="910" spans="1:14" x14ac:dyDescent="0.2">
      <c r="A910" t="s">
        <v>1427</v>
      </c>
      <c r="B910" s="1" t="s">
        <v>1418</v>
      </c>
      <c r="C910" t="s">
        <v>14</v>
      </c>
      <c r="D910" t="s">
        <v>169</v>
      </c>
      <c r="E910">
        <v>13</v>
      </c>
      <c r="F910" t="s">
        <v>1255</v>
      </c>
      <c r="G910">
        <v>2022</v>
      </c>
      <c r="H910" t="s">
        <v>272</v>
      </c>
      <c r="I910" t="s">
        <v>23</v>
      </c>
      <c r="J910">
        <v>799</v>
      </c>
      <c r="K910">
        <v>205</v>
      </c>
      <c r="L910">
        <f t="shared" si="258"/>
        <v>594</v>
      </c>
      <c r="M910">
        <v>240</v>
      </c>
      <c r="N910">
        <f t="shared" si="259"/>
        <v>354</v>
      </c>
    </row>
    <row r="911" spans="1:14" x14ac:dyDescent="0.2">
      <c r="A911" t="s">
        <v>1428</v>
      </c>
      <c r="B911" s="1" t="s">
        <v>1414</v>
      </c>
      <c r="C911" t="s">
        <v>14</v>
      </c>
      <c r="D911" t="s">
        <v>1144</v>
      </c>
      <c r="E911">
        <v>14</v>
      </c>
      <c r="F911" t="s">
        <v>1255</v>
      </c>
      <c r="G911">
        <v>2022</v>
      </c>
      <c r="H911" t="s">
        <v>157</v>
      </c>
      <c r="I911" t="s">
        <v>97</v>
      </c>
      <c r="J911">
        <v>799</v>
      </c>
      <c r="K911">
        <v>205</v>
      </c>
      <c r="L911">
        <f t="shared" si="258"/>
        <v>594</v>
      </c>
      <c r="M911">
        <v>240</v>
      </c>
      <c r="N911">
        <f t="shared" si="259"/>
        <v>354</v>
      </c>
    </row>
    <row r="912" spans="1:14" x14ac:dyDescent="0.2">
      <c r="A912" t="s">
        <v>1430</v>
      </c>
      <c r="B912" s="1" t="s">
        <v>1429</v>
      </c>
      <c r="C912" t="s">
        <v>14</v>
      </c>
      <c r="D912" t="s">
        <v>1015</v>
      </c>
      <c r="E912">
        <v>15</v>
      </c>
      <c r="F912" t="s">
        <v>1255</v>
      </c>
      <c r="G912">
        <v>2022</v>
      </c>
      <c r="H912" t="s">
        <v>249</v>
      </c>
      <c r="I912" t="s">
        <v>250</v>
      </c>
      <c r="J912">
        <v>849</v>
      </c>
      <c r="K912">
        <v>250</v>
      </c>
      <c r="L912">
        <f t="shared" si="258"/>
        <v>599</v>
      </c>
      <c r="M912">
        <v>240</v>
      </c>
      <c r="N912">
        <f t="shared" si="259"/>
        <v>359</v>
      </c>
    </row>
    <row r="913" spans="1:14" x14ac:dyDescent="0.2">
      <c r="A913" t="s">
        <v>1432</v>
      </c>
      <c r="B913" s="1" t="s">
        <v>1431</v>
      </c>
      <c r="C913" t="s">
        <v>14</v>
      </c>
      <c r="D913" t="s">
        <v>993</v>
      </c>
      <c r="E913">
        <v>16</v>
      </c>
      <c r="F913" t="s">
        <v>1255</v>
      </c>
      <c r="G913">
        <v>2022</v>
      </c>
      <c r="H913" t="s">
        <v>84</v>
      </c>
      <c r="I913" t="s">
        <v>85</v>
      </c>
      <c r="J913">
        <v>799</v>
      </c>
      <c r="K913">
        <v>205</v>
      </c>
      <c r="L913">
        <f t="shared" si="258"/>
        <v>594</v>
      </c>
      <c r="M913">
        <v>240</v>
      </c>
      <c r="N913">
        <f t="shared" si="259"/>
        <v>354</v>
      </c>
    </row>
    <row r="914" spans="1:14" x14ac:dyDescent="0.2">
      <c r="A914" t="s">
        <v>1433</v>
      </c>
      <c r="B914" s="1" t="s">
        <v>1429</v>
      </c>
      <c r="C914" t="s">
        <v>14</v>
      </c>
      <c r="D914" t="s">
        <v>989</v>
      </c>
      <c r="E914">
        <v>15</v>
      </c>
      <c r="F914" t="s">
        <v>1255</v>
      </c>
      <c r="G914">
        <v>2022</v>
      </c>
      <c r="H914" t="s">
        <v>84</v>
      </c>
      <c r="I914" t="s">
        <v>85</v>
      </c>
      <c r="J914">
        <v>799</v>
      </c>
      <c r="K914">
        <v>205</v>
      </c>
      <c r="L914">
        <f t="shared" si="258"/>
        <v>594</v>
      </c>
      <c r="M914">
        <v>240</v>
      </c>
      <c r="N914">
        <f t="shared" si="259"/>
        <v>354</v>
      </c>
    </row>
    <row r="915" spans="1:14" x14ac:dyDescent="0.2">
      <c r="A915" t="s">
        <v>1358</v>
      </c>
      <c r="B915" s="1" t="s">
        <v>1357</v>
      </c>
      <c r="C915" t="s">
        <v>106</v>
      </c>
      <c r="D915" t="s">
        <v>81</v>
      </c>
      <c r="E915">
        <v>8</v>
      </c>
      <c r="F915" t="s">
        <v>1255</v>
      </c>
      <c r="G915">
        <v>2022</v>
      </c>
      <c r="H915" t="s">
        <v>162</v>
      </c>
      <c r="I915" t="s">
        <v>163</v>
      </c>
      <c r="J915">
        <v>-849</v>
      </c>
      <c r="K915">
        <v>345</v>
      </c>
      <c r="L915">
        <f t="shared" ref="L915:L918" si="260">J915+K915</f>
        <v>-504</v>
      </c>
      <c r="M915">
        <v>240</v>
      </c>
      <c r="N915">
        <f t="shared" ref="N915:N918" si="261">L915+M915</f>
        <v>-264</v>
      </c>
    </row>
    <row r="916" spans="1:14" x14ac:dyDescent="0.2">
      <c r="A916" t="s">
        <v>1352</v>
      </c>
      <c r="B916" s="1" t="s">
        <v>1334</v>
      </c>
      <c r="C916" t="s">
        <v>106</v>
      </c>
      <c r="D916" t="s">
        <v>689</v>
      </c>
      <c r="E916">
        <v>7</v>
      </c>
      <c r="F916" t="s">
        <v>1255</v>
      </c>
      <c r="G916">
        <v>2022</v>
      </c>
      <c r="H916" t="s">
        <v>246</v>
      </c>
      <c r="I916" t="s">
        <v>58</v>
      </c>
      <c r="J916">
        <v>-799</v>
      </c>
      <c r="K916">
        <v>320</v>
      </c>
      <c r="L916">
        <f t="shared" si="260"/>
        <v>-479</v>
      </c>
      <c r="M916">
        <v>240</v>
      </c>
      <c r="N916">
        <f t="shared" si="261"/>
        <v>-239</v>
      </c>
    </row>
    <row r="917" spans="1:14" x14ac:dyDescent="0.2">
      <c r="A917" t="s">
        <v>1433</v>
      </c>
      <c r="B917" s="1" t="s">
        <v>1429</v>
      </c>
      <c r="C917" t="s">
        <v>106</v>
      </c>
      <c r="D917" t="s">
        <v>989</v>
      </c>
      <c r="E917">
        <v>15</v>
      </c>
      <c r="F917" t="s">
        <v>1255</v>
      </c>
      <c r="G917">
        <v>2022</v>
      </c>
      <c r="H917" t="s">
        <v>84</v>
      </c>
      <c r="I917" t="s">
        <v>85</v>
      </c>
      <c r="J917">
        <v>-799</v>
      </c>
      <c r="K917">
        <v>320</v>
      </c>
      <c r="L917">
        <f t="shared" si="260"/>
        <v>-479</v>
      </c>
      <c r="M917">
        <v>240</v>
      </c>
      <c r="N917">
        <f t="shared" si="261"/>
        <v>-239</v>
      </c>
    </row>
    <row r="918" spans="1:14" x14ac:dyDescent="0.2">
      <c r="A918" t="s">
        <v>1317</v>
      </c>
      <c r="B918" s="1" t="s">
        <v>1316</v>
      </c>
      <c r="C918" t="s">
        <v>106</v>
      </c>
      <c r="D918" t="s">
        <v>834</v>
      </c>
      <c r="E918">
        <v>6</v>
      </c>
      <c r="F918" t="s">
        <v>1255</v>
      </c>
      <c r="G918">
        <v>2022</v>
      </c>
      <c r="H918" t="s">
        <v>198</v>
      </c>
      <c r="I918" t="s">
        <v>32</v>
      </c>
      <c r="J918">
        <v>-849</v>
      </c>
      <c r="K918">
        <v>345</v>
      </c>
      <c r="L918">
        <f t="shared" si="260"/>
        <v>-504</v>
      </c>
      <c r="M918">
        <v>240</v>
      </c>
      <c r="N918">
        <f t="shared" si="261"/>
        <v>-264</v>
      </c>
    </row>
    <row r="919" spans="1:14" x14ac:dyDescent="0.2">
      <c r="A919" t="s">
        <v>1435</v>
      </c>
      <c r="B919" s="1" t="s">
        <v>1434</v>
      </c>
      <c r="C919" t="s">
        <v>14</v>
      </c>
      <c r="D919" t="s">
        <v>1076</v>
      </c>
      <c r="E919">
        <v>17</v>
      </c>
      <c r="F919" t="s">
        <v>1255</v>
      </c>
      <c r="G919">
        <v>2022</v>
      </c>
      <c r="H919" t="s">
        <v>1436</v>
      </c>
      <c r="I919" t="s">
        <v>85</v>
      </c>
      <c r="J919">
        <v>849</v>
      </c>
      <c r="K919">
        <v>250</v>
      </c>
      <c r="L919">
        <f t="shared" ref="L919:L924" si="262">J919-K919</f>
        <v>599</v>
      </c>
      <c r="M919">
        <v>240</v>
      </c>
      <c r="N919">
        <f t="shared" ref="N919:N924" si="263">L919-M919</f>
        <v>359</v>
      </c>
    </row>
    <row r="920" spans="1:14" x14ac:dyDescent="0.2">
      <c r="A920" t="s">
        <v>1437</v>
      </c>
      <c r="B920" s="1" t="s">
        <v>1434</v>
      </c>
      <c r="C920" t="s">
        <v>14</v>
      </c>
      <c r="D920" t="s">
        <v>448</v>
      </c>
      <c r="E920">
        <v>17</v>
      </c>
      <c r="F920" t="s">
        <v>1255</v>
      </c>
      <c r="G920">
        <v>2022</v>
      </c>
      <c r="H920" t="s">
        <v>670</v>
      </c>
      <c r="I920" t="s">
        <v>122</v>
      </c>
      <c r="J920">
        <v>899</v>
      </c>
      <c r="K920">
        <v>295</v>
      </c>
      <c r="L920">
        <f t="shared" si="262"/>
        <v>604</v>
      </c>
      <c r="M920">
        <v>240</v>
      </c>
      <c r="N920">
        <f t="shared" si="263"/>
        <v>364</v>
      </c>
    </row>
    <row r="921" spans="1:14" x14ac:dyDescent="0.2">
      <c r="A921" t="s">
        <v>1438</v>
      </c>
      <c r="B921" s="1" t="s">
        <v>1431</v>
      </c>
      <c r="C921" t="s">
        <v>14</v>
      </c>
      <c r="D921" t="s">
        <v>881</v>
      </c>
      <c r="E921">
        <v>16</v>
      </c>
      <c r="F921" t="s">
        <v>1255</v>
      </c>
      <c r="G921">
        <v>2022</v>
      </c>
      <c r="H921" t="s">
        <v>1439</v>
      </c>
      <c r="I921" t="s">
        <v>58</v>
      </c>
      <c r="J921">
        <v>799</v>
      </c>
      <c r="K921">
        <v>205</v>
      </c>
      <c r="L921">
        <f t="shared" si="262"/>
        <v>594</v>
      </c>
      <c r="M921">
        <v>240</v>
      </c>
      <c r="N921">
        <f t="shared" si="263"/>
        <v>354</v>
      </c>
    </row>
    <row r="922" spans="1:14" x14ac:dyDescent="0.2">
      <c r="A922" t="s">
        <v>1440</v>
      </c>
      <c r="B922" s="1" t="s">
        <v>1434</v>
      </c>
      <c r="C922" t="s">
        <v>14</v>
      </c>
      <c r="D922" t="s">
        <v>1441</v>
      </c>
      <c r="E922">
        <v>17</v>
      </c>
      <c r="F922" t="s">
        <v>1255</v>
      </c>
      <c r="G922">
        <v>2022</v>
      </c>
      <c r="H922" t="s">
        <v>235</v>
      </c>
      <c r="I922" t="s">
        <v>62</v>
      </c>
      <c r="J922">
        <v>799</v>
      </c>
      <c r="K922">
        <v>205</v>
      </c>
      <c r="L922">
        <f t="shared" si="262"/>
        <v>594</v>
      </c>
      <c r="M922">
        <v>240</v>
      </c>
      <c r="N922">
        <f t="shared" si="263"/>
        <v>354</v>
      </c>
    </row>
    <row r="923" spans="1:14" x14ac:dyDescent="0.2">
      <c r="A923" t="s">
        <v>1442</v>
      </c>
      <c r="B923" s="1" t="s">
        <v>1434</v>
      </c>
      <c r="C923" t="s">
        <v>14</v>
      </c>
      <c r="D923" t="s">
        <v>957</v>
      </c>
      <c r="E923">
        <v>17</v>
      </c>
      <c r="F923" t="s">
        <v>1255</v>
      </c>
      <c r="G923">
        <v>2022</v>
      </c>
      <c r="H923" t="s">
        <v>1443</v>
      </c>
      <c r="I923" t="s">
        <v>85</v>
      </c>
      <c r="J923">
        <v>799</v>
      </c>
      <c r="K923">
        <v>205</v>
      </c>
      <c r="L923">
        <f t="shared" si="262"/>
        <v>594</v>
      </c>
      <c r="M923">
        <v>240</v>
      </c>
      <c r="N923">
        <f t="shared" si="263"/>
        <v>354</v>
      </c>
    </row>
    <row r="924" spans="1:14" x14ac:dyDescent="0.2">
      <c r="A924" t="s">
        <v>1444</v>
      </c>
      <c r="B924" s="1" t="s">
        <v>1431</v>
      </c>
      <c r="C924" t="s">
        <v>14</v>
      </c>
      <c r="D924" t="s">
        <v>81</v>
      </c>
      <c r="E924">
        <v>16</v>
      </c>
      <c r="F924" t="s">
        <v>1255</v>
      </c>
      <c r="G924">
        <v>2022</v>
      </c>
      <c r="H924" t="s">
        <v>796</v>
      </c>
      <c r="I924" t="s">
        <v>58</v>
      </c>
      <c r="J924">
        <v>849</v>
      </c>
      <c r="K924">
        <v>250</v>
      </c>
      <c r="L924">
        <f t="shared" si="262"/>
        <v>599</v>
      </c>
      <c r="M924">
        <v>240</v>
      </c>
      <c r="N924">
        <f t="shared" si="263"/>
        <v>359</v>
      </c>
    </row>
    <row r="925" spans="1:14" x14ac:dyDescent="0.2">
      <c r="A925" t="s">
        <v>1299</v>
      </c>
      <c r="B925" s="1" t="s">
        <v>1274</v>
      </c>
      <c r="C925" t="s">
        <v>106</v>
      </c>
      <c r="D925" t="s">
        <v>954</v>
      </c>
      <c r="E925">
        <v>3</v>
      </c>
      <c r="F925" t="s">
        <v>1255</v>
      </c>
      <c r="G925">
        <v>2022</v>
      </c>
      <c r="H925" t="s">
        <v>157</v>
      </c>
      <c r="I925" t="s">
        <v>97</v>
      </c>
      <c r="J925">
        <v>-799</v>
      </c>
      <c r="K925">
        <v>320</v>
      </c>
      <c r="L925">
        <f t="shared" ref="L925:L926" si="264">J925+K925</f>
        <v>-479</v>
      </c>
      <c r="M925">
        <v>240</v>
      </c>
      <c r="N925">
        <f t="shared" ref="N925:N926" si="265">L925+M925</f>
        <v>-239</v>
      </c>
    </row>
    <row r="926" spans="1:14" x14ac:dyDescent="0.2">
      <c r="A926" t="s">
        <v>1422</v>
      </c>
      <c r="B926" s="1" t="s">
        <v>1418</v>
      </c>
      <c r="C926" t="s">
        <v>106</v>
      </c>
      <c r="D926" t="s">
        <v>1178</v>
      </c>
      <c r="E926">
        <v>13</v>
      </c>
      <c r="F926" t="s">
        <v>1255</v>
      </c>
      <c r="G926">
        <v>2022</v>
      </c>
      <c r="H926" t="s">
        <v>1423</v>
      </c>
      <c r="I926" t="s">
        <v>135</v>
      </c>
      <c r="J926">
        <v>-799</v>
      </c>
      <c r="K926">
        <v>320</v>
      </c>
      <c r="L926">
        <f t="shared" si="264"/>
        <v>-479</v>
      </c>
      <c r="M926">
        <v>240</v>
      </c>
      <c r="N926">
        <f t="shared" si="265"/>
        <v>-239</v>
      </c>
    </row>
    <row r="927" spans="1:14" x14ac:dyDescent="0.2">
      <c r="A927" t="s">
        <v>1445</v>
      </c>
      <c r="B927" s="1" t="s">
        <v>1434</v>
      </c>
      <c r="C927" t="s">
        <v>14</v>
      </c>
      <c r="D927" t="s">
        <v>1015</v>
      </c>
      <c r="E927">
        <v>17</v>
      </c>
      <c r="F927" t="s">
        <v>1255</v>
      </c>
      <c r="G927">
        <v>2022</v>
      </c>
      <c r="H927" t="s">
        <v>1284</v>
      </c>
      <c r="I927" t="s">
        <v>85</v>
      </c>
      <c r="J927">
        <v>849</v>
      </c>
      <c r="K927">
        <v>250</v>
      </c>
      <c r="L927">
        <f t="shared" ref="L927:L929" si="266">J927-K927</f>
        <v>599</v>
      </c>
      <c r="M927">
        <v>240</v>
      </c>
      <c r="N927">
        <f t="shared" ref="N927:N929" si="267">L927-M927</f>
        <v>359</v>
      </c>
    </row>
    <row r="928" spans="1:14" x14ac:dyDescent="0.2">
      <c r="A928" t="s">
        <v>1447</v>
      </c>
      <c r="B928" s="1" t="s">
        <v>1446</v>
      </c>
      <c r="C928" t="s">
        <v>14</v>
      </c>
      <c r="D928" t="s">
        <v>1448</v>
      </c>
      <c r="E928">
        <v>18</v>
      </c>
      <c r="F928" t="s">
        <v>1255</v>
      </c>
      <c r="G928">
        <v>2022</v>
      </c>
      <c r="H928" t="s">
        <v>898</v>
      </c>
      <c r="I928" t="s">
        <v>32</v>
      </c>
      <c r="J928">
        <v>849</v>
      </c>
      <c r="K928">
        <v>250</v>
      </c>
      <c r="L928">
        <f t="shared" si="266"/>
        <v>599</v>
      </c>
      <c r="M928">
        <v>240</v>
      </c>
      <c r="N928">
        <f t="shared" si="267"/>
        <v>359</v>
      </c>
    </row>
    <row r="929" spans="1:14" x14ac:dyDescent="0.2">
      <c r="A929" t="s">
        <v>1449</v>
      </c>
      <c r="B929" s="1" t="s">
        <v>1446</v>
      </c>
      <c r="C929" t="s">
        <v>14</v>
      </c>
      <c r="D929" t="s">
        <v>81</v>
      </c>
      <c r="E929">
        <v>18</v>
      </c>
      <c r="F929" t="s">
        <v>1255</v>
      </c>
      <c r="G929">
        <v>2022</v>
      </c>
      <c r="H929" t="s">
        <v>170</v>
      </c>
      <c r="I929" t="s">
        <v>171</v>
      </c>
      <c r="J929">
        <v>849</v>
      </c>
      <c r="K929">
        <v>250</v>
      </c>
      <c r="L929">
        <f t="shared" si="266"/>
        <v>599</v>
      </c>
      <c r="M929">
        <v>240</v>
      </c>
      <c r="N929">
        <f t="shared" si="267"/>
        <v>359</v>
      </c>
    </row>
    <row r="930" spans="1:14" x14ac:dyDescent="0.2">
      <c r="A930" t="s">
        <v>1450</v>
      </c>
      <c r="B930" s="1" t="s">
        <v>1446</v>
      </c>
      <c r="C930" t="s">
        <v>20</v>
      </c>
      <c r="D930" t="s">
        <v>380</v>
      </c>
      <c r="E930">
        <v>18</v>
      </c>
      <c r="F930" t="s">
        <v>1255</v>
      </c>
      <c r="G930">
        <v>2022</v>
      </c>
      <c r="H930" t="s">
        <v>272</v>
      </c>
      <c r="I930" t="s">
        <v>23</v>
      </c>
      <c r="J930">
        <v>0</v>
      </c>
      <c r="K930">
        <v>0</v>
      </c>
      <c r="L930">
        <v>0</v>
      </c>
      <c r="M930">
        <v>0</v>
      </c>
      <c r="N930">
        <v>0</v>
      </c>
    </row>
    <row r="931" spans="1:14" x14ac:dyDescent="0.2">
      <c r="A931" t="s">
        <v>1451</v>
      </c>
      <c r="B931" s="1" t="s">
        <v>1446</v>
      </c>
      <c r="C931" t="s">
        <v>14</v>
      </c>
      <c r="D931" t="s">
        <v>957</v>
      </c>
      <c r="E931">
        <v>18</v>
      </c>
      <c r="F931" t="s">
        <v>1255</v>
      </c>
      <c r="G931">
        <v>2022</v>
      </c>
      <c r="H931" t="s">
        <v>1452</v>
      </c>
      <c r="I931" t="s">
        <v>502</v>
      </c>
      <c r="J931">
        <v>799</v>
      </c>
      <c r="K931">
        <v>205</v>
      </c>
      <c r="L931">
        <f>J931-K931</f>
        <v>594</v>
      </c>
      <c r="M931">
        <v>240</v>
      </c>
      <c r="N931">
        <f>L931-M931</f>
        <v>354</v>
      </c>
    </row>
    <row r="932" spans="1:14" x14ac:dyDescent="0.2">
      <c r="A932" t="s">
        <v>1424</v>
      </c>
      <c r="B932" s="1" t="s">
        <v>1414</v>
      </c>
      <c r="C932" t="s">
        <v>106</v>
      </c>
      <c r="D932" t="s">
        <v>840</v>
      </c>
      <c r="E932">
        <v>14</v>
      </c>
      <c r="F932" t="s">
        <v>1255</v>
      </c>
      <c r="G932">
        <v>2022</v>
      </c>
      <c r="H932" t="s">
        <v>171</v>
      </c>
      <c r="I932" t="s">
        <v>171</v>
      </c>
      <c r="J932">
        <v>-999</v>
      </c>
      <c r="K932">
        <v>395</v>
      </c>
      <c r="L932">
        <f>J932+K932</f>
        <v>-604</v>
      </c>
      <c r="M932">
        <v>240</v>
      </c>
      <c r="N932">
        <f>L932+M932</f>
        <v>-364</v>
      </c>
    </row>
    <row r="933" spans="1:14" x14ac:dyDescent="0.2">
      <c r="A933" t="s">
        <v>1454</v>
      </c>
      <c r="B933" s="1" t="s">
        <v>1453</v>
      </c>
      <c r="C933" t="s">
        <v>14</v>
      </c>
      <c r="D933" t="s">
        <v>940</v>
      </c>
      <c r="E933">
        <v>19</v>
      </c>
      <c r="F933" t="s">
        <v>1255</v>
      </c>
      <c r="G933">
        <v>2022</v>
      </c>
      <c r="H933" t="s">
        <v>246</v>
      </c>
      <c r="I933" t="s">
        <v>58</v>
      </c>
      <c r="J933">
        <v>799</v>
      </c>
      <c r="K933">
        <v>205</v>
      </c>
      <c r="L933">
        <f t="shared" ref="L933:L936" si="268">J933-K933</f>
        <v>594</v>
      </c>
      <c r="M933">
        <v>240</v>
      </c>
      <c r="N933">
        <f t="shared" ref="N933:N936" si="269">L933-M933</f>
        <v>354</v>
      </c>
    </row>
    <row r="934" spans="1:14" x14ac:dyDescent="0.2">
      <c r="A934" t="s">
        <v>1455</v>
      </c>
      <c r="B934" s="1" t="s">
        <v>1453</v>
      </c>
      <c r="C934" t="s">
        <v>14</v>
      </c>
      <c r="D934" t="s">
        <v>1141</v>
      </c>
      <c r="E934">
        <v>19</v>
      </c>
      <c r="F934" t="s">
        <v>1255</v>
      </c>
      <c r="G934">
        <v>2022</v>
      </c>
      <c r="H934" t="s">
        <v>150</v>
      </c>
      <c r="I934" t="s">
        <v>62</v>
      </c>
      <c r="J934">
        <v>799</v>
      </c>
      <c r="K934">
        <v>205</v>
      </c>
      <c r="L934">
        <f t="shared" si="268"/>
        <v>594</v>
      </c>
      <c r="M934">
        <v>240</v>
      </c>
      <c r="N934">
        <f t="shared" si="269"/>
        <v>354</v>
      </c>
    </row>
    <row r="935" spans="1:14" x14ac:dyDescent="0.2">
      <c r="A935" t="s">
        <v>1456</v>
      </c>
      <c r="B935" s="1" t="s">
        <v>1453</v>
      </c>
      <c r="C935" t="s">
        <v>14</v>
      </c>
      <c r="D935" t="s">
        <v>786</v>
      </c>
      <c r="E935">
        <v>19</v>
      </c>
      <c r="F935" t="s">
        <v>1255</v>
      </c>
      <c r="G935">
        <v>2022</v>
      </c>
      <c r="H935" t="s">
        <v>260</v>
      </c>
      <c r="I935" t="s">
        <v>28</v>
      </c>
      <c r="J935">
        <v>799</v>
      </c>
      <c r="K935">
        <v>205</v>
      </c>
      <c r="L935">
        <f t="shared" si="268"/>
        <v>594</v>
      </c>
      <c r="M935">
        <v>240</v>
      </c>
      <c r="N935">
        <f t="shared" si="269"/>
        <v>354</v>
      </c>
    </row>
    <row r="936" spans="1:14" x14ac:dyDescent="0.2">
      <c r="A936" t="s">
        <v>1457</v>
      </c>
      <c r="B936" s="1" t="s">
        <v>1453</v>
      </c>
      <c r="C936" t="s">
        <v>14</v>
      </c>
      <c r="D936" t="s">
        <v>989</v>
      </c>
      <c r="E936">
        <v>19</v>
      </c>
      <c r="F936" t="s">
        <v>1255</v>
      </c>
      <c r="G936">
        <v>2022</v>
      </c>
      <c r="H936" t="s">
        <v>1458</v>
      </c>
      <c r="I936" t="s">
        <v>250</v>
      </c>
      <c r="J936">
        <v>799</v>
      </c>
      <c r="K936">
        <v>205</v>
      </c>
      <c r="L936">
        <f t="shared" si="268"/>
        <v>594</v>
      </c>
      <c r="M936">
        <v>240</v>
      </c>
      <c r="N936">
        <f t="shared" si="269"/>
        <v>354</v>
      </c>
    </row>
    <row r="937" spans="1:14" x14ac:dyDescent="0.2">
      <c r="A937" t="s">
        <v>1420</v>
      </c>
      <c r="B937" s="1" t="s">
        <v>1418</v>
      </c>
      <c r="C937" t="s">
        <v>106</v>
      </c>
      <c r="D937" t="s">
        <v>380</v>
      </c>
      <c r="E937">
        <v>13</v>
      </c>
      <c r="F937" t="s">
        <v>1255</v>
      </c>
      <c r="G937">
        <v>2022</v>
      </c>
      <c r="H937" t="s">
        <v>215</v>
      </c>
      <c r="I937" t="s">
        <v>135</v>
      </c>
      <c r="J937">
        <v>-849</v>
      </c>
      <c r="K937">
        <v>345</v>
      </c>
      <c r="L937">
        <f t="shared" ref="L937:L941" si="270">J937+K937</f>
        <v>-504</v>
      </c>
      <c r="M937">
        <v>240</v>
      </c>
      <c r="N937">
        <f t="shared" ref="N937:N941" si="271">L937+M937</f>
        <v>-264</v>
      </c>
    </row>
    <row r="938" spans="1:14" x14ac:dyDescent="0.2">
      <c r="A938" t="s">
        <v>1289</v>
      </c>
      <c r="B938" s="1" t="s">
        <v>1274</v>
      </c>
      <c r="C938" t="s">
        <v>106</v>
      </c>
      <c r="D938" t="s">
        <v>881</v>
      </c>
      <c r="E938">
        <v>3</v>
      </c>
      <c r="F938" t="s">
        <v>1255</v>
      </c>
      <c r="G938">
        <v>2022</v>
      </c>
      <c r="H938" t="s">
        <v>1290</v>
      </c>
      <c r="I938" t="s">
        <v>58</v>
      </c>
      <c r="J938">
        <v>-799</v>
      </c>
      <c r="K938">
        <v>320</v>
      </c>
      <c r="L938">
        <f t="shared" si="270"/>
        <v>-479</v>
      </c>
      <c r="M938">
        <v>240</v>
      </c>
      <c r="N938">
        <f t="shared" si="271"/>
        <v>-239</v>
      </c>
    </row>
    <row r="939" spans="1:14" x14ac:dyDescent="0.2">
      <c r="A939" t="s">
        <v>1361</v>
      </c>
      <c r="B939" s="1" t="s">
        <v>1357</v>
      </c>
      <c r="C939" t="s">
        <v>106</v>
      </c>
      <c r="D939" t="s">
        <v>81</v>
      </c>
      <c r="E939">
        <v>8</v>
      </c>
      <c r="F939" t="s">
        <v>1255</v>
      </c>
      <c r="G939">
        <v>2022</v>
      </c>
      <c r="H939" t="s">
        <v>170</v>
      </c>
      <c r="I939" t="s">
        <v>171</v>
      </c>
      <c r="J939">
        <v>-849</v>
      </c>
      <c r="K939">
        <v>345</v>
      </c>
      <c r="L939">
        <f t="shared" si="270"/>
        <v>-504</v>
      </c>
      <c r="M939">
        <v>240</v>
      </c>
      <c r="N939">
        <f t="shared" si="271"/>
        <v>-264</v>
      </c>
    </row>
    <row r="940" spans="1:14" x14ac:dyDescent="0.2">
      <c r="A940" t="s">
        <v>1288</v>
      </c>
      <c r="B940" s="1" t="s">
        <v>1274</v>
      </c>
      <c r="C940" t="s">
        <v>106</v>
      </c>
      <c r="D940" t="s">
        <v>81</v>
      </c>
      <c r="E940">
        <v>3</v>
      </c>
      <c r="F940" t="s">
        <v>1255</v>
      </c>
      <c r="G940">
        <v>2022</v>
      </c>
      <c r="H940" t="s">
        <v>637</v>
      </c>
      <c r="I940" t="s">
        <v>28</v>
      </c>
      <c r="J940">
        <v>-849</v>
      </c>
      <c r="K940">
        <v>345</v>
      </c>
      <c r="L940">
        <f t="shared" si="270"/>
        <v>-504</v>
      </c>
      <c r="M940">
        <v>240</v>
      </c>
      <c r="N940">
        <f t="shared" si="271"/>
        <v>-264</v>
      </c>
    </row>
    <row r="941" spans="1:14" x14ac:dyDescent="0.2">
      <c r="A941" t="s">
        <v>1295</v>
      </c>
      <c r="B941" s="1" t="s">
        <v>1274</v>
      </c>
      <c r="C941" t="s">
        <v>106</v>
      </c>
      <c r="D941" t="s">
        <v>1076</v>
      </c>
      <c r="E941">
        <v>3</v>
      </c>
      <c r="F941" t="s">
        <v>1255</v>
      </c>
      <c r="G941">
        <v>2022</v>
      </c>
      <c r="H941" t="s">
        <v>309</v>
      </c>
      <c r="I941" t="s">
        <v>212</v>
      </c>
      <c r="J941">
        <v>-849</v>
      </c>
      <c r="K941">
        <v>345</v>
      </c>
      <c r="L941">
        <f t="shared" si="270"/>
        <v>-504</v>
      </c>
      <c r="M941">
        <v>240</v>
      </c>
      <c r="N941">
        <f t="shared" si="271"/>
        <v>-264</v>
      </c>
    </row>
    <row r="942" spans="1:14" x14ac:dyDescent="0.2">
      <c r="A942" t="s">
        <v>1460</v>
      </c>
      <c r="B942" s="1" t="s">
        <v>1459</v>
      </c>
      <c r="C942" t="s">
        <v>43</v>
      </c>
      <c r="D942" t="s">
        <v>81</v>
      </c>
      <c r="E942">
        <v>22</v>
      </c>
      <c r="F942" t="s">
        <v>1255</v>
      </c>
      <c r="G942">
        <v>2022</v>
      </c>
      <c r="H942" t="s">
        <v>198</v>
      </c>
      <c r="I942" t="s">
        <v>32</v>
      </c>
      <c r="J942">
        <v>0</v>
      </c>
      <c r="K942">
        <v>0</v>
      </c>
      <c r="L942">
        <v>0</v>
      </c>
      <c r="M942">
        <v>0</v>
      </c>
      <c r="N942">
        <v>0</v>
      </c>
    </row>
    <row r="943" spans="1:14" x14ac:dyDescent="0.2">
      <c r="A943" t="s">
        <v>1462</v>
      </c>
      <c r="B943" s="1" t="s">
        <v>1461</v>
      </c>
      <c r="C943" t="s">
        <v>14</v>
      </c>
      <c r="D943" t="s">
        <v>70</v>
      </c>
      <c r="E943">
        <v>20</v>
      </c>
      <c r="F943" t="s">
        <v>1255</v>
      </c>
      <c r="G943">
        <v>2022</v>
      </c>
      <c r="H943" t="s">
        <v>1463</v>
      </c>
      <c r="I943" t="s">
        <v>62</v>
      </c>
      <c r="J943">
        <v>849</v>
      </c>
      <c r="K943">
        <v>250</v>
      </c>
      <c r="L943">
        <f t="shared" ref="L943:L954" si="272">J943-K943</f>
        <v>599</v>
      </c>
      <c r="M943">
        <v>240</v>
      </c>
      <c r="N943">
        <f t="shared" ref="N943:N954" si="273">L943-M943</f>
        <v>359</v>
      </c>
    </row>
    <row r="944" spans="1:14" x14ac:dyDescent="0.2">
      <c r="A944" t="s">
        <v>1464</v>
      </c>
      <c r="B944" s="1" t="s">
        <v>1461</v>
      </c>
      <c r="C944" t="s">
        <v>14</v>
      </c>
      <c r="D944" t="s">
        <v>822</v>
      </c>
      <c r="E944">
        <v>20</v>
      </c>
      <c r="F944" t="s">
        <v>1255</v>
      </c>
      <c r="G944">
        <v>2022</v>
      </c>
      <c r="H944" t="s">
        <v>1465</v>
      </c>
      <c r="I944" t="s">
        <v>28</v>
      </c>
      <c r="J944">
        <v>849</v>
      </c>
      <c r="K944">
        <v>250</v>
      </c>
      <c r="L944">
        <f t="shared" si="272"/>
        <v>599</v>
      </c>
      <c r="M944">
        <v>240</v>
      </c>
      <c r="N944">
        <f t="shared" si="273"/>
        <v>359</v>
      </c>
    </row>
    <row r="945" spans="1:14" x14ac:dyDescent="0.2">
      <c r="A945" t="s">
        <v>1467</v>
      </c>
      <c r="B945" s="1" t="s">
        <v>1466</v>
      </c>
      <c r="C945" t="s">
        <v>14</v>
      </c>
      <c r="D945" t="s">
        <v>993</v>
      </c>
      <c r="E945">
        <v>21</v>
      </c>
      <c r="F945" t="s">
        <v>1255</v>
      </c>
      <c r="G945">
        <v>2022</v>
      </c>
      <c r="H945" t="s">
        <v>263</v>
      </c>
      <c r="I945" t="s">
        <v>144</v>
      </c>
      <c r="J945">
        <v>799</v>
      </c>
      <c r="K945">
        <v>205</v>
      </c>
      <c r="L945">
        <f t="shared" si="272"/>
        <v>594</v>
      </c>
      <c r="M945">
        <v>240</v>
      </c>
      <c r="N945">
        <f t="shared" si="273"/>
        <v>354</v>
      </c>
    </row>
    <row r="946" spans="1:14" x14ac:dyDescent="0.2">
      <c r="A946" t="s">
        <v>1468</v>
      </c>
      <c r="B946" s="1" t="s">
        <v>1461</v>
      </c>
      <c r="C946" t="s">
        <v>14</v>
      </c>
      <c r="D946" t="s">
        <v>452</v>
      </c>
      <c r="E946">
        <v>20</v>
      </c>
      <c r="F946" t="s">
        <v>1255</v>
      </c>
      <c r="G946">
        <v>2022</v>
      </c>
      <c r="H946" t="s">
        <v>31</v>
      </c>
      <c r="I946" t="s">
        <v>32</v>
      </c>
      <c r="J946">
        <v>799</v>
      </c>
      <c r="K946">
        <v>205</v>
      </c>
      <c r="L946">
        <f t="shared" si="272"/>
        <v>594</v>
      </c>
      <c r="M946">
        <v>240</v>
      </c>
      <c r="N946">
        <f t="shared" si="273"/>
        <v>354</v>
      </c>
    </row>
    <row r="947" spans="1:14" x14ac:dyDescent="0.2">
      <c r="A947" t="s">
        <v>1469</v>
      </c>
      <c r="B947" s="1" t="s">
        <v>1466</v>
      </c>
      <c r="C947" t="s">
        <v>14</v>
      </c>
      <c r="D947" t="s">
        <v>504</v>
      </c>
      <c r="E947">
        <v>21</v>
      </c>
      <c r="F947" t="s">
        <v>1255</v>
      </c>
      <c r="G947">
        <v>2022</v>
      </c>
      <c r="H947" t="s">
        <v>1470</v>
      </c>
      <c r="I947" t="s">
        <v>502</v>
      </c>
      <c r="J947">
        <v>899</v>
      </c>
      <c r="K947">
        <v>295</v>
      </c>
      <c r="L947">
        <f t="shared" si="272"/>
        <v>604</v>
      </c>
      <c r="M947">
        <v>240</v>
      </c>
      <c r="N947">
        <f t="shared" si="273"/>
        <v>364</v>
      </c>
    </row>
    <row r="948" spans="1:14" x14ac:dyDescent="0.2">
      <c r="A948" t="s">
        <v>1471</v>
      </c>
      <c r="B948" s="1" t="s">
        <v>1466</v>
      </c>
      <c r="C948" t="s">
        <v>14</v>
      </c>
      <c r="D948" t="s">
        <v>1472</v>
      </c>
      <c r="E948">
        <v>21</v>
      </c>
      <c r="F948" t="s">
        <v>1255</v>
      </c>
      <c r="G948">
        <v>2022</v>
      </c>
      <c r="H948" t="s">
        <v>157</v>
      </c>
      <c r="I948" t="s">
        <v>97</v>
      </c>
      <c r="J948">
        <v>799</v>
      </c>
      <c r="K948">
        <v>205</v>
      </c>
      <c r="L948">
        <f t="shared" si="272"/>
        <v>594</v>
      </c>
      <c r="M948">
        <v>240</v>
      </c>
      <c r="N948">
        <f t="shared" si="273"/>
        <v>354</v>
      </c>
    </row>
    <row r="949" spans="1:14" x14ac:dyDescent="0.2">
      <c r="A949" t="s">
        <v>1473</v>
      </c>
      <c r="B949" s="1" t="s">
        <v>1461</v>
      </c>
      <c r="C949" t="s">
        <v>14</v>
      </c>
      <c r="D949" t="s">
        <v>1354</v>
      </c>
      <c r="E949">
        <v>20</v>
      </c>
      <c r="F949" t="s">
        <v>1255</v>
      </c>
      <c r="G949">
        <v>2022</v>
      </c>
      <c r="H949" t="s">
        <v>1474</v>
      </c>
      <c r="I949" t="s">
        <v>62</v>
      </c>
      <c r="J949">
        <v>799</v>
      </c>
      <c r="K949">
        <v>205</v>
      </c>
      <c r="L949">
        <f t="shared" si="272"/>
        <v>594</v>
      </c>
      <c r="M949">
        <v>240</v>
      </c>
      <c r="N949">
        <f t="shared" si="273"/>
        <v>354</v>
      </c>
    </row>
    <row r="950" spans="1:14" x14ac:dyDescent="0.2">
      <c r="A950" t="s">
        <v>1475</v>
      </c>
      <c r="B950" s="1" t="s">
        <v>1466</v>
      </c>
      <c r="C950" t="s">
        <v>14</v>
      </c>
      <c r="D950" t="s">
        <v>81</v>
      </c>
      <c r="E950">
        <v>21</v>
      </c>
      <c r="F950" t="s">
        <v>1255</v>
      </c>
      <c r="G950">
        <v>2022</v>
      </c>
      <c r="H950" t="s">
        <v>1476</v>
      </c>
      <c r="I950" t="s">
        <v>122</v>
      </c>
      <c r="J950">
        <v>849</v>
      </c>
      <c r="K950">
        <v>250</v>
      </c>
      <c r="L950">
        <f t="shared" si="272"/>
        <v>599</v>
      </c>
      <c r="M950">
        <v>240</v>
      </c>
      <c r="N950">
        <f t="shared" si="273"/>
        <v>359</v>
      </c>
    </row>
    <row r="951" spans="1:14" x14ac:dyDescent="0.2">
      <c r="A951" t="s">
        <v>1477</v>
      </c>
      <c r="B951" s="1" t="s">
        <v>1461</v>
      </c>
      <c r="C951" t="s">
        <v>14</v>
      </c>
      <c r="D951" t="s">
        <v>70</v>
      </c>
      <c r="E951">
        <v>20</v>
      </c>
      <c r="F951" t="s">
        <v>1255</v>
      </c>
      <c r="G951">
        <v>2022</v>
      </c>
      <c r="H951" t="s">
        <v>1478</v>
      </c>
      <c r="I951" t="s">
        <v>160</v>
      </c>
      <c r="J951">
        <v>849</v>
      </c>
      <c r="K951">
        <v>250</v>
      </c>
      <c r="L951">
        <f t="shared" si="272"/>
        <v>599</v>
      </c>
      <c r="M951">
        <v>240</v>
      </c>
      <c r="N951">
        <f t="shared" si="273"/>
        <v>359</v>
      </c>
    </row>
    <row r="952" spans="1:14" x14ac:dyDescent="0.2">
      <c r="A952" t="s">
        <v>1479</v>
      </c>
      <c r="B952" s="1" t="s">
        <v>1461</v>
      </c>
      <c r="C952" t="s">
        <v>14</v>
      </c>
      <c r="D952" t="s">
        <v>1141</v>
      </c>
      <c r="E952">
        <v>20</v>
      </c>
      <c r="F952" t="s">
        <v>1255</v>
      </c>
      <c r="G952">
        <v>2022</v>
      </c>
      <c r="H952" t="s">
        <v>1480</v>
      </c>
      <c r="I952" t="s">
        <v>122</v>
      </c>
      <c r="J952">
        <v>799</v>
      </c>
      <c r="K952">
        <v>205</v>
      </c>
      <c r="L952">
        <f t="shared" si="272"/>
        <v>594</v>
      </c>
      <c r="M952">
        <v>240</v>
      </c>
      <c r="N952">
        <f t="shared" si="273"/>
        <v>354</v>
      </c>
    </row>
    <row r="953" spans="1:14" x14ac:dyDescent="0.2">
      <c r="A953" t="s">
        <v>1481</v>
      </c>
      <c r="B953" s="1" t="s">
        <v>1461</v>
      </c>
      <c r="C953" t="s">
        <v>14</v>
      </c>
      <c r="D953" t="s">
        <v>1010</v>
      </c>
      <c r="E953">
        <v>20</v>
      </c>
      <c r="F953" t="s">
        <v>1255</v>
      </c>
      <c r="G953">
        <v>2022</v>
      </c>
      <c r="H953" t="s">
        <v>260</v>
      </c>
      <c r="I953" t="s">
        <v>28</v>
      </c>
      <c r="J953">
        <v>799</v>
      </c>
      <c r="K953">
        <v>205</v>
      </c>
      <c r="L953">
        <f t="shared" si="272"/>
        <v>594</v>
      </c>
      <c r="M953">
        <v>240</v>
      </c>
      <c r="N953">
        <f t="shared" si="273"/>
        <v>354</v>
      </c>
    </row>
    <row r="954" spans="1:14" x14ac:dyDescent="0.2">
      <c r="A954" t="s">
        <v>1482</v>
      </c>
      <c r="B954" s="1" t="s">
        <v>1466</v>
      </c>
      <c r="C954" t="s">
        <v>14</v>
      </c>
      <c r="D954" t="s">
        <v>890</v>
      </c>
      <c r="E954">
        <v>21</v>
      </c>
      <c r="F954" t="s">
        <v>1255</v>
      </c>
      <c r="G954">
        <v>2022</v>
      </c>
      <c r="H954" t="s">
        <v>171</v>
      </c>
      <c r="I954" t="s">
        <v>171</v>
      </c>
      <c r="J954">
        <v>849</v>
      </c>
      <c r="K954">
        <v>250</v>
      </c>
      <c r="L954">
        <f t="shared" si="272"/>
        <v>599</v>
      </c>
      <c r="M954">
        <v>240</v>
      </c>
      <c r="N954">
        <f t="shared" si="273"/>
        <v>359</v>
      </c>
    </row>
    <row r="955" spans="1:14" x14ac:dyDescent="0.2">
      <c r="A955" t="s">
        <v>1483</v>
      </c>
      <c r="B955" s="1" t="s">
        <v>1466</v>
      </c>
      <c r="C955" t="s">
        <v>20</v>
      </c>
      <c r="D955" t="s">
        <v>1484</v>
      </c>
      <c r="E955">
        <v>21</v>
      </c>
      <c r="F955" t="s">
        <v>1255</v>
      </c>
      <c r="G955">
        <v>2022</v>
      </c>
      <c r="H955" t="s">
        <v>235</v>
      </c>
      <c r="I955" t="s">
        <v>62</v>
      </c>
      <c r="J955">
        <v>0</v>
      </c>
      <c r="K955">
        <v>0</v>
      </c>
      <c r="L955">
        <v>0</v>
      </c>
      <c r="M955">
        <v>0</v>
      </c>
      <c r="N955">
        <v>0</v>
      </c>
    </row>
    <row r="956" spans="1:14" x14ac:dyDescent="0.2">
      <c r="A956" t="s">
        <v>1485</v>
      </c>
      <c r="B956" s="1" t="s">
        <v>1466</v>
      </c>
      <c r="C956" t="s">
        <v>14</v>
      </c>
      <c r="D956" t="s">
        <v>1486</v>
      </c>
      <c r="E956">
        <v>21</v>
      </c>
      <c r="F956" t="s">
        <v>1255</v>
      </c>
      <c r="G956">
        <v>2022</v>
      </c>
      <c r="H956" t="s">
        <v>104</v>
      </c>
      <c r="I956" t="s">
        <v>62</v>
      </c>
      <c r="J956">
        <v>999</v>
      </c>
      <c r="K956">
        <v>325</v>
      </c>
      <c r="L956">
        <f t="shared" ref="L956:L974" si="274">J956-K956</f>
        <v>674</v>
      </c>
      <c r="M956">
        <v>240</v>
      </c>
      <c r="N956">
        <f t="shared" ref="N956:N974" si="275">L956-M956</f>
        <v>434</v>
      </c>
    </row>
    <row r="957" spans="1:14" x14ac:dyDescent="0.2">
      <c r="A957" t="s">
        <v>1487</v>
      </c>
      <c r="B957" s="1" t="s">
        <v>1466</v>
      </c>
      <c r="C957" t="s">
        <v>14</v>
      </c>
      <c r="D957" t="s">
        <v>1037</v>
      </c>
      <c r="E957">
        <v>21</v>
      </c>
      <c r="F957" t="s">
        <v>1255</v>
      </c>
      <c r="G957">
        <v>2022</v>
      </c>
      <c r="H957" t="s">
        <v>1115</v>
      </c>
      <c r="I957" t="s">
        <v>135</v>
      </c>
      <c r="J957">
        <v>799</v>
      </c>
      <c r="K957">
        <v>205</v>
      </c>
      <c r="L957">
        <f t="shared" si="274"/>
        <v>594</v>
      </c>
      <c r="M957">
        <v>240</v>
      </c>
      <c r="N957">
        <f t="shared" si="275"/>
        <v>354</v>
      </c>
    </row>
    <row r="958" spans="1:14" x14ac:dyDescent="0.2">
      <c r="A958" t="s">
        <v>1488</v>
      </c>
      <c r="B958" s="1" t="s">
        <v>1466</v>
      </c>
      <c r="C958" t="s">
        <v>14</v>
      </c>
      <c r="D958" t="s">
        <v>942</v>
      </c>
      <c r="E958">
        <v>21</v>
      </c>
      <c r="F958" t="s">
        <v>1255</v>
      </c>
      <c r="G958">
        <v>2022</v>
      </c>
      <c r="H958" t="s">
        <v>263</v>
      </c>
      <c r="I958" t="s">
        <v>144</v>
      </c>
      <c r="J958">
        <v>799</v>
      </c>
      <c r="K958">
        <v>205</v>
      </c>
      <c r="L958">
        <f t="shared" si="274"/>
        <v>594</v>
      </c>
      <c r="M958">
        <v>240</v>
      </c>
      <c r="N958">
        <f t="shared" si="275"/>
        <v>354</v>
      </c>
    </row>
    <row r="959" spans="1:14" x14ac:dyDescent="0.2">
      <c r="A959" t="s">
        <v>1489</v>
      </c>
      <c r="B959" s="1" t="s">
        <v>1466</v>
      </c>
      <c r="C959" t="s">
        <v>14</v>
      </c>
      <c r="D959" t="s">
        <v>1370</v>
      </c>
      <c r="E959">
        <v>21</v>
      </c>
      <c r="F959" t="s">
        <v>1255</v>
      </c>
      <c r="G959">
        <v>2022</v>
      </c>
      <c r="H959" t="s">
        <v>1490</v>
      </c>
      <c r="I959" t="s">
        <v>97</v>
      </c>
      <c r="J959">
        <v>799</v>
      </c>
      <c r="K959">
        <v>205</v>
      </c>
      <c r="L959">
        <f t="shared" si="274"/>
        <v>594</v>
      </c>
      <c r="M959">
        <v>240</v>
      </c>
      <c r="N959">
        <f t="shared" si="275"/>
        <v>354</v>
      </c>
    </row>
    <row r="960" spans="1:14" x14ac:dyDescent="0.2">
      <c r="A960" t="s">
        <v>1491</v>
      </c>
      <c r="B960" s="1" t="s">
        <v>1466</v>
      </c>
      <c r="C960" t="s">
        <v>14</v>
      </c>
      <c r="D960" t="s">
        <v>1402</v>
      </c>
      <c r="E960">
        <v>21</v>
      </c>
      <c r="F960" t="s">
        <v>1255</v>
      </c>
      <c r="G960">
        <v>2022</v>
      </c>
      <c r="H960" t="s">
        <v>807</v>
      </c>
      <c r="I960" t="s">
        <v>28</v>
      </c>
      <c r="J960">
        <v>849</v>
      </c>
      <c r="K960">
        <v>250</v>
      </c>
      <c r="L960">
        <f t="shared" si="274"/>
        <v>599</v>
      </c>
      <c r="M960">
        <v>240</v>
      </c>
      <c r="N960">
        <f t="shared" si="275"/>
        <v>359</v>
      </c>
    </row>
    <row r="961" spans="1:14" x14ac:dyDescent="0.2">
      <c r="A961" t="s">
        <v>1492</v>
      </c>
      <c r="B961" s="1" t="s">
        <v>1466</v>
      </c>
      <c r="C961" t="s">
        <v>14</v>
      </c>
      <c r="D961" t="s">
        <v>81</v>
      </c>
      <c r="E961">
        <v>21</v>
      </c>
      <c r="F961" t="s">
        <v>1255</v>
      </c>
      <c r="G961">
        <v>2022</v>
      </c>
      <c r="H961" t="s">
        <v>1493</v>
      </c>
      <c r="I961" t="s">
        <v>455</v>
      </c>
      <c r="J961">
        <v>849</v>
      </c>
      <c r="K961">
        <v>250</v>
      </c>
      <c r="L961">
        <f t="shared" si="274"/>
        <v>599</v>
      </c>
      <c r="M961">
        <v>240</v>
      </c>
      <c r="N961">
        <f t="shared" si="275"/>
        <v>359</v>
      </c>
    </row>
    <row r="962" spans="1:14" x14ac:dyDescent="0.2">
      <c r="A962" t="s">
        <v>1494</v>
      </c>
      <c r="B962" s="1" t="s">
        <v>1461</v>
      </c>
      <c r="C962" t="s">
        <v>14</v>
      </c>
      <c r="D962" t="s">
        <v>1495</v>
      </c>
      <c r="E962">
        <v>20</v>
      </c>
      <c r="F962" t="s">
        <v>1255</v>
      </c>
      <c r="G962">
        <v>2022</v>
      </c>
      <c r="H962" t="s">
        <v>1496</v>
      </c>
      <c r="I962" t="s">
        <v>97</v>
      </c>
      <c r="J962">
        <v>799</v>
      </c>
      <c r="K962">
        <v>205</v>
      </c>
      <c r="L962">
        <f t="shared" si="274"/>
        <v>594</v>
      </c>
      <c r="M962">
        <v>240</v>
      </c>
      <c r="N962">
        <f t="shared" si="275"/>
        <v>354</v>
      </c>
    </row>
    <row r="963" spans="1:14" x14ac:dyDescent="0.2">
      <c r="A963" t="s">
        <v>1497</v>
      </c>
      <c r="B963" s="1" t="s">
        <v>1459</v>
      </c>
      <c r="C963" t="s">
        <v>14</v>
      </c>
      <c r="D963" t="s">
        <v>81</v>
      </c>
      <c r="E963">
        <v>22</v>
      </c>
      <c r="F963" t="s">
        <v>1255</v>
      </c>
      <c r="G963">
        <v>2022</v>
      </c>
      <c r="H963" t="s">
        <v>991</v>
      </c>
      <c r="I963" t="s">
        <v>212</v>
      </c>
      <c r="J963">
        <v>849</v>
      </c>
      <c r="K963">
        <v>250</v>
      </c>
      <c r="L963">
        <f t="shared" si="274"/>
        <v>599</v>
      </c>
      <c r="M963">
        <v>240</v>
      </c>
      <c r="N963">
        <f t="shared" si="275"/>
        <v>359</v>
      </c>
    </row>
    <row r="964" spans="1:14" x14ac:dyDescent="0.2">
      <c r="A964" t="s">
        <v>1498</v>
      </c>
      <c r="B964" s="1" t="s">
        <v>1459</v>
      </c>
      <c r="C964" t="s">
        <v>14</v>
      </c>
      <c r="D964" t="s">
        <v>1010</v>
      </c>
      <c r="E964">
        <v>22</v>
      </c>
      <c r="F964" t="s">
        <v>1255</v>
      </c>
      <c r="G964">
        <v>2022</v>
      </c>
      <c r="H964" t="s">
        <v>1499</v>
      </c>
      <c r="I964" t="s">
        <v>883</v>
      </c>
      <c r="J964">
        <v>799</v>
      </c>
      <c r="K964">
        <v>205</v>
      </c>
      <c r="L964">
        <f t="shared" si="274"/>
        <v>594</v>
      </c>
      <c r="M964">
        <v>240</v>
      </c>
      <c r="N964">
        <f t="shared" si="275"/>
        <v>354</v>
      </c>
    </row>
    <row r="965" spans="1:14" x14ac:dyDescent="0.2">
      <c r="A965" t="s">
        <v>1500</v>
      </c>
      <c r="B965" s="1" t="s">
        <v>1459</v>
      </c>
      <c r="C965" t="s">
        <v>14</v>
      </c>
      <c r="D965" t="s">
        <v>879</v>
      </c>
      <c r="E965">
        <v>22</v>
      </c>
      <c r="F965" t="s">
        <v>1255</v>
      </c>
      <c r="G965">
        <v>2022</v>
      </c>
      <c r="H965" t="s">
        <v>1501</v>
      </c>
      <c r="I965" t="s">
        <v>85</v>
      </c>
      <c r="J965">
        <v>849</v>
      </c>
      <c r="K965">
        <v>250</v>
      </c>
      <c r="L965">
        <f t="shared" si="274"/>
        <v>599</v>
      </c>
      <c r="M965">
        <v>240</v>
      </c>
      <c r="N965">
        <f t="shared" si="275"/>
        <v>359</v>
      </c>
    </row>
    <row r="966" spans="1:14" x14ac:dyDescent="0.2">
      <c r="A966" t="s">
        <v>1502</v>
      </c>
      <c r="B966" s="1" t="s">
        <v>1459</v>
      </c>
      <c r="C966" t="s">
        <v>14</v>
      </c>
      <c r="D966" t="s">
        <v>881</v>
      </c>
      <c r="E966">
        <v>22</v>
      </c>
      <c r="F966" t="s">
        <v>1255</v>
      </c>
      <c r="G966">
        <v>2022</v>
      </c>
      <c r="H966" t="s">
        <v>1503</v>
      </c>
      <c r="I966" t="s">
        <v>376</v>
      </c>
      <c r="J966">
        <v>799</v>
      </c>
      <c r="K966">
        <v>205</v>
      </c>
      <c r="L966">
        <f t="shared" si="274"/>
        <v>594</v>
      </c>
      <c r="M966">
        <v>240</v>
      </c>
      <c r="N966">
        <f t="shared" si="275"/>
        <v>354</v>
      </c>
    </row>
    <row r="967" spans="1:14" x14ac:dyDescent="0.2">
      <c r="A967" t="s">
        <v>1504</v>
      </c>
      <c r="B967" s="1" t="s">
        <v>1459</v>
      </c>
      <c r="C967" t="s">
        <v>14</v>
      </c>
      <c r="D967" t="s">
        <v>81</v>
      </c>
      <c r="E967">
        <v>22</v>
      </c>
      <c r="F967" t="s">
        <v>1255</v>
      </c>
      <c r="G967">
        <v>2022</v>
      </c>
      <c r="H967" t="s">
        <v>198</v>
      </c>
      <c r="I967" t="s">
        <v>32</v>
      </c>
      <c r="J967">
        <v>849</v>
      </c>
      <c r="K967">
        <v>250</v>
      </c>
      <c r="L967">
        <f t="shared" si="274"/>
        <v>599</v>
      </c>
      <c r="M967">
        <v>240</v>
      </c>
      <c r="N967">
        <f t="shared" si="275"/>
        <v>359</v>
      </c>
    </row>
    <row r="968" spans="1:14" x14ac:dyDescent="0.2">
      <c r="A968" t="s">
        <v>1505</v>
      </c>
      <c r="B968" s="1" t="s">
        <v>1459</v>
      </c>
      <c r="C968" t="s">
        <v>14</v>
      </c>
      <c r="D968" t="s">
        <v>425</v>
      </c>
      <c r="E968">
        <v>22</v>
      </c>
      <c r="F968" t="s">
        <v>1255</v>
      </c>
      <c r="G968">
        <v>2022</v>
      </c>
      <c r="H968" t="s">
        <v>170</v>
      </c>
      <c r="I968" t="s">
        <v>171</v>
      </c>
      <c r="J968">
        <v>799</v>
      </c>
      <c r="K968">
        <v>205</v>
      </c>
      <c r="L968">
        <f t="shared" si="274"/>
        <v>594</v>
      </c>
      <c r="M968">
        <v>240</v>
      </c>
      <c r="N968">
        <f t="shared" si="275"/>
        <v>354</v>
      </c>
    </row>
    <row r="969" spans="1:14" x14ac:dyDescent="0.2">
      <c r="A969" t="s">
        <v>1460</v>
      </c>
      <c r="B969" s="1" t="s">
        <v>1459</v>
      </c>
      <c r="C969" t="s">
        <v>14</v>
      </c>
      <c r="D969" t="s">
        <v>81</v>
      </c>
      <c r="E969">
        <v>22</v>
      </c>
      <c r="F969" t="s">
        <v>1255</v>
      </c>
      <c r="G969">
        <v>2022</v>
      </c>
      <c r="H969" t="s">
        <v>198</v>
      </c>
      <c r="I969" t="s">
        <v>32</v>
      </c>
      <c r="J969">
        <v>849</v>
      </c>
      <c r="K969">
        <v>250</v>
      </c>
      <c r="L969">
        <f t="shared" si="274"/>
        <v>599</v>
      </c>
      <c r="M969">
        <v>240</v>
      </c>
      <c r="N969">
        <f t="shared" si="275"/>
        <v>359</v>
      </c>
    </row>
    <row r="970" spans="1:14" x14ac:dyDescent="0.2">
      <c r="A970" t="s">
        <v>1507</v>
      </c>
      <c r="B970" s="1" t="s">
        <v>1506</v>
      </c>
      <c r="C970" t="s">
        <v>14</v>
      </c>
      <c r="D970" t="s">
        <v>1508</v>
      </c>
      <c r="E970">
        <v>23</v>
      </c>
      <c r="F970" t="s">
        <v>1255</v>
      </c>
      <c r="G970">
        <v>2022</v>
      </c>
      <c r="H970" t="s">
        <v>965</v>
      </c>
      <c r="I970" t="s">
        <v>122</v>
      </c>
      <c r="J970">
        <v>999</v>
      </c>
      <c r="K970">
        <v>325</v>
      </c>
      <c r="L970">
        <f t="shared" si="274"/>
        <v>674</v>
      </c>
      <c r="M970">
        <v>240</v>
      </c>
      <c r="N970">
        <f t="shared" si="275"/>
        <v>434</v>
      </c>
    </row>
    <row r="971" spans="1:14" x14ac:dyDescent="0.2">
      <c r="A971" t="s">
        <v>1509</v>
      </c>
      <c r="B971" s="1" t="s">
        <v>1506</v>
      </c>
      <c r="C971" t="s">
        <v>14</v>
      </c>
      <c r="D971" t="s">
        <v>1508</v>
      </c>
      <c r="E971">
        <v>23</v>
      </c>
      <c r="F971" t="s">
        <v>1255</v>
      </c>
      <c r="G971">
        <v>2022</v>
      </c>
      <c r="H971" t="s">
        <v>1159</v>
      </c>
      <c r="I971" t="s">
        <v>85</v>
      </c>
      <c r="J971">
        <v>999</v>
      </c>
      <c r="K971">
        <v>325</v>
      </c>
      <c r="L971">
        <f t="shared" si="274"/>
        <v>674</v>
      </c>
      <c r="M971">
        <v>240</v>
      </c>
      <c r="N971">
        <f t="shared" si="275"/>
        <v>434</v>
      </c>
    </row>
    <row r="972" spans="1:14" x14ac:dyDescent="0.2">
      <c r="A972" t="s">
        <v>1510</v>
      </c>
      <c r="B972" s="1" t="s">
        <v>1506</v>
      </c>
      <c r="C972" t="s">
        <v>14</v>
      </c>
      <c r="D972" t="s">
        <v>1511</v>
      </c>
      <c r="E972">
        <v>23</v>
      </c>
      <c r="F972" t="s">
        <v>1255</v>
      </c>
      <c r="G972">
        <v>2022</v>
      </c>
      <c r="H972" t="s">
        <v>1512</v>
      </c>
      <c r="I972" t="s">
        <v>85</v>
      </c>
      <c r="J972">
        <v>799</v>
      </c>
      <c r="K972">
        <v>205</v>
      </c>
      <c r="L972">
        <f t="shared" si="274"/>
        <v>594</v>
      </c>
      <c r="M972">
        <v>240</v>
      </c>
      <c r="N972">
        <f t="shared" si="275"/>
        <v>354</v>
      </c>
    </row>
    <row r="973" spans="1:14" x14ac:dyDescent="0.2">
      <c r="A973" t="s">
        <v>1513</v>
      </c>
      <c r="B973" s="1" t="s">
        <v>1506</v>
      </c>
      <c r="C973" t="s">
        <v>14</v>
      </c>
      <c r="D973" t="s">
        <v>242</v>
      </c>
      <c r="E973">
        <v>23</v>
      </c>
      <c r="F973" t="s">
        <v>1255</v>
      </c>
      <c r="G973">
        <v>2022</v>
      </c>
      <c r="H973" t="s">
        <v>71</v>
      </c>
      <c r="I973" t="s">
        <v>62</v>
      </c>
      <c r="J973">
        <v>899</v>
      </c>
      <c r="K973">
        <v>295</v>
      </c>
      <c r="L973">
        <f t="shared" si="274"/>
        <v>604</v>
      </c>
      <c r="M973">
        <v>240</v>
      </c>
      <c r="N973">
        <f t="shared" si="275"/>
        <v>364</v>
      </c>
    </row>
    <row r="974" spans="1:14" x14ac:dyDescent="0.2">
      <c r="A974" t="s">
        <v>1514</v>
      </c>
      <c r="B974" s="1" t="s">
        <v>1506</v>
      </c>
      <c r="C974" t="s">
        <v>14</v>
      </c>
      <c r="D974" t="s">
        <v>81</v>
      </c>
      <c r="E974">
        <v>23</v>
      </c>
      <c r="F974" t="s">
        <v>1255</v>
      </c>
      <c r="G974">
        <v>2022</v>
      </c>
      <c r="H974" t="s">
        <v>1282</v>
      </c>
      <c r="I974" t="s">
        <v>502</v>
      </c>
      <c r="J974">
        <v>849</v>
      </c>
      <c r="K974">
        <v>250</v>
      </c>
      <c r="L974">
        <f t="shared" si="274"/>
        <v>599</v>
      </c>
      <c r="M974">
        <v>240</v>
      </c>
      <c r="N974">
        <f t="shared" si="275"/>
        <v>359</v>
      </c>
    </row>
    <row r="975" spans="1:14" x14ac:dyDescent="0.2">
      <c r="A975" t="s">
        <v>1432</v>
      </c>
      <c r="B975" s="1" t="s">
        <v>1431</v>
      </c>
      <c r="C975" t="s">
        <v>106</v>
      </c>
      <c r="D975" t="s">
        <v>993</v>
      </c>
      <c r="E975">
        <v>16</v>
      </c>
      <c r="F975" t="s">
        <v>1255</v>
      </c>
      <c r="G975">
        <v>2022</v>
      </c>
      <c r="H975" t="s">
        <v>84</v>
      </c>
      <c r="I975" t="s">
        <v>85</v>
      </c>
      <c r="J975">
        <v>-799</v>
      </c>
      <c r="K975">
        <v>320</v>
      </c>
      <c r="L975">
        <f>J975+K975</f>
        <v>-479</v>
      </c>
      <c r="M975">
        <v>240</v>
      </c>
      <c r="N975">
        <f>L975+M975</f>
        <v>-239</v>
      </c>
    </row>
    <row r="976" spans="1:14" x14ac:dyDescent="0.2">
      <c r="A976" t="s">
        <v>1516</v>
      </c>
      <c r="B976" s="1" t="s">
        <v>1515</v>
      </c>
      <c r="C976" t="s">
        <v>14</v>
      </c>
      <c r="D976" t="s">
        <v>548</v>
      </c>
      <c r="E976">
        <v>24</v>
      </c>
      <c r="F976" t="s">
        <v>1255</v>
      </c>
      <c r="G976">
        <v>2022</v>
      </c>
      <c r="H976" t="s">
        <v>435</v>
      </c>
      <c r="I976" t="s">
        <v>58</v>
      </c>
      <c r="J976">
        <v>899</v>
      </c>
      <c r="K976">
        <v>295</v>
      </c>
      <c r="L976">
        <f t="shared" ref="L976:L985" si="276">J976-K976</f>
        <v>604</v>
      </c>
      <c r="M976">
        <v>240</v>
      </c>
      <c r="N976">
        <f t="shared" ref="N976:N985" si="277">L976-M976</f>
        <v>364</v>
      </c>
    </row>
    <row r="977" spans="1:14" x14ac:dyDescent="0.2">
      <c r="A977" t="s">
        <v>1517</v>
      </c>
      <c r="B977" s="1" t="s">
        <v>1515</v>
      </c>
      <c r="C977" t="s">
        <v>14</v>
      </c>
      <c r="D977" t="s">
        <v>81</v>
      </c>
      <c r="E977">
        <v>24</v>
      </c>
      <c r="F977" t="s">
        <v>1255</v>
      </c>
      <c r="G977">
        <v>2022</v>
      </c>
      <c r="H977" t="s">
        <v>1518</v>
      </c>
      <c r="I977" t="s">
        <v>32</v>
      </c>
      <c r="J977">
        <v>849</v>
      </c>
      <c r="K977">
        <v>250</v>
      </c>
      <c r="L977">
        <f t="shared" si="276"/>
        <v>599</v>
      </c>
      <c r="M977">
        <v>240</v>
      </c>
      <c r="N977">
        <f t="shared" si="277"/>
        <v>359</v>
      </c>
    </row>
    <row r="978" spans="1:14" x14ac:dyDescent="0.2">
      <c r="A978" t="s">
        <v>1519</v>
      </c>
      <c r="B978" s="1" t="s">
        <v>1515</v>
      </c>
      <c r="C978" t="s">
        <v>14</v>
      </c>
      <c r="D978" t="s">
        <v>812</v>
      </c>
      <c r="E978">
        <v>24</v>
      </c>
      <c r="F978" t="s">
        <v>1255</v>
      </c>
      <c r="G978">
        <v>2022</v>
      </c>
      <c r="H978" t="s">
        <v>84</v>
      </c>
      <c r="I978" t="s">
        <v>85</v>
      </c>
      <c r="J978">
        <v>999</v>
      </c>
      <c r="K978">
        <v>325</v>
      </c>
      <c r="L978">
        <f t="shared" si="276"/>
        <v>674</v>
      </c>
      <c r="M978">
        <v>240</v>
      </c>
      <c r="N978">
        <f t="shared" si="277"/>
        <v>434</v>
      </c>
    </row>
    <row r="979" spans="1:14" x14ac:dyDescent="0.2">
      <c r="A979" t="s">
        <v>1520</v>
      </c>
      <c r="B979" s="1" t="s">
        <v>1515</v>
      </c>
      <c r="C979" t="s">
        <v>14</v>
      </c>
      <c r="D979" t="s">
        <v>747</v>
      </c>
      <c r="E979">
        <v>24</v>
      </c>
      <c r="F979" t="s">
        <v>1255</v>
      </c>
      <c r="G979">
        <v>2022</v>
      </c>
      <c r="H979" t="s">
        <v>1521</v>
      </c>
      <c r="I979" t="s">
        <v>122</v>
      </c>
      <c r="J979">
        <v>799</v>
      </c>
      <c r="K979">
        <v>205</v>
      </c>
      <c r="L979">
        <f t="shared" si="276"/>
        <v>594</v>
      </c>
      <c r="M979">
        <v>240</v>
      </c>
      <c r="N979">
        <f t="shared" si="277"/>
        <v>354</v>
      </c>
    </row>
    <row r="980" spans="1:14" x14ac:dyDescent="0.2">
      <c r="A980" t="s">
        <v>1523</v>
      </c>
      <c r="B980" s="1" t="s">
        <v>1522</v>
      </c>
      <c r="C980" t="s">
        <v>14</v>
      </c>
      <c r="D980" t="s">
        <v>1002</v>
      </c>
      <c r="E980">
        <v>25</v>
      </c>
      <c r="F980" t="s">
        <v>1255</v>
      </c>
      <c r="G980">
        <v>2022</v>
      </c>
      <c r="H980" t="s">
        <v>866</v>
      </c>
      <c r="I980" t="s">
        <v>866</v>
      </c>
      <c r="J980">
        <v>849</v>
      </c>
      <c r="K980">
        <v>250</v>
      </c>
      <c r="L980">
        <f t="shared" si="276"/>
        <v>599</v>
      </c>
      <c r="M980">
        <v>240</v>
      </c>
      <c r="N980">
        <f t="shared" si="277"/>
        <v>359</v>
      </c>
    </row>
    <row r="981" spans="1:14" x14ac:dyDescent="0.2">
      <c r="A981" t="s">
        <v>1524</v>
      </c>
      <c r="B981" s="1" t="s">
        <v>1522</v>
      </c>
      <c r="C981" t="s">
        <v>14</v>
      </c>
      <c r="D981" t="s">
        <v>1076</v>
      </c>
      <c r="E981">
        <v>25</v>
      </c>
      <c r="F981" t="s">
        <v>1255</v>
      </c>
      <c r="G981">
        <v>2022</v>
      </c>
      <c r="H981" t="s">
        <v>1525</v>
      </c>
      <c r="I981" t="s">
        <v>85</v>
      </c>
      <c r="J981">
        <v>849</v>
      </c>
      <c r="K981">
        <v>250</v>
      </c>
      <c r="L981">
        <f t="shared" si="276"/>
        <v>599</v>
      </c>
      <c r="M981">
        <v>240</v>
      </c>
      <c r="N981">
        <f t="shared" si="277"/>
        <v>359</v>
      </c>
    </row>
    <row r="982" spans="1:14" x14ac:dyDescent="0.2">
      <c r="A982" t="s">
        <v>1526</v>
      </c>
      <c r="B982" s="1" t="s">
        <v>1522</v>
      </c>
      <c r="C982" t="s">
        <v>14</v>
      </c>
      <c r="D982" t="s">
        <v>812</v>
      </c>
      <c r="E982">
        <v>25</v>
      </c>
      <c r="F982" t="s">
        <v>1255</v>
      </c>
      <c r="G982">
        <v>2022</v>
      </c>
      <c r="H982" t="s">
        <v>1527</v>
      </c>
      <c r="I982" t="s">
        <v>28</v>
      </c>
      <c r="J982">
        <v>999</v>
      </c>
      <c r="K982">
        <v>325</v>
      </c>
      <c r="L982">
        <f t="shared" si="276"/>
        <v>674</v>
      </c>
      <c r="M982">
        <v>240</v>
      </c>
      <c r="N982">
        <f t="shared" si="277"/>
        <v>434</v>
      </c>
    </row>
    <row r="983" spans="1:14" x14ac:dyDescent="0.2">
      <c r="A983" t="s">
        <v>1528</v>
      </c>
      <c r="B983" s="1" t="s">
        <v>1522</v>
      </c>
      <c r="C983" t="s">
        <v>14</v>
      </c>
      <c r="D983" t="s">
        <v>379</v>
      </c>
      <c r="E983">
        <v>25</v>
      </c>
      <c r="F983" t="s">
        <v>1255</v>
      </c>
      <c r="G983">
        <v>2022</v>
      </c>
      <c r="H983" t="s">
        <v>1529</v>
      </c>
      <c r="I983" t="s">
        <v>257</v>
      </c>
      <c r="J983">
        <v>799</v>
      </c>
      <c r="K983">
        <v>205</v>
      </c>
      <c r="L983">
        <f t="shared" si="276"/>
        <v>594</v>
      </c>
      <c r="M983">
        <v>240</v>
      </c>
      <c r="N983">
        <f t="shared" si="277"/>
        <v>354</v>
      </c>
    </row>
    <row r="984" spans="1:14" x14ac:dyDescent="0.2">
      <c r="A984" t="s">
        <v>1530</v>
      </c>
      <c r="B984" s="1" t="s">
        <v>1522</v>
      </c>
      <c r="C984" t="s">
        <v>14</v>
      </c>
      <c r="D984" t="s">
        <v>957</v>
      </c>
      <c r="E984">
        <v>25</v>
      </c>
      <c r="F984" t="s">
        <v>1255</v>
      </c>
      <c r="G984">
        <v>2022</v>
      </c>
      <c r="H984" t="s">
        <v>1531</v>
      </c>
      <c r="I984" t="s">
        <v>32</v>
      </c>
      <c r="J984">
        <v>799</v>
      </c>
      <c r="K984">
        <v>205</v>
      </c>
      <c r="L984">
        <f t="shared" si="276"/>
        <v>594</v>
      </c>
      <c r="M984">
        <v>240</v>
      </c>
      <c r="N984">
        <f t="shared" si="277"/>
        <v>354</v>
      </c>
    </row>
    <row r="985" spans="1:14" x14ac:dyDescent="0.2">
      <c r="A985" t="s">
        <v>1532</v>
      </c>
      <c r="B985" s="1" t="s">
        <v>1522</v>
      </c>
      <c r="C985" t="s">
        <v>14</v>
      </c>
      <c r="D985" t="s">
        <v>1495</v>
      </c>
      <c r="E985">
        <v>25</v>
      </c>
      <c r="F985" t="s">
        <v>1255</v>
      </c>
      <c r="G985">
        <v>2022</v>
      </c>
      <c r="H985" t="s">
        <v>775</v>
      </c>
      <c r="I985" t="s">
        <v>502</v>
      </c>
      <c r="J985">
        <v>799</v>
      </c>
      <c r="K985">
        <v>205</v>
      </c>
      <c r="L985">
        <f t="shared" si="276"/>
        <v>594</v>
      </c>
      <c r="M985">
        <v>240</v>
      </c>
      <c r="N985">
        <f t="shared" si="277"/>
        <v>354</v>
      </c>
    </row>
    <row r="986" spans="1:14" x14ac:dyDescent="0.2">
      <c r="A986" t="s">
        <v>1492</v>
      </c>
      <c r="B986" s="1" t="s">
        <v>1466</v>
      </c>
      <c r="C986" t="s">
        <v>106</v>
      </c>
      <c r="D986" t="s">
        <v>81</v>
      </c>
      <c r="E986">
        <v>21</v>
      </c>
      <c r="F986" t="s">
        <v>1255</v>
      </c>
      <c r="G986">
        <v>2022</v>
      </c>
      <c r="H986" t="s">
        <v>1493</v>
      </c>
      <c r="I986" t="s">
        <v>455</v>
      </c>
      <c r="J986">
        <v>-849</v>
      </c>
      <c r="K986">
        <v>345</v>
      </c>
      <c r="L986">
        <f>J986+K986</f>
        <v>-504</v>
      </c>
      <c r="M986">
        <v>240</v>
      </c>
      <c r="N986">
        <f>L986+M986</f>
        <v>-264</v>
      </c>
    </row>
    <row r="987" spans="1:14" x14ac:dyDescent="0.2">
      <c r="A987" t="s">
        <v>1534</v>
      </c>
      <c r="B987" s="1" t="s">
        <v>1533</v>
      </c>
      <c r="C987" t="s">
        <v>43</v>
      </c>
      <c r="D987" t="s">
        <v>904</v>
      </c>
      <c r="E987">
        <v>26</v>
      </c>
      <c r="F987" t="s">
        <v>1255</v>
      </c>
      <c r="G987">
        <v>2022</v>
      </c>
      <c r="H987" t="s">
        <v>1535</v>
      </c>
      <c r="I987" t="s">
        <v>212</v>
      </c>
      <c r="J987">
        <v>0</v>
      </c>
      <c r="K987">
        <v>0</v>
      </c>
      <c r="L987">
        <v>0</v>
      </c>
      <c r="M987">
        <v>0</v>
      </c>
      <c r="N987">
        <v>0</v>
      </c>
    </row>
    <row r="988" spans="1:14" x14ac:dyDescent="0.2">
      <c r="A988" t="s">
        <v>1536</v>
      </c>
      <c r="B988" s="1" t="s">
        <v>1533</v>
      </c>
      <c r="C988" t="s">
        <v>43</v>
      </c>
      <c r="D988" t="s">
        <v>890</v>
      </c>
      <c r="E988">
        <v>26</v>
      </c>
      <c r="F988" t="s">
        <v>1255</v>
      </c>
      <c r="G988">
        <v>2022</v>
      </c>
      <c r="H988" t="s">
        <v>170</v>
      </c>
      <c r="I988" t="s">
        <v>171</v>
      </c>
      <c r="J988">
        <v>0</v>
      </c>
      <c r="K988">
        <v>0</v>
      </c>
      <c r="L988">
        <v>0</v>
      </c>
      <c r="M988">
        <v>0</v>
      </c>
      <c r="N988">
        <v>0</v>
      </c>
    </row>
    <row r="989" spans="1:14" x14ac:dyDescent="0.2">
      <c r="A989" t="s">
        <v>1537</v>
      </c>
      <c r="B989" s="1" t="s">
        <v>1533</v>
      </c>
      <c r="C989" t="s">
        <v>14</v>
      </c>
      <c r="D989" t="s">
        <v>809</v>
      </c>
      <c r="E989">
        <v>26</v>
      </c>
      <c r="F989" t="s">
        <v>1255</v>
      </c>
      <c r="G989">
        <v>2022</v>
      </c>
      <c r="H989" t="s">
        <v>517</v>
      </c>
      <c r="I989" t="s">
        <v>122</v>
      </c>
      <c r="J989">
        <v>999</v>
      </c>
      <c r="K989">
        <v>325</v>
      </c>
      <c r="L989">
        <f t="shared" ref="L989:L995" si="278">J989-K989</f>
        <v>674</v>
      </c>
      <c r="M989">
        <v>240</v>
      </c>
      <c r="N989">
        <f t="shared" ref="N989:N995" si="279">L989-M989</f>
        <v>434</v>
      </c>
    </row>
    <row r="990" spans="1:14" x14ac:dyDescent="0.2">
      <c r="A990" t="s">
        <v>1538</v>
      </c>
      <c r="B990" s="1" t="s">
        <v>1533</v>
      </c>
      <c r="C990" t="s">
        <v>14</v>
      </c>
      <c r="D990" t="s">
        <v>1539</v>
      </c>
      <c r="E990">
        <v>26</v>
      </c>
      <c r="F990" t="s">
        <v>1255</v>
      </c>
      <c r="G990">
        <v>2022</v>
      </c>
      <c r="H990" t="s">
        <v>1540</v>
      </c>
      <c r="I990" t="s">
        <v>122</v>
      </c>
      <c r="J990">
        <v>799</v>
      </c>
      <c r="K990">
        <v>205</v>
      </c>
      <c r="L990">
        <f t="shared" si="278"/>
        <v>594</v>
      </c>
      <c r="M990">
        <v>240</v>
      </c>
      <c r="N990">
        <f t="shared" si="279"/>
        <v>354</v>
      </c>
    </row>
    <row r="991" spans="1:14" x14ac:dyDescent="0.2">
      <c r="A991" t="s">
        <v>1541</v>
      </c>
      <c r="B991" s="1" t="s">
        <v>1533</v>
      </c>
      <c r="C991" t="s">
        <v>14</v>
      </c>
      <c r="D991" t="s">
        <v>573</v>
      </c>
      <c r="E991">
        <v>26</v>
      </c>
      <c r="F991" t="s">
        <v>1255</v>
      </c>
      <c r="G991">
        <v>2022</v>
      </c>
      <c r="H991" t="s">
        <v>1470</v>
      </c>
      <c r="I991" t="s">
        <v>502</v>
      </c>
      <c r="J991">
        <v>899</v>
      </c>
      <c r="K991">
        <v>295</v>
      </c>
      <c r="L991">
        <f t="shared" si="278"/>
        <v>604</v>
      </c>
      <c r="M991">
        <v>240</v>
      </c>
      <c r="N991">
        <f t="shared" si="279"/>
        <v>364</v>
      </c>
    </row>
    <row r="992" spans="1:14" x14ac:dyDescent="0.2">
      <c r="A992" t="s">
        <v>1542</v>
      </c>
      <c r="B992" s="1" t="s">
        <v>1533</v>
      </c>
      <c r="C992" t="s">
        <v>14</v>
      </c>
      <c r="D992" t="s">
        <v>834</v>
      </c>
      <c r="E992">
        <v>26</v>
      </c>
      <c r="F992" t="s">
        <v>1255</v>
      </c>
      <c r="G992">
        <v>2022</v>
      </c>
      <c r="H992" t="s">
        <v>1543</v>
      </c>
      <c r="I992" t="s">
        <v>253</v>
      </c>
      <c r="J992">
        <v>849</v>
      </c>
      <c r="K992">
        <v>250</v>
      </c>
      <c r="L992">
        <f t="shared" si="278"/>
        <v>599</v>
      </c>
      <c r="M992">
        <v>240</v>
      </c>
      <c r="N992">
        <f t="shared" si="279"/>
        <v>359</v>
      </c>
    </row>
    <row r="993" spans="1:14" x14ac:dyDescent="0.2">
      <c r="A993" t="s">
        <v>1544</v>
      </c>
      <c r="B993" s="1" t="s">
        <v>1533</v>
      </c>
      <c r="C993" t="s">
        <v>14</v>
      </c>
      <c r="D993" t="s">
        <v>81</v>
      </c>
      <c r="E993">
        <v>26</v>
      </c>
      <c r="F993" t="s">
        <v>1255</v>
      </c>
      <c r="G993">
        <v>2022</v>
      </c>
      <c r="H993" t="s">
        <v>1545</v>
      </c>
      <c r="I993" t="s">
        <v>85</v>
      </c>
      <c r="J993">
        <v>849</v>
      </c>
      <c r="K993">
        <v>250</v>
      </c>
      <c r="L993">
        <f t="shared" si="278"/>
        <v>599</v>
      </c>
      <c r="M993">
        <v>240</v>
      </c>
      <c r="N993">
        <f t="shared" si="279"/>
        <v>359</v>
      </c>
    </row>
    <row r="994" spans="1:14" x14ac:dyDescent="0.2">
      <c r="A994" t="s">
        <v>1536</v>
      </c>
      <c r="B994" s="1" t="s">
        <v>1546</v>
      </c>
      <c r="C994" t="s">
        <v>14</v>
      </c>
      <c r="D994" t="s">
        <v>890</v>
      </c>
      <c r="E994">
        <v>27</v>
      </c>
      <c r="F994" t="s">
        <v>1255</v>
      </c>
      <c r="G994">
        <v>2022</v>
      </c>
      <c r="H994" t="s">
        <v>170</v>
      </c>
      <c r="I994" t="s">
        <v>171</v>
      </c>
      <c r="J994">
        <v>849</v>
      </c>
      <c r="K994">
        <v>250</v>
      </c>
      <c r="L994">
        <f t="shared" si="278"/>
        <v>599</v>
      </c>
      <c r="M994">
        <v>240</v>
      </c>
      <c r="N994">
        <f t="shared" si="279"/>
        <v>359</v>
      </c>
    </row>
    <row r="995" spans="1:14" x14ac:dyDescent="0.2">
      <c r="A995" t="s">
        <v>1547</v>
      </c>
      <c r="B995" s="1" t="s">
        <v>1533</v>
      </c>
      <c r="C995" t="s">
        <v>14</v>
      </c>
      <c r="D995" t="s">
        <v>1548</v>
      </c>
      <c r="E995">
        <v>26</v>
      </c>
      <c r="F995" t="s">
        <v>1255</v>
      </c>
      <c r="G995">
        <v>2022</v>
      </c>
      <c r="H995" t="s">
        <v>1490</v>
      </c>
      <c r="I995" t="s">
        <v>97</v>
      </c>
      <c r="J995">
        <v>799</v>
      </c>
      <c r="K995">
        <v>205</v>
      </c>
      <c r="L995">
        <f t="shared" si="278"/>
        <v>594</v>
      </c>
      <c r="M995">
        <v>240</v>
      </c>
      <c r="N995">
        <f t="shared" si="279"/>
        <v>354</v>
      </c>
    </row>
    <row r="996" spans="1:14" x14ac:dyDescent="0.2">
      <c r="A996" t="s">
        <v>1473</v>
      </c>
      <c r="B996" s="1" t="s">
        <v>1461</v>
      </c>
      <c r="C996" t="s">
        <v>106</v>
      </c>
      <c r="D996" t="s">
        <v>1354</v>
      </c>
      <c r="E996">
        <v>20</v>
      </c>
      <c r="F996" t="s">
        <v>1255</v>
      </c>
      <c r="G996">
        <v>2022</v>
      </c>
      <c r="H996" t="s">
        <v>1474</v>
      </c>
      <c r="I996" t="s">
        <v>62</v>
      </c>
      <c r="J996">
        <v>-799</v>
      </c>
      <c r="K996">
        <v>320</v>
      </c>
      <c r="L996">
        <f t="shared" ref="L996:L997" si="280">J996+K996</f>
        <v>-479</v>
      </c>
      <c r="M996">
        <v>240</v>
      </c>
      <c r="N996">
        <f t="shared" ref="N996:N997" si="281">L996+M996</f>
        <v>-239</v>
      </c>
    </row>
    <row r="997" spans="1:14" x14ac:dyDescent="0.2">
      <c r="A997" t="s">
        <v>1266</v>
      </c>
      <c r="B997" s="1" t="s">
        <v>1253</v>
      </c>
      <c r="C997" t="s">
        <v>106</v>
      </c>
      <c r="D997" t="s">
        <v>504</v>
      </c>
      <c r="E997">
        <v>1</v>
      </c>
      <c r="F997" t="s">
        <v>1255</v>
      </c>
      <c r="G997">
        <v>2022</v>
      </c>
      <c r="H997" t="s">
        <v>1267</v>
      </c>
      <c r="I997" t="s">
        <v>23</v>
      </c>
      <c r="J997">
        <v>-899</v>
      </c>
      <c r="K997">
        <v>375</v>
      </c>
      <c r="L997">
        <f t="shared" si="280"/>
        <v>-524</v>
      </c>
      <c r="M997">
        <v>240</v>
      </c>
      <c r="N997">
        <f t="shared" si="281"/>
        <v>-284</v>
      </c>
    </row>
    <row r="998" spans="1:14" x14ac:dyDescent="0.2">
      <c r="A998" t="s">
        <v>1550</v>
      </c>
      <c r="B998" s="1" t="s">
        <v>1549</v>
      </c>
      <c r="C998" t="s">
        <v>43</v>
      </c>
      <c r="D998" t="s">
        <v>1171</v>
      </c>
      <c r="E998">
        <v>28</v>
      </c>
      <c r="F998" t="s">
        <v>1255</v>
      </c>
      <c r="G998">
        <v>2022</v>
      </c>
      <c r="H998" t="s">
        <v>1551</v>
      </c>
      <c r="I998" t="s">
        <v>85</v>
      </c>
      <c r="J998">
        <v>0</v>
      </c>
      <c r="K998">
        <v>0</v>
      </c>
      <c r="L998">
        <v>0</v>
      </c>
      <c r="M998">
        <v>0</v>
      </c>
      <c r="N998">
        <v>0</v>
      </c>
    </row>
    <row r="999" spans="1:14" x14ac:dyDescent="0.2">
      <c r="A999" t="s">
        <v>1497</v>
      </c>
      <c r="B999" s="1" t="s">
        <v>1459</v>
      </c>
      <c r="C999" t="s">
        <v>106</v>
      </c>
      <c r="D999" t="s">
        <v>81</v>
      </c>
      <c r="E999">
        <v>22</v>
      </c>
      <c r="F999" t="s">
        <v>1255</v>
      </c>
      <c r="G999">
        <v>2022</v>
      </c>
      <c r="H999" t="s">
        <v>991</v>
      </c>
      <c r="I999" t="s">
        <v>212</v>
      </c>
      <c r="J999">
        <v>-849</v>
      </c>
      <c r="K999">
        <v>345</v>
      </c>
      <c r="L999">
        <f>J999+K999</f>
        <v>-504</v>
      </c>
      <c r="M999">
        <v>240</v>
      </c>
      <c r="N999">
        <f>L999+M999</f>
        <v>-264</v>
      </c>
    </row>
    <row r="1000" spans="1:14" x14ac:dyDescent="0.2">
      <c r="A1000" t="s">
        <v>1552</v>
      </c>
      <c r="B1000" s="1" t="s">
        <v>1549</v>
      </c>
      <c r="C1000" t="s">
        <v>14</v>
      </c>
      <c r="D1000" t="s">
        <v>834</v>
      </c>
      <c r="E1000">
        <v>28</v>
      </c>
      <c r="F1000" t="s">
        <v>1255</v>
      </c>
      <c r="G1000">
        <v>2022</v>
      </c>
      <c r="H1000" t="s">
        <v>1553</v>
      </c>
      <c r="I1000" t="s">
        <v>85</v>
      </c>
      <c r="J1000">
        <v>849</v>
      </c>
      <c r="K1000">
        <v>250</v>
      </c>
      <c r="L1000">
        <f>J1000-K1000</f>
        <v>599</v>
      </c>
      <c r="M1000">
        <v>240</v>
      </c>
      <c r="N1000">
        <f>L1000-M1000</f>
        <v>359</v>
      </c>
    </row>
    <row r="1001" spans="1:14" x14ac:dyDescent="0.2">
      <c r="A1001" t="s">
        <v>1554</v>
      </c>
      <c r="B1001" s="1" t="s">
        <v>1533</v>
      </c>
      <c r="C1001" t="s">
        <v>20</v>
      </c>
      <c r="D1001" t="s">
        <v>1508</v>
      </c>
      <c r="E1001">
        <v>26</v>
      </c>
      <c r="F1001" t="s">
        <v>1255</v>
      </c>
      <c r="G1001">
        <v>2022</v>
      </c>
      <c r="H1001" t="s">
        <v>104</v>
      </c>
      <c r="I1001" t="s">
        <v>62</v>
      </c>
      <c r="J1001">
        <v>0</v>
      </c>
      <c r="K1001">
        <v>0</v>
      </c>
      <c r="L1001">
        <v>0</v>
      </c>
      <c r="M1001">
        <v>0</v>
      </c>
      <c r="N1001">
        <v>0</v>
      </c>
    </row>
    <row r="1002" spans="1:14" x14ac:dyDescent="0.2">
      <c r="A1002" t="s">
        <v>1555</v>
      </c>
      <c r="B1002" s="1" t="s">
        <v>1546</v>
      </c>
      <c r="C1002" t="s">
        <v>14</v>
      </c>
      <c r="D1002" t="s">
        <v>1556</v>
      </c>
      <c r="E1002">
        <v>27</v>
      </c>
      <c r="F1002" t="s">
        <v>1255</v>
      </c>
      <c r="G1002">
        <v>2022</v>
      </c>
      <c r="H1002" t="s">
        <v>1557</v>
      </c>
      <c r="I1002" t="s">
        <v>85</v>
      </c>
      <c r="J1002">
        <v>899</v>
      </c>
      <c r="K1002">
        <v>295</v>
      </c>
      <c r="L1002">
        <f t="shared" ref="L1002:L1014" si="282">J1002-K1002</f>
        <v>604</v>
      </c>
      <c r="M1002">
        <v>240</v>
      </c>
      <c r="N1002">
        <f t="shared" ref="N1002:N1014" si="283">L1002-M1002</f>
        <v>364</v>
      </c>
    </row>
    <row r="1003" spans="1:14" x14ac:dyDescent="0.2">
      <c r="A1003" t="s">
        <v>1558</v>
      </c>
      <c r="B1003" s="1" t="s">
        <v>1546</v>
      </c>
      <c r="C1003" t="s">
        <v>14</v>
      </c>
      <c r="D1003" t="s">
        <v>81</v>
      </c>
      <c r="E1003">
        <v>27</v>
      </c>
      <c r="F1003" t="s">
        <v>1255</v>
      </c>
      <c r="G1003">
        <v>2022</v>
      </c>
      <c r="H1003" t="s">
        <v>104</v>
      </c>
      <c r="I1003" t="s">
        <v>62</v>
      </c>
      <c r="J1003">
        <v>849</v>
      </c>
      <c r="K1003">
        <v>250</v>
      </c>
      <c r="L1003">
        <f t="shared" si="282"/>
        <v>599</v>
      </c>
      <c r="M1003">
        <v>240</v>
      </c>
      <c r="N1003">
        <f t="shared" si="283"/>
        <v>359</v>
      </c>
    </row>
    <row r="1004" spans="1:14" x14ac:dyDescent="0.2">
      <c r="A1004" t="s">
        <v>1559</v>
      </c>
      <c r="B1004" s="1" t="s">
        <v>1533</v>
      </c>
      <c r="C1004" t="s">
        <v>14</v>
      </c>
      <c r="D1004" t="s">
        <v>1560</v>
      </c>
      <c r="E1004">
        <v>26</v>
      </c>
      <c r="F1004" t="s">
        <v>1255</v>
      </c>
      <c r="G1004">
        <v>2022</v>
      </c>
      <c r="H1004" t="s">
        <v>1474</v>
      </c>
      <c r="I1004" t="s">
        <v>62</v>
      </c>
      <c r="J1004">
        <v>799</v>
      </c>
      <c r="K1004">
        <v>205</v>
      </c>
      <c r="L1004">
        <f t="shared" si="282"/>
        <v>594</v>
      </c>
      <c r="M1004">
        <v>240</v>
      </c>
      <c r="N1004">
        <f t="shared" si="283"/>
        <v>354</v>
      </c>
    </row>
    <row r="1005" spans="1:14" x14ac:dyDescent="0.2">
      <c r="A1005" t="s">
        <v>1561</v>
      </c>
      <c r="B1005" s="1" t="s">
        <v>1549</v>
      </c>
      <c r="C1005" t="s">
        <v>14</v>
      </c>
      <c r="D1005" t="s">
        <v>133</v>
      </c>
      <c r="E1005">
        <v>28</v>
      </c>
      <c r="F1005" t="s">
        <v>1255</v>
      </c>
      <c r="G1005">
        <v>2022</v>
      </c>
      <c r="H1005" t="s">
        <v>1562</v>
      </c>
      <c r="I1005" t="s">
        <v>135</v>
      </c>
      <c r="J1005">
        <v>799</v>
      </c>
      <c r="K1005">
        <v>205</v>
      </c>
      <c r="L1005">
        <f t="shared" si="282"/>
        <v>594</v>
      </c>
      <c r="M1005">
        <v>240</v>
      </c>
      <c r="N1005">
        <f t="shared" si="283"/>
        <v>354</v>
      </c>
    </row>
    <row r="1006" spans="1:14" x14ac:dyDescent="0.2">
      <c r="A1006" t="s">
        <v>1563</v>
      </c>
      <c r="B1006" s="1" t="s">
        <v>1549</v>
      </c>
      <c r="C1006" t="s">
        <v>14</v>
      </c>
      <c r="D1006" t="s">
        <v>81</v>
      </c>
      <c r="E1006">
        <v>28</v>
      </c>
      <c r="F1006" t="s">
        <v>1255</v>
      </c>
      <c r="G1006">
        <v>2022</v>
      </c>
      <c r="H1006" t="s">
        <v>150</v>
      </c>
      <c r="I1006" t="s">
        <v>62</v>
      </c>
      <c r="J1006">
        <v>849</v>
      </c>
      <c r="K1006">
        <v>250</v>
      </c>
      <c r="L1006">
        <f t="shared" si="282"/>
        <v>599</v>
      </c>
      <c r="M1006">
        <v>240</v>
      </c>
      <c r="N1006">
        <f t="shared" si="283"/>
        <v>359</v>
      </c>
    </row>
    <row r="1007" spans="1:14" x14ac:dyDescent="0.2">
      <c r="A1007" t="s">
        <v>1564</v>
      </c>
      <c r="B1007" s="1" t="s">
        <v>1549</v>
      </c>
      <c r="C1007" t="s">
        <v>14</v>
      </c>
      <c r="D1007" t="s">
        <v>1076</v>
      </c>
      <c r="E1007">
        <v>28</v>
      </c>
      <c r="F1007" t="s">
        <v>1255</v>
      </c>
      <c r="G1007">
        <v>2022</v>
      </c>
      <c r="H1007" t="s">
        <v>246</v>
      </c>
      <c r="I1007" t="s">
        <v>58</v>
      </c>
      <c r="J1007">
        <v>849</v>
      </c>
      <c r="K1007">
        <v>250</v>
      </c>
      <c r="L1007">
        <f t="shared" si="282"/>
        <v>599</v>
      </c>
      <c r="M1007">
        <v>240</v>
      </c>
      <c r="N1007">
        <f t="shared" si="283"/>
        <v>359</v>
      </c>
    </row>
    <row r="1008" spans="1:14" x14ac:dyDescent="0.2">
      <c r="A1008" t="s">
        <v>1565</v>
      </c>
      <c r="B1008" s="1" t="s">
        <v>1546</v>
      </c>
      <c r="C1008" t="s">
        <v>14</v>
      </c>
      <c r="D1008" t="s">
        <v>81</v>
      </c>
      <c r="E1008">
        <v>27</v>
      </c>
      <c r="F1008" t="s">
        <v>1255</v>
      </c>
      <c r="G1008">
        <v>2022</v>
      </c>
      <c r="H1008" t="s">
        <v>157</v>
      </c>
      <c r="I1008" t="s">
        <v>97</v>
      </c>
      <c r="J1008">
        <v>849</v>
      </c>
      <c r="K1008">
        <v>250</v>
      </c>
      <c r="L1008">
        <f t="shared" si="282"/>
        <v>599</v>
      </c>
      <c r="M1008">
        <v>240</v>
      </c>
      <c r="N1008">
        <f t="shared" si="283"/>
        <v>359</v>
      </c>
    </row>
    <row r="1009" spans="1:14" x14ac:dyDescent="0.2">
      <c r="A1009" t="s">
        <v>1566</v>
      </c>
      <c r="B1009" s="1" t="s">
        <v>1549</v>
      </c>
      <c r="C1009" t="s">
        <v>14</v>
      </c>
      <c r="D1009" t="s">
        <v>1567</v>
      </c>
      <c r="E1009">
        <v>28</v>
      </c>
      <c r="F1009" t="s">
        <v>1255</v>
      </c>
      <c r="G1009">
        <v>2022</v>
      </c>
      <c r="H1009" t="s">
        <v>1540</v>
      </c>
      <c r="I1009" t="s">
        <v>122</v>
      </c>
      <c r="J1009">
        <v>849</v>
      </c>
      <c r="K1009">
        <v>250</v>
      </c>
      <c r="L1009">
        <f t="shared" si="282"/>
        <v>599</v>
      </c>
      <c r="M1009">
        <v>240</v>
      </c>
      <c r="N1009">
        <f t="shared" si="283"/>
        <v>359</v>
      </c>
    </row>
    <row r="1010" spans="1:14" x14ac:dyDescent="0.2">
      <c r="A1010" t="s">
        <v>1568</v>
      </c>
      <c r="B1010" s="1" t="s">
        <v>1549</v>
      </c>
      <c r="C1010" t="s">
        <v>14</v>
      </c>
      <c r="D1010" t="s">
        <v>448</v>
      </c>
      <c r="E1010">
        <v>28</v>
      </c>
      <c r="F1010" t="s">
        <v>1255</v>
      </c>
      <c r="G1010">
        <v>2022</v>
      </c>
      <c r="H1010" t="s">
        <v>549</v>
      </c>
      <c r="I1010" t="s">
        <v>163</v>
      </c>
      <c r="J1010">
        <v>899</v>
      </c>
      <c r="K1010">
        <v>295</v>
      </c>
      <c r="L1010">
        <f t="shared" si="282"/>
        <v>604</v>
      </c>
      <c r="M1010">
        <v>240</v>
      </c>
      <c r="N1010">
        <f t="shared" si="283"/>
        <v>364</v>
      </c>
    </row>
    <row r="1011" spans="1:14" x14ac:dyDescent="0.2">
      <c r="A1011" t="s">
        <v>1569</v>
      </c>
      <c r="B1011" s="1" t="s">
        <v>1546</v>
      </c>
      <c r="C1011" t="s">
        <v>14</v>
      </c>
      <c r="D1011" t="s">
        <v>380</v>
      </c>
      <c r="E1011">
        <v>27</v>
      </c>
      <c r="F1011" t="s">
        <v>1255</v>
      </c>
      <c r="G1011">
        <v>2022</v>
      </c>
      <c r="H1011" t="s">
        <v>1570</v>
      </c>
      <c r="I1011" t="s">
        <v>85</v>
      </c>
      <c r="J1011">
        <v>849</v>
      </c>
      <c r="K1011">
        <v>250</v>
      </c>
      <c r="L1011">
        <f t="shared" si="282"/>
        <v>599</v>
      </c>
      <c r="M1011">
        <v>240</v>
      </c>
      <c r="N1011">
        <f t="shared" si="283"/>
        <v>359</v>
      </c>
    </row>
    <row r="1012" spans="1:14" x14ac:dyDescent="0.2">
      <c r="A1012" t="s">
        <v>1571</v>
      </c>
      <c r="B1012" s="1" t="s">
        <v>1546</v>
      </c>
      <c r="C1012" t="s">
        <v>14</v>
      </c>
      <c r="D1012" t="s">
        <v>573</v>
      </c>
      <c r="E1012">
        <v>27</v>
      </c>
      <c r="F1012" t="s">
        <v>1255</v>
      </c>
      <c r="G1012">
        <v>2022</v>
      </c>
      <c r="H1012" t="s">
        <v>1572</v>
      </c>
      <c r="I1012" t="s">
        <v>253</v>
      </c>
      <c r="J1012">
        <v>899</v>
      </c>
      <c r="K1012">
        <v>295</v>
      </c>
      <c r="L1012">
        <f t="shared" si="282"/>
        <v>604</v>
      </c>
      <c r="M1012">
        <v>240</v>
      </c>
      <c r="N1012">
        <f t="shared" si="283"/>
        <v>364</v>
      </c>
    </row>
    <row r="1013" spans="1:14" x14ac:dyDescent="0.2">
      <c r="A1013" t="s">
        <v>1573</v>
      </c>
      <c r="B1013" s="1" t="s">
        <v>1546</v>
      </c>
      <c r="C1013" t="s">
        <v>14</v>
      </c>
      <c r="D1013" t="s">
        <v>1508</v>
      </c>
      <c r="E1013">
        <v>27</v>
      </c>
      <c r="F1013" t="s">
        <v>1255</v>
      </c>
      <c r="G1013">
        <v>2022</v>
      </c>
      <c r="H1013" t="s">
        <v>1574</v>
      </c>
      <c r="I1013" t="s">
        <v>97</v>
      </c>
      <c r="J1013">
        <v>999</v>
      </c>
      <c r="K1013">
        <v>325</v>
      </c>
      <c r="L1013">
        <f t="shared" si="282"/>
        <v>674</v>
      </c>
      <c r="M1013">
        <v>240</v>
      </c>
      <c r="N1013">
        <f t="shared" si="283"/>
        <v>434</v>
      </c>
    </row>
    <row r="1014" spans="1:14" x14ac:dyDescent="0.2">
      <c r="A1014" t="s">
        <v>1575</v>
      </c>
      <c r="B1014" s="1" t="s">
        <v>1549</v>
      </c>
      <c r="C1014" t="s">
        <v>14</v>
      </c>
      <c r="D1014" t="s">
        <v>308</v>
      </c>
      <c r="E1014">
        <v>28</v>
      </c>
      <c r="F1014" t="s">
        <v>1255</v>
      </c>
      <c r="G1014">
        <v>2022</v>
      </c>
      <c r="H1014" t="s">
        <v>1576</v>
      </c>
      <c r="I1014" t="s">
        <v>23</v>
      </c>
      <c r="J1014">
        <v>899</v>
      </c>
      <c r="K1014">
        <v>295</v>
      </c>
      <c r="L1014">
        <f t="shared" si="282"/>
        <v>604</v>
      </c>
      <c r="M1014">
        <v>240</v>
      </c>
      <c r="N1014">
        <f t="shared" si="283"/>
        <v>364</v>
      </c>
    </row>
    <row r="1015" spans="1:14" x14ac:dyDescent="0.2">
      <c r="A1015" t="s">
        <v>1426</v>
      </c>
      <c r="B1015" s="1" t="s">
        <v>1414</v>
      </c>
      <c r="C1015" t="s">
        <v>106</v>
      </c>
      <c r="D1015" t="s">
        <v>840</v>
      </c>
      <c r="E1015">
        <v>14</v>
      </c>
      <c r="F1015" t="s">
        <v>1255</v>
      </c>
      <c r="G1015">
        <v>2022</v>
      </c>
      <c r="H1015" t="s">
        <v>246</v>
      </c>
      <c r="I1015" t="s">
        <v>58</v>
      </c>
      <c r="J1015">
        <v>-999</v>
      </c>
      <c r="K1015">
        <v>395</v>
      </c>
      <c r="L1015">
        <f t="shared" ref="L1015:L1019" si="284">J1015+K1015</f>
        <v>-604</v>
      </c>
      <c r="M1015">
        <v>240</v>
      </c>
      <c r="N1015">
        <f t="shared" ref="N1015:N1019" si="285">L1015+M1015</f>
        <v>-364</v>
      </c>
    </row>
    <row r="1016" spans="1:14" x14ac:dyDescent="0.2">
      <c r="A1016" t="s">
        <v>1469</v>
      </c>
      <c r="B1016" s="1" t="s">
        <v>1466</v>
      </c>
      <c r="C1016" t="s">
        <v>106</v>
      </c>
      <c r="D1016" t="s">
        <v>504</v>
      </c>
      <c r="E1016">
        <v>21</v>
      </c>
      <c r="F1016" t="s">
        <v>1255</v>
      </c>
      <c r="G1016">
        <v>2022</v>
      </c>
      <c r="H1016" t="s">
        <v>1470</v>
      </c>
      <c r="I1016" t="s">
        <v>502</v>
      </c>
      <c r="J1016">
        <v>-899</v>
      </c>
      <c r="K1016">
        <v>375</v>
      </c>
      <c r="L1016">
        <f t="shared" si="284"/>
        <v>-524</v>
      </c>
      <c r="M1016">
        <v>240</v>
      </c>
      <c r="N1016">
        <f t="shared" si="285"/>
        <v>-284</v>
      </c>
    </row>
    <row r="1017" spans="1:14" x14ac:dyDescent="0.2">
      <c r="A1017" t="s">
        <v>1489</v>
      </c>
      <c r="B1017" s="1" t="s">
        <v>1466</v>
      </c>
      <c r="C1017" t="s">
        <v>106</v>
      </c>
      <c r="D1017" t="s">
        <v>1370</v>
      </c>
      <c r="E1017">
        <v>21</v>
      </c>
      <c r="F1017" t="s">
        <v>1255</v>
      </c>
      <c r="G1017">
        <v>2022</v>
      </c>
      <c r="H1017" t="s">
        <v>1490</v>
      </c>
      <c r="I1017" t="s">
        <v>97</v>
      </c>
      <c r="J1017">
        <v>-799</v>
      </c>
      <c r="K1017">
        <v>320</v>
      </c>
      <c r="L1017">
        <f t="shared" si="284"/>
        <v>-479</v>
      </c>
      <c r="M1017">
        <v>240</v>
      </c>
      <c r="N1017">
        <f t="shared" si="285"/>
        <v>-239</v>
      </c>
    </row>
    <row r="1018" spans="1:14" x14ac:dyDescent="0.2">
      <c r="A1018" t="s">
        <v>1464</v>
      </c>
      <c r="B1018" s="1" t="s">
        <v>1461</v>
      </c>
      <c r="C1018" t="s">
        <v>106</v>
      </c>
      <c r="D1018" t="s">
        <v>822</v>
      </c>
      <c r="E1018">
        <v>20</v>
      </c>
      <c r="F1018" t="s">
        <v>1255</v>
      </c>
      <c r="G1018">
        <v>2022</v>
      </c>
      <c r="H1018" t="s">
        <v>1465</v>
      </c>
      <c r="I1018" t="s">
        <v>28</v>
      </c>
      <c r="J1018">
        <v>-849</v>
      </c>
      <c r="K1018">
        <v>345</v>
      </c>
      <c r="L1018">
        <f t="shared" si="284"/>
        <v>-504</v>
      </c>
      <c r="M1018">
        <v>240</v>
      </c>
      <c r="N1018">
        <f t="shared" si="285"/>
        <v>-264</v>
      </c>
    </row>
    <row r="1019" spans="1:14" x14ac:dyDescent="0.2">
      <c r="A1019" t="s">
        <v>1517</v>
      </c>
      <c r="B1019" s="1" t="s">
        <v>1515</v>
      </c>
      <c r="C1019" t="s">
        <v>106</v>
      </c>
      <c r="D1019" t="s">
        <v>81</v>
      </c>
      <c r="E1019">
        <v>24</v>
      </c>
      <c r="F1019" t="s">
        <v>1255</v>
      </c>
      <c r="G1019">
        <v>2022</v>
      </c>
      <c r="H1019" t="s">
        <v>1518</v>
      </c>
      <c r="I1019" t="s">
        <v>32</v>
      </c>
      <c r="J1019">
        <v>-849</v>
      </c>
      <c r="K1019">
        <v>345</v>
      </c>
      <c r="L1019">
        <f t="shared" si="284"/>
        <v>-504</v>
      </c>
      <c r="M1019">
        <v>240</v>
      </c>
      <c r="N1019">
        <f t="shared" si="285"/>
        <v>-264</v>
      </c>
    </row>
    <row r="1020" spans="1:14" x14ac:dyDescent="0.2">
      <c r="A1020" t="s">
        <v>1578</v>
      </c>
      <c r="B1020" s="1" t="s">
        <v>1577</v>
      </c>
      <c r="C1020" t="s">
        <v>43</v>
      </c>
      <c r="D1020" t="s">
        <v>1193</v>
      </c>
      <c r="E1020">
        <v>30</v>
      </c>
      <c r="F1020" t="s">
        <v>1255</v>
      </c>
      <c r="G1020">
        <v>2022</v>
      </c>
      <c r="H1020" t="s">
        <v>1579</v>
      </c>
      <c r="I1020" t="s">
        <v>122</v>
      </c>
      <c r="J1020">
        <v>0</v>
      </c>
      <c r="K1020">
        <v>0</v>
      </c>
      <c r="L1020">
        <v>0</v>
      </c>
      <c r="M1020">
        <v>0</v>
      </c>
      <c r="N1020">
        <v>0</v>
      </c>
    </row>
    <row r="1021" spans="1:14" x14ac:dyDescent="0.2">
      <c r="A1021" t="s">
        <v>1581</v>
      </c>
      <c r="B1021" s="1" t="s">
        <v>1580</v>
      </c>
      <c r="C1021" t="s">
        <v>14</v>
      </c>
      <c r="D1021" t="s">
        <v>1338</v>
      </c>
      <c r="E1021">
        <v>29</v>
      </c>
      <c r="F1021" t="s">
        <v>1255</v>
      </c>
      <c r="G1021">
        <v>2022</v>
      </c>
      <c r="H1021" t="s">
        <v>170</v>
      </c>
      <c r="I1021" t="s">
        <v>171</v>
      </c>
      <c r="J1021">
        <v>799</v>
      </c>
      <c r="K1021">
        <v>205</v>
      </c>
      <c r="L1021">
        <f t="shared" ref="L1021:L1023" si="286">J1021-K1021</f>
        <v>594</v>
      </c>
      <c r="M1021">
        <v>240</v>
      </c>
      <c r="N1021">
        <f t="shared" ref="N1021:N1023" si="287">L1021-M1021</f>
        <v>354</v>
      </c>
    </row>
    <row r="1022" spans="1:14" x14ac:dyDescent="0.2">
      <c r="A1022" t="s">
        <v>1582</v>
      </c>
      <c r="B1022" s="1" t="s">
        <v>1580</v>
      </c>
      <c r="C1022" t="s">
        <v>14</v>
      </c>
      <c r="D1022" t="s">
        <v>895</v>
      </c>
      <c r="E1022">
        <v>29</v>
      </c>
      <c r="F1022" t="s">
        <v>1255</v>
      </c>
      <c r="G1022">
        <v>2022</v>
      </c>
      <c r="H1022" t="s">
        <v>104</v>
      </c>
      <c r="I1022" t="s">
        <v>62</v>
      </c>
      <c r="J1022">
        <v>849</v>
      </c>
      <c r="K1022">
        <v>250</v>
      </c>
      <c r="L1022">
        <f t="shared" si="286"/>
        <v>599</v>
      </c>
      <c r="M1022">
        <v>240</v>
      </c>
      <c r="N1022">
        <f t="shared" si="287"/>
        <v>359</v>
      </c>
    </row>
    <row r="1023" spans="1:14" x14ac:dyDescent="0.2">
      <c r="A1023" t="s">
        <v>1582</v>
      </c>
      <c r="B1023" s="1" t="s">
        <v>1580</v>
      </c>
      <c r="C1023" t="s">
        <v>14</v>
      </c>
      <c r="D1023" t="s">
        <v>893</v>
      </c>
      <c r="E1023">
        <v>29</v>
      </c>
      <c r="F1023" t="s">
        <v>1255</v>
      </c>
      <c r="G1023">
        <v>2022</v>
      </c>
      <c r="H1023" t="s">
        <v>104</v>
      </c>
      <c r="I1023" t="s">
        <v>62</v>
      </c>
      <c r="J1023">
        <v>849</v>
      </c>
      <c r="K1023">
        <v>250</v>
      </c>
      <c r="L1023">
        <f t="shared" si="286"/>
        <v>599</v>
      </c>
      <c r="M1023">
        <v>240</v>
      </c>
      <c r="N1023">
        <f t="shared" si="287"/>
        <v>359</v>
      </c>
    </row>
    <row r="1024" spans="1:14" x14ac:dyDescent="0.2">
      <c r="A1024" t="s">
        <v>1440</v>
      </c>
      <c r="B1024" s="1" t="s">
        <v>1434</v>
      </c>
      <c r="C1024" t="s">
        <v>106</v>
      </c>
      <c r="D1024" t="s">
        <v>1441</v>
      </c>
      <c r="E1024">
        <v>17</v>
      </c>
      <c r="F1024" t="s">
        <v>1255</v>
      </c>
      <c r="G1024">
        <v>2022</v>
      </c>
      <c r="H1024" t="s">
        <v>235</v>
      </c>
      <c r="I1024" t="s">
        <v>62</v>
      </c>
      <c r="J1024">
        <v>-799</v>
      </c>
      <c r="K1024">
        <v>320</v>
      </c>
      <c r="L1024">
        <f>J1024+K1024</f>
        <v>-479</v>
      </c>
      <c r="M1024">
        <v>240</v>
      </c>
      <c r="N1024">
        <f>L1024+M1024</f>
        <v>-239</v>
      </c>
    </row>
    <row r="1025" spans="1:14" x14ac:dyDescent="0.2">
      <c r="A1025" t="s">
        <v>1583</v>
      </c>
      <c r="B1025" s="1" t="s">
        <v>1577</v>
      </c>
      <c r="C1025" t="s">
        <v>43</v>
      </c>
      <c r="D1025" t="s">
        <v>452</v>
      </c>
      <c r="E1025">
        <v>30</v>
      </c>
      <c r="F1025" t="s">
        <v>1255</v>
      </c>
      <c r="G1025">
        <v>2022</v>
      </c>
      <c r="H1025" t="s">
        <v>1584</v>
      </c>
      <c r="I1025" t="s">
        <v>1585</v>
      </c>
      <c r="J1025">
        <v>0</v>
      </c>
      <c r="K1025">
        <v>0</v>
      </c>
      <c r="L1025">
        <v>0</v>
      </c>
      <c r="M1025">
        <v>0</v>
      </c>
      <c r="N1025">
        <v>0</v>
      </c>
    </row>
    <row r="1026" spans="1:14" x14ac:dyDescent="0.2">
      <c r="A1026" t="s">
        <v>1586</v>
      </c>
      <c r="B1026" s="1" t="s">
        <v>1577</v>
      </c>
      <c r="C1026" t="s">
        <v>14</v>
      </c>
      <c r="D1026" t="s">
        <v>380</v>
      </c>
      <c r="E1026">
        <v>30</v>
      </c>
      <c r="F1026" t="s">
        <v>1255</v>
      </c>
      <c r="G1026">
        <v>2022</v>
      </c>
      <c r="H1026" t="s">
        <v>193</v>
      </c>
      <c r="I1026" t="s">
        <v>62</v>
      </c>
      <c r="J1026">
        <v>849</v>
      </c>
      <c r="K1026">
        <v>250</v>
      </c>
      <c r="L1026">
        <f t="shared" ref="L1026:L1040" si="288">J1026-K1026</f>
        <v>599</v>
      </c>
      <c r="M1026">
        <v>240</v>
      </c>
      <c r="N1026">
        <f t="shared" ref="N1026:N1040" si="289">L1026-M1026</f>
        <v>359</v>
      </c>
    </row>
    <row r="1027" spans="1:14" x14ac:dyDescent="0.2">
      <c r="A1027" t="s">
        <v>1587</v>
      </c>
      <c r="B1027" s="1" t="s">
        <v>1577</v>
      </c>
      <c r="C1027" t="s">
        <v>14</v>
      </c>
      <c r="D1027" t="s">
        <v>863</v>
      </c>
      <c r="E1027">
        <v>30</v>
      </c>
      <c r="F1027" t="s">
        <v>1255</v>
      </c>
      <c r="G1027">
        <v>2022</v>
      </c>
      <c r="H1027" t="s">
        <v>612</v>
      </c>
      <c r="I1027" t="s">
        <v>58</v>
      </c>
      <c r="J1027">
        <v>799</v>
      </c>
      <c r="K1027">
        <v>205</v>
      </c>
      <c r="L1027">
        <f t="shared" si="288"/>
        <v>594</v>
      </c>
      <c r="M1027">
        <v>240</v>
      </c>
      <c r="N1027">
        <f t="shared" si="289"/>
        <v>354</v>
      </c>
    </row>
    <row r="1028" spans="1:14" x14ac:dyDescent="0.2">
      <c r="A1028" t="s">
        <v>1588</v>
      </c>
      <c r="B1028" s="1" t="s">
        <v>1580</v>
      </c>
      <c r="C1028" t="s">
        <v>14</v>
      </c>
      <c r="D1028" t="s">
        <v>1589</v>
      </c>
      <c r="E1028">
        <v>29</v>
      </c>
      <c r="F1028" t="s">
        <v>1255</v>
      </c>
      <c r="G1028">
        <v>2022</v>
      </c>
      <c r="H1028" t="s">
        <v>1535</v>
      </c>
      <c r="I1028" t="s">
        <v>212</v>
      </c>
      <c r="J1028">
        <v>999</v>
      </c>
      <c r="K1028">
        <v>325</v>
      </c>
      <c r="L1028">
        <f t="shared" si="288"/>
        <v>674</v>
      </c>
      <c r="M1028">
        <v>240</v>
      </c>
      <c r="N1028">
        <f t="shared" si="289"/>
        <v>434</v>
      </c>
    </row>
    <row r="1029" spans="1:14" x14ac:dyDescent="0.2">
      <c r="A1029" t="s">
        <v>1578</v>
      </c>
      <c r="B1029" s="1" t="s">
        <v>1577</v>
      </c>
      <c r="C1029" t="s">
        <v>14</v>
      </c>
      <c r="D1029" t="s">
        <v>1193</v>
      </c>
      <c r="E1029">
        <v>30</v>
      </c>
      <c r="F1029" t="s">
        <v>1255</v>
      </c>
      <c r="G1029">
        <v>2022</v>
      </c>
      <c r="H1029" t="s">
        <v>1579</v>
      </c>
      <c r="I1029" t="s">
        <v>122</v>
      </c>
      <c r="J1029">
        <v>899</v>
      </c>
      <c r="K1029">
        <v>295</v>
      </c>
      <c r="L1029">
        <f t="shared" si="288"/>
        <v>604</v>
      </c>
      <c r="M1029">
        <v>240</v>
      </c>
      <c r="N1029">
        <f t="shared" si="289"/>
        <v>364</v>
      </c>
    </row>
    <row r="1030" spans="1:14" x14ac:dyDescent="0.2">
      <c r="A1030" t="s">
        <v>1590</v>
      </c>
      <c r="B1030" s="1" t="s">
        <v>1577</v>
      </c>
      <c r="C1030" t="s">
        <v>14</v>
      </c>
      <c r="D1030" t="s">
        <v>81</v>
      </c>
      <c r="E1030">
        <v>30</v>
      </c>
      <c r="F1030" t="s">
        <v>1255</v>
      </c>
      <c r="G1030">
        <v>2022</v>
      </c>
      <c r="H1030" t="s">
        <v>215</v>
      </c>
      <c r="I1030" t="s">
        <v>135</v>
      </c>
      <c r="J1030">
        <v>849</v>
      </c>
      <c r="K1030">
        <v>250</v>
      </c>
      <c r="L1030">
        <f t="shared" si="288"/>
        <v>599</v>
      </c>
      <c r="M1030">
        <v>240</v>
      </c>
      <c r="N1030">
        <f t="shared" si="289"/>
        <v>359</v>
      </c>
    </row>
    <row r="1031" spans="1:14" x14ac:dyDescent="0.2">
      <c r="A1031" t="s">
        <v>1591</v>
      </c>
      <c r="B1031" s="1" t="s">
        <v>1577</v>
      </c>
      <c r="C1031" t="s">
        <v>14</v>
      </c>
      <c r="D1031" t="s">
        <v>81</v>
      </c>
      <c r="E1031">
        <v>30</v>
      </c>
      <c r="F1031" t="s">
        <v>1255</v>
      </c>
      <c r="G1031">
        <v>2022</v>
      </c>
      <c r="H1031" t="s">
        <v>249</v>
      </c>
      <c r="I1031" t="s">
        <v>250</v>
      </c>
      <c r="J1031">
        <v>849</v>
      </c>
      <c r="K1031">
        <v>250</v>
      </c>
      <c r="L1031">
        <f t="shared" si="288"/>
        <v>599</v>
      </c>
      <c r="M1031">
        <v>240</v>
      </c>
      <c r="N1031">
        <f t="shared" si="289"/>
        <v>359</v>
      </c>
    </row>
    <row r="1032" spans="1:14" x14ac:dyDescent="0.2">
      <c r="A1032" t="s">
        <v>1592</v>
      </c>
      <c r="B1032" s="1" t="s">
        <v>1577</v>
      </c>
      <c r="C1032" t="s">
        <v>14</v>
      </c>
      <c r="D1032" t="s">
        <v>1508</v>
      </c>
      <c r="E1032">
        <v>30</v>
      </c>
      <c r="F1032" t="s">
        <v>1255</v>
      </c>
      <c r="G1032">
        <v>2022</v>
      </c>
      <c r="H1032" t="s">
        <v>1593</v>
      </c>
      <c r="I1032" t="s">
        <v>28</v>
      </c>
      <c r="J1032">
        <v>999</v>
      </c>
      <c r="K1032">
        <v>325</v>
      </c>
      <c r="L1032">
        <f t="shared" si="288"/>
        <v>674</v>
      </c>
      <c r="M1032">
        <v>240</v>
      </c>
      <c r="N1032">
        <f t="shared" si="289"/>
        <v>434</v>
      </c>
    </row>
    <row r="1033" spans="1:14" x14ac:dyDescent="0.2">
      <c r="A1033" t="s">
        <v>1595</v>
      </c>
      <c r="B1033" s="1" t="s">
        <v>1594</v>
      </c>
      <c r="C1033" t="s">
        <v>14</v>
      </c>
      <c r="D1033" t="s">
        <v>1171</v>
      </c>
      <c r="E1033">
        <v>31</v>
      </c>
      <c r="F1033" t="s">
        <v>1255</v>
      </c>
      <c r="G1033">
        <v>2022</v>
      </c>
      <c r="H1033" t="s">
        <v>157</v>
      </c>
      <c r="I1033" t="s">
        <v>97</v>
      </c>
      <c r="J1033">
        <v>799</v>
      </c>
      <c r="K1033">
        <v>205</v>
      </c>
      <c r="L1033">
        <f t="shared" si="288"/>
        <v>594</v>
      </c>
      <c r="M1033">
        <v>240</v>
      </c>
      <c r="N1033">
        <f t="shared" si="289"/>
        <v>354</v>
      </c>
    </row>
    <row r="1034" spans="1:14" x14ac:dyDescent="0.2">
      <c r="A1034" t="s">
        <v>1596</v>
      </c>
      <c r="B1034" s="1" t="s">
        <v>1594</v>
      </c>
      <c r="C1034" t="s">
        <v>14</v>
      </c>
      <c r="D1034" t="s">
        <v>1508</v>
      </c>
      <c r="E1034">
        <v>31</v>
      </c>
      <c r="F1034" t="s">
        <v>1255</v>
      </c>
      <c r="G1034">
        <v>2022</v>
      </c>
      <c r="H1034" t="s">
        <v>68</v>
      </c>
      <c r="I1034" t="s">
        <v>62</v>
      </c>
      <c r="J1034">
        <v>999</v>
      </c>
      <c r="K1034">
        <v>325</v>
      </c>
      <c r="L1034">
        <f t="shared" si="288"/>
        <v>674</v>
      </c>
      <c r="M1034">
        <v>240</v>
      </c>
      <c r="N1034">
        <f t="shared" si="289"/>
        <v>434</v>
      </c>
    </row>
    <row r="1035" spans="1:14" x14ac:dyDescent="0.2">
      <c r="A1035" t="s">
        <v>1597</v>
      </c>
      <c r="B1035" s="1" t="s">
        <v>1594</v>
      </c>
      <c r="C1035" t="s">
        <v>14</v>
      </c>
      <c r="D1035" t="s">
        <v>879</v>
      </c>
      <c r="E1035">
        <v>31</v>
      </c>
      <c r="F1035" t="s">
        <v>1255</v>
      </c>
      <c r="G1035">
        <v>2022</v>
      </c>
      <c r="H1035" t="s">
        <v>807</v>
      </c>
      <c r="I1035" t="s">
        <v>28</v>
      </c>
      <c r="J1035">
        <v>849</v>
      </c>
      <c r="K1035">
        <v>250</v>
      </c>
      <c r="L1035">
        <f t="shared" si="288"/>
        <v>599</v>
      </c>
      <c r="M1035">
        <v>240</v>
      </c>
      <c r="N1035">
        <f t="shared" si="289"/>
        <v>359</v>
      </c>
    </row>
    <row r="1036" spans="1:14" x14ac:dyDescent="0.2">
      <c r="A1036" t="s">
        <v>1598</v>
      </c>
      <c r="B1036" s="1" t="s">
        <v>1594</v>
      </c>
      <c r="C1036" t="s">
        <v>14</v>
      </c>
      <c r="D1036" t="s">
        <v>891</v>
      </c>
      <c r="E1036">
        <v>31</v>
      </c>
      <c r="F1036" t="s">
        <v>1255</v>
      </c>
      <c r="G1036">
        <v>2022</v>
      </c>
      <c r="H1036" t="s">
        <v>215</v>
      </c>
      <c r="I1036" t="s">
        <v>135</v>
      </c>
      <c r="J1036">
        <v>849</v>
      </c>
      <c r="K1036">
        <v>250</v>
      </c>
      <c r="L1036">
        <f t="shared" si="288"/>
        <v>599</v>
      </c>
      <c r="M1036">
        <v>240</v>
      </c>
      <c r="N1036">
        <f t="shared" si="289"/>
        <v>359</v>
      </c>
    </row>
    <row r="1037" spans="1:14" x14ac:dyDescent="0.2">
      <c r="A1037" t="s">
        <v>1599</v>
      </c>
      <c r="B1037" s="1" t="s">
        <v>1594</v>
      </c>
      <c r="C1037" t="s">
        <v>14</v>
      </c>
      <c r="D1037" t="s">
        <v>1377</v>
      </c>
      <c r="E1037">
        <v>31</v>
      </c>
      <c r="F1037" t="s">
        <v>1255</v>
      </c>
      <c r="G1037">
        <v>2022</v>
      </c>
      <c r="H1037" t="s">
        <v>157</v>
      </c>
      <c r="I1037" t="s">
        <v>97</v>
      </c>
      <c r="J1037">
        <v>799</v>
      </c>
      <c r="K1037">
        <v>205</v>
      </c>
      <c r="L1037">
        <f t="shared" si="288"/>
        <v>594</v>
      </c>
      <c r="M1037">
        <v>240</v>
      </c>
      <c r="N1037">
        <f t="shared" si="289"/>
        <v>354</v>
      </c>
    </row>
    <row r="1038" spans="1:14" x14ac:dyDescent="0.2">
      <c r="A1038" t="s">
        <v>1600</v>
      </c>
      <c r="B1038" s="1" t="s">
        <v>1594</v>
      </c>
      <c r="C1038" t="s">
        <v>14</v>
      </c>
      <c r="D1038" t="s">
        <v>822</v>
      </c>
      <c r="E1038">
        <v>31</v>
      </c>
      <c r="F1038" t="s">
        <v>1255</v>
      </c>
      <c r="G1038">
        <v>2022</v>
      </c>
      <c r="H1038" t="s">
        <v>157</v>
      </c>
      <c r="I1038" t="s">
        <v>97</v>
      </c>
      <c r="J1038">
        <v>849</v>
      </c>
      <c r="K1038">
        <v>250</v>
      </c>
      <c r="L1038">
        <f t="shared" si="288"/>
        <v>599</v>
      </c>
      <c r="M1038">
        <v>240</v>
      </c>
      <c r="N1038">
        <f t="shared" si="289"/>
        <v>359</v>
      </c>
    </row>
    <row r="1039" spans="1:14" x14ac:dyDescent="0.2">
      <c r="A1039" t="s">
        <v>1601</v>
      </c>
      <c r="B1039" s="1" t="s">
        <v>1594</v>
      </c>
      <c r="C1039" t="s">
        <v>14</v>
      </c>
      <c r="D1039" t="s">
        <v>1089</v>
      </c>
      <c r="E1039">
        <v>31</v>
      </c>
      <c r="F1039" t="s">
        <v>1255</v>
      </c>
      <c r="G1039">
        <v>2022</v>
      </c>
      <c r="H1039" t="s">
        <v>170</v>
      </c>
      <c r="I1039" t="s">
        <v>171</v>
      </c>
      <c r="J1039">
        <v>799</v>
      </c>
      <c r="K1039">
        <v>205</v>
      </c>
      <c r="L1039">
        <f t="shared" si="288"/>
        <v>594</v>
      </c>
      <c r="M1039">
        <v>240</v>
      </c>
      <c r="N1039">
        <f t="shared" si="289"/>
        <v>354</v>
      </c>
    </row>
    <row r="1040" spans="1:14" x14ac:dyDescent="0.2">
      <c r="A1040" t="s">
        <v>1602</v>
      </c>
      <c r="B1040" s="1" t="s">
        <v>1594</v>
      </c>
      <c r="C1040" t="s">
        <v>14</v>
      </c>
      <c r="D1040" t="s">
        <v>81</v>
      </c>
      <c r="E1040">
        <v>31</v>
      </c>
      <c r="F1040" t="s">
        <v>1255</v>
      </c>
      <c r="G1040">
        <v>2022</v>
      </c>
      <c r="H1040" t="s">
        <v>104</v>
      </c>
      <c r="I1040" t="s">
        <v>62</v>
      </c>
      <c r="J1040">
        <v>849</v>
      </c>
      <c r="K1040">
        <v>250</v>
      </c>
      <c r="L1040">
        <f t="shared" si="288"/>
        <v>599</v>
      </c>
      <c r="M1040">
        <v>240</v>
      </c>
      <c r="N1040">
        <f t="shared" si="289"/>
        <v>359</v>
      </c>
    </row>
    <row r="1041" spans="1:14" x14ac:dyDescent="0.2">
      <c r="A1041" t="s">
        <v>1194</v>
      </c>
      <c r="B1041" s="1" t="s">
        <v>1172</v>
      </c>
      <c r="C1041" t="s">
        <v>106</v>
      </c>
      <c r="D1041" t="s">
        <v>548</v>
      </c>
      <c r="E1041">
        <v>27</v>
      </c>
      <c r="F1041" t="s">
        <v>857</v>
      </c>
      <c r="G1041">
        <v>2022</v>
      </c>
      <c r="H1041" t="s">
        <v>1195</v>
      </c>
      <c r="I1041" t="s">
        <v>62</v>
      </c>
      <c r="J1041">
        <v>-899</v>
      </c>
      <c r="K1041">
        <v>375</v>
      </c>
      <c r="L1041">
        <f t="shared" ref="L1041:L1087" si="290">J1041+K1041</f>
        <v>-524</v>
      </c>
      <c r="M1041">
        <v>240</v>
      </c>
      <c r="N1041">
        <f t="shared" ref="N1041:N1087" si="291">L1041+M1041</f>
        <v>-284</v>
      </c>
    </row>
    <row r="1042" spans="1:14" x14ac:dyDescent="0.2">
      <c r="A1042" t="s">
        <v>1114</v>
      </c>
      <c r="B1042" s="1" t="s">
        <v>1072</v>
      </c>
      <c r="C1042" t="s">
        <v>106</v>
      </c>
      <c r="D1042" t="s">
        <v>891</v>
      </c>
      <c r="E1042">
        <v>24</v>
      </c>
      <c r="F1042" t="s">
        <v>857</v>
      </c>
      <c r="G1042">
        <v>2022</v>
      </c>
      <c r="H1042" t="s">
        <v>1115</v>
      </c>
      <c r="I1042" t="s">
        <v>135</v>
      </c>
      <c r="J1042">
        <v>-849</v>
      </c>
      <c r="K1042">
        <v>345</v>
      </c>
      <c r="L1042">
        <f t="shared" si="290"/>
        <v>-504</v>
      </c>
      <c r="M1042">
        <v>240</v>
      </c>
      <c r="N1042">
        <f t="shared" si="291"/>
        <v>-264</v>
      </c>
    </row>
    <row r="1043" spans="1:14" x14ac:dyDescent="0.2">
      <c r="A1043" t="s">
        <v>1132</v>
      </c>
      <c r="B1043" s="1" t="s">
        <v>1072</v>
      </c>
      <c r="C1043" t="s">
        <v>106</v>
      </c>
      <c r="D1043" t="s">
        <v>81</v>
      </c>
      <c r="E1043">
        <v>24</v>
      </c>
      <c r="F1043" t="s">
        <v>857</v>
      </c>
      <c r="G1043">
        <v>2022</v>
      </c>
      <c r="H1043" t="s">
        <v>235</v>
      </c>
      <c r="I1043" t="s">
        <v>62</v>
      </c>
      <c r="J1043">
        <v>-849</v>
      </c>
      <c r="K1043">
        <v>345</v>
      </c>
      <c r="L1043">
        <f t="shared" si="290"/>
        <v>-504</v>
      </c>
      <c r="M1043">
        <v>240</v>
      </c>
      <c r="N1043">
        <f t="shared" si="291"/>
        <v>-264</v>
      </c>
    </row>
    <row r="1044" spans="1:14" x14ac:dyDescent="0.2">
      <c r="A1044" t="s">
        <v>1229</v>
      </c>
      <c r="B1044" s="1" t="s">
        <v>1180</v>
      </c>
      <c r="C1044" t="s">
        <v>106</v>
      </c>
      <c r="D1044" t="s">
        <v>484</v>
      </c>
      <c r="E1044">
        <v>29</v>
      </c>
      <c r="F1044" t="s">
        <v>857</v>
      </c>
      <c r="G1044">
        <v>2022</v>
      </c>
      <c r="H1044" t="s">
        <v>1230</v>
      </c>
      <c r="I1044" t="s">
        <v>28</v>
      </c>
      <c r="J1044">
        <v>-799</v>
      </c>
      <c r="K1044">
        <v>320</v>
      </c>
      <c r="L1044">
        <f t="shared" si="290"/>
        <v>-479</v>
      </c>
      <c r="M1044">
        <v>240</v>
      </c>
      <c r="N1044">
        <f t="shared" si="291"/>
        <v>-239</v>
      </c>
    </row>
    <row r="1045" spans="1:14" x14ac:dyDescent="0.2">
      <c r="A1045" t="s">
        <v>1181</v>
      </c>
      <c r="B1045" s="1" t="s">
        <v>1180</v>
      </c>
      <c r="C1045" t="s">
        <v>106</v>
      </c>
      <c r="D1045" t="s">
        <v>1182</v>
      </c>
      <c r="E1045">
        <v>29</v>
      </c>
      <c r="F1045" t="s">
        <v>857</v>
      </c>
      <c r="G1045">
        <v>2022</v>
      </c>
      <c r="H1045" t="s">
        <v>170</v>
      </c>
      <c r="I1045" t="s">
        <v>171</v>
      </c>
      <c r="J1045">
        <v>-799</v>
      </c>
      <c r="K1045">
        <v>320</v>
      </c>
      <c r="L1045">
        <f t="shared" si="290"/>
        <v>-479</v>
      </c>
      <c r="M1045">
        <v>240</v>
      </c>
      <c r="N1045">
        <f t="shared" si="291"/>
        <v>-239</v>
      </c>
    </row>
    <row r="1046" spans="1:14" x14ac:dyDescent="0.2">
      <c r="A1046" t="s">
        <v>1131</v>
      </c>
      <c r="B1046" s="1" t="s">
        <v>1072</v>
      </c>
      <c r="C1046" t="s">
        <v>106</v>
      </c>
      <c r="D1046" t="s">
        <v>819</v>
      </c>
      <c r="E1046">
        <v>24</v>
      </c>
      <c r="F1046" t="s">
        <v>857</v>
      </c>
      <c r="G1046">
        <v>2022</v>
      </c>
      <c r="H1046" t="s">
        <v>49</v>
      </c>
      <c r="I1046" t="s">
        <v>32</v>
      </c>
      <c r="J1046">
        <v>-999</v>
      </c>
      <c r="K1046">
        <v>395</v>
      </c>
      <c r="L1046">
        <f t="shared" si="290"/>
        <v>-604</v>
      </c>
      <c r="M1046">
        <v>240</v>
      </c>
      <c r="N1046">
        <f t="shared" si="291"/>
        <v>-364</v>
      </c>
    </row>
    <row r="1047" spans="1:14" x14ac:dyDescent="0.2">
      <c r="A1047" t="s">
        <v>1140</v>
      </c>
      <c r="B1047" s="1" t="s">
        <v>1072</v>
      </c>
      <c r="C1047" t="s">
        <v>106</v>
      </c>
      <c r="D1047" t="s">
        <v>1141</v>
      </c>
      <c r="E1047">
        <v>24</v>
      </c>
      <c r="F1047" t="s">
        <v>857</v>
      </c>
      <c r="G1047">
        <v>2022</v>
      </c>
      <c r="H1047" t="s">
        <v>1142</v>
      </c>
      <c r="I1047" t="s">
        <v>163</v>
      </c>
      <c r="J1047">
        <v>-799</v>
      </c>
      <c r="K1047">
        <v>320</v>
      </c>
      <c r="L1047">
        <f t="shared" si="290"/>
        <v>-479</v>
      </c>
      <c r="M1047">
        <v>240</v>
      </c>
      <c r="N1047">
        <f t="shared" si="291"/>
        <v>-239</v>
      </c>
    </row>
    <row r="1048" spans="1:14" x14ac:dyDescent="0.2">
      <c r="A1048" t="s">
        <v>1170</v>
      </c>
      <c r="B1048" s="1" t="s">
        <v>1116</v>
      </c>
      <c r="C1048" t="s">
        <v>106</v>
      </c>
      <c r="D1048" t="s">
        <v>1171</v>
      </c>
      <c r="E1048">
        <v>26</v>
      </c>
      <c r="F1048" t="s">
        <v>857</v>
      </c>
      <c r="G1048">
        <v>2022</v>
      </c>
      <c r="H1048" t="s">
        <v>157</v>
      </c>
      <c r="I1048" t="s">
        <v>97</v>
      </c>
      <c r="J1048">
        <v>-799</v>
      </c>
      <c r="K1048">
        <v>320</v>
      </c>
      <c r="L1048">
        <f t="shared" si="290"/>
        <v>-479</v>
      </c>
      <c r="M1048">
        <v>240</v>
      </c>
      <c r="N1048">
        <f t="shared" si="291"/>
        <v>-239</v>
      </c>
    </row>
    <row r="1049" spans="1:14" x14ac:dyDescent="0.2">
      <c r="A1049" t="s">
        <v>1133</v>
      </c>
      <c r="B1049" s="1" t="s">
        <v>1072</v>
      </c>
      <c r="C1049" t="s">
        <v>106</v>
      </c>
      <c r="D1049" t="s">
        <v>840</v>
      </c>
      <c r="E1049">
        <v>24</v>
      </c>
      <c r="F1049" t="s">
        <v>857</v>
      </c>
      <c r="G1049">
        <v>2022</v>
      </c>
      <c r="H1049" t="s">
        <v>802</v>
      </c>
      <c r="I1049" t="s">
        <v>23</v>
      </c>
      <c r="J1049">
        <v>-999</v>
      </c>
      <c r="K1049">
        <v>395</v>
      </c>
      <c r="L1049">
        <f t="shared" si="290"/>
        <v>-604</v>
      </c>
      <c r="M1049">
        <v>240</v>
      </c>
      <c r="N1049">
        <f t="shared" si="291"/>
        <v>-364</v>
      </c>
    </row>
    <row r="1050" spans="1:14" x14ac:dyDescent="0.2">
      <c r="A1050" t="s">
        <v>1149</v>
      </c>
      <c r="B1050" s="1" t="s">
        <v>1103</v>
      </c>
      <c r="C1050" t="s">
        <v>106</v>
      </c>
      <c r="D1050" t="s">
        <v>81</v>
      </c>
      <c r="E1050">
        <v>25</v>
      </c>
      <c r="F1050" t="s">
        <v>857</v>
      </c>
      <c r="G1050">
        <v>2022</v>
      </c>
      <c r="H1050" t="s">
        <v>1150</v>
      </c>
      <c r="I1050" t="s">
        <v>28</v>
      </c>
      <c r="J1050">
        <v>-849</v>
      </c>
      <c r="K1050">
        <v>345</v>
      </c>
      <c r="L1050">
        <f t="shared" si="290"/>
        <v>-504</v>
      </c>
      <c r="M1050">
        <v>240</v>
      </c>
      <c r="N1050">
        <f t="shared" si="291"/>
        <v>-264</v>
      </c>
    </row>
    <row r="1051" spans="1:14" x14ac:dyDescent="0.2">
      <c r="A1051" t="s">
        <v>1214</v>
      </c>
      <c r="B1051" s="1" t="s">
        <v>1180</v>
      </c>
      <c r="C1051" t="s">
        <v>106</v>
      </c>
      <c r="D1051" t="s">
        <v>1215</v>
      </c>
      <c r="E1051">
        <v>29</v>
      </c>
      <c r="F1051" t="s">
        <v>857</v>
      </c>
      <c r="G1051">
        <v>2022</v>
      </c>
      <c r="H1051" t="s">
        <v>1216</v>
      </c>
      <c r="I1051" t="s">
        <v>32</v>
      </c>
      <c r="J1051">
        <v>-799</v>
      </c>
      <c r="K1051">
        <v>320</v>
      </c>
      <c r="L1051">
        <f t="shared" si="290"/>
        <v>-479</v>
      </c>
      <c r="M1051">
        <v>240</v>
      </c>
      <c r="N1051">
        <f t="shared" si="291"/>
        <v>-239</v>
      </c>
    </row>
    <row r="1052" spans="1:14" x14ac:dyDescent="0.2">
      <c r="A1052" t="s">
        <v>1120</v>
      </c>
      <c r="B1052" s="1" t="s">
        <v>1072</v>
      </c>
      <c r="C1052" t="s">
        <v>106</v>
      </c>
      <c r="D1052" t="s">
        <v>117</v>
      </c>
      <c r="E1052">
        <v>24</v>
      </c>
      <c r="F1052" t="s">
        <v>857</v>
      </c>
      <c r="G1052">
        <v>2022</v>
      </c>
      <c r="H1052" t="s">
        <v>1121</v>
      </c>
      <c r="I1052" t="s">
        <v>122</v>
      </c>
      <c r="J1052">
        <v>-899</v>
      </c>
      <c r="K1052">
        <v>375</v>
      </c>
      <c r="L1052">
        <f t="shared" si="290"/>
        <v>-524</v>
      </c>
      <c r="M1052">
        <v>240</v>
      </c>
      <c r="N1052">
        <f t="shared" si="291"/>
        <v>-284</v>
      </c>
    </row>
    <row r="1053" spans="1:14" x14ac:dyDescent="0.2">
      <c r="A1053" t="s">
        <v>1130</v>
      </c>
      <c r="B1053" s="1" t="s">
        <v>1072</v>
      </c>
      <c r="C1053" t="s">
        <v>106</v>
      </c>
      <c r="D1053" t="s">
        <v>809</v>
      </c>
      <c r="E1053">
        <v>24</v>
      </c>
      <c r="F1053" t="s">
        <v>857</v>
      </c>
      <c r="G1053">
        <v>2022</v>
      </c>
      <c r="H1053" t="s">
        <v>314</v>
      </c>
      <c r="I1053" t="s">
        <v>58</v>
      </c>
      <c r="J1053">
        <v>-999</v>
      </c>
      <c r="K1053">
        <v>395</v>
      </c>
      <c r="L1053">
        <f t="shared" si="290"/>
        <v>-604</v>
      </c>
      <c r="M1053">
        <v>240</v>
      </c>
      <c r="N1053">
        <f t="shared" si="291"/>
        <v>-364</v>
      </c>
    </row>
    <row r="1054" spans="1:14" x14ac:dyDescent="0.2">
      <c r="A1054" t="s">
        <v>1122</v>
      </c>
      <c r="B1054" s="1" t="s">
        <v>1072</v>
      </c>
      <c r="C1054" t="s">
        <v>106</v>
      </c>
      <c r="D1054" t="s">
        <v>801</v>
      </c>
      <c r="E1054">
        <v>24</v>
      </c>
      <c r="F1054" t="s">
        <v>857</v>
      </c>
      <c r="G1054">
        <v>2022</v>
      </c>
      <c r="H1054" t="s">
        <v>235</v>
      </c>
      <c r="I1054" t="s">
        <v>62</v>
      </c>
      <c r="J1054">
        <v>-849</v>
      </c>
      <c r="K1054">
        <v>345</v>
      </c>
      <c r="L1054">
        <f t="shared" si="290"/>
        <v>-504</v>
      </c>
      <c r="M1054">
        <v>240</v>
      </c>
      <c r="N1054">
        <f t="shared" si="291"/>
        <v>-264</v>
      </c>
    </row>
    <row r="1055" spans="1:14" x14ac:dyDescent="0.2">
      <c r="A1055" t="s">
        <v>1232</v>
      </c>
      <c r="B1055" s="1" t="s">
        <v>1180</v>
      </c>
      <c r="C1055" t="s">
        <v>106</v>
      </c>
      <c r="D1055" t="s">
        <v>1233</v>
      </c>
      <c r="E1055">
        <v>29</v>
      </c>
      <c r="F1055" t="s">
        <v>857</v>
      </c>
      <c r="G1055">
        <v>2022</v>
      </c>
      <c r="H1055" t="s">
        <v>272</v>
      </c>
      <c r="I1055" t="s">
        <v>23</v>
      </c>
      <c r="J1055">
        <v>-799</v>
      </c>
      <c r="K1055">
        <v>320</v>
      </c>
      <c r="L1055">
        <f t="shared" si="290"/>
        <v>-479</v>
      </c>
      <c r="M1055">
        <v>240</v>
      </c>
      <c r="N1055">
        <f t="shared" si="291"/>
        <v>-239</v>
      </c>
    </row>
    <row r="1056" spans="1:14" x14ac:dyDescent="0.2">
      <c r="A1056" t="s">
        <v>1160</v>
      </c>
      <c r="B1056" s="1" t="s">
        <v>1103</v>
      </c>
      <c r="C1056" t="s">
        <v>106</v>
      </c>
      <c r="D1056" t="s">
        <v>504</v>
      </c>
      <c r="E1056">
        <v>25</v>
      </c>
      <c r="F1056" t="s">
        <v>857</v>
      </c>
      <c r="G1056">
        <v>2022</v>
      </c>
      <c r="H1056" t="s">
        <v>246</v>
      </c>
      <c r="I1056" t="s">
        <v>58</v>
      </c>
      <c r="J1056">
        <v>-899</v>
      </c>
      <c r="K1056">
        <v>375</v>
      </c>
      <c r="L1056">
        <f t="shared" si="290"/>
        <v>-524</v>
      </c>
      <c r="M1056">
        <v>240</v>
      </c>
      <c r="N1056">
        <f t="shared" si="291"/>
        <v>-284</v>
      </c>
    </row>
    <row r="1057" spans="1:14" x14ac:dyDescent="0.2">
      <c r="A1057" t="s">
        <v>1238</v>
      </c>
      <c r="B1057" s="1" t="s">
        <v>1180</v>
      </c>
      <c r="C1057" t="s">
        <v>106</v>
      </c>
      <c r="D1057" t="s">
        <v>81</v>
      </c>
      <c r="E1057">
        <v>29</v>
      </c>
      <c r="F1057" t="s">
        <v>857</v>
      </c>
      <c r="G1057">
        <v>2022</v>
      </c>
      <c r="H1057" t="s">
        <v>260</v>
      </c>
      <c r="I1057" t="s">
        <v>28</v>
      </c>
      <c r="J1057">
        <v>-849</v>
      </c>
      <c r="K1057">
        <v>345</v>
      </c>
      <c r="L1057">
        <f t="shared" si="290"/>
        <v>-504</v>
      </c>
      <c r="M1057">
        <v>240</v>
      </c>
      <c r="N1057">
        <f t="shared" si="291"/>
        <v>-264</v>
      </c>
    </row>
    <row r="1058" spans="1:14" x14ac:dyDescent="0.2">
      <c r="A1058" t="s">
        <v>1139</v>
      </c>
      <c r="B1058" s="1" t="s">
        <v>1072</v>
      </c>
      <c r="C1058" t="s">
        <v>106</v>
      </c>
      <c r="D1058" t="s">
        <v>893</v>
      </c>
      <c r="E1058">
        <v>24</v>
      </c>
      <c r="F1058" t="s">
        <v>857</v>
      </c>
      <c r="G1058">
        <v>2022</v>
      </c>
      <c r="H1058" t="s">
        <v>157</v>
      </c>
      <c r="I1058" t="s">
        <v>97</v>
      </c>
      <c r="J1058">
        <v>-849</v>
      </c>
      <c r="K1058">
        <v>345</v>
      </c>
      <c r="L1058">
        <f t="shared" si="290"/>
        <v>-504</v>
      </c>
      <c r="M1058">
        <v>240</v>
      </c>
      <c r="N1058">
        <f t="shared" si="291"/>
        <v>-264</v>
      </c>
    </row>
    <row r="1059" spans="1:14" x14ac:dyDescent="0.2">
      <c r="A1059" t="s">
        <v>1236</v>
      </c>
      <c r="B1059" s="1" t="s">
        <v>1226</v>
      </c>
      <c r="C1059" t="s">
        <v>106</v>
      </c>
      <c r="D1059" t="s">
        <v>1089</v>
      </c>
      <c r="E1059">
        <v>31</v>
      </c>
      <c r="F1059" t="s">
        <v>857</v>
      </c>
      <c r="G1059">
        <v>2022</v>
      </c>
      <c r="H1059" t="s">
        <v>211</v>
      </c>
      <c r="I1059" t="s">
        <v>212</v>
      </c>
      <c r="J1059">
        <v>-799</v>
      </c>
      <c r="K1059">
        <v>320</v>
      </c>
      <c r="L1059">
        <f t="shared" si="290"/>
        <v>-479</v>
      </c>
      <c r="M1059">
        <v>240</v>
      </c>
      <c r="N1059">
        <f t="shared" si="291"/>
        <v>-239</v>
      </c>
    </row>
    <row r="1060" spans="1:14" x14ac:dyDescent="0.2">
      <c r="A1060" t="s">
        <v>1222</v>
      </c>
      <c r="B1060" s="1" t="s">
        <v>1172</v>
      </c>
      <c r="C1060" t="s">
        <v>106</v>
      </c>
      <c r="D1060" t="s">
        <v>284</v>
      </c>
      <c r="E1060">
        <v>27</v>
      </c>
      <c r="F1060" t="s">
        <v>857</v>
      </c>
      <c r="G1060">
        <v>2022</v>
      </c>
      <c r="H1060" t="s">
        <v>449</v>
      </c>
      <c r="I1060" t="s">
        <v>97</v>
      </c>
      <c r="J1060">
        <v>-899</v>
      </c>
      <c r="K1060">
        <v>375</v>
      </c>
      <c r="L1060">
        <f t="shared" si="290"/>
        <v>-524</v>
      </c>
      <c r="M1060">
        <v>240</v>
      </c>
      <c r="N1060">
        <f t="shared" si="291"/>
        <v>-284</v>
      </c>
    </row>
    <row r="1061" spans="1:14" x14ac:dyDescent="0.2">
      <c r="A1061" t="s">
        <v>1134</v>
      </c>
      <c r="B1061" s="1" t="s">
        <v>1072</v>
      </c>
      <c r="C1061" t="s">
        <v>106</v>
      </c>
      <c r="D1061" t="s">
        <v>548</v>
      </c>
      <c r="E1061">
        <v>24</v>
      </c>
      <c r="F1061" t="s">
        <v>857</v>
      </c>
      <c r="G1061">
        <v>2022</v>
      </c>
      <c r="H1061" t="s">
        <v>246</v>
      </c>
      <c r="I1061" t="s">
        <v>58</v>
      </c>
      <c r="J1061">
        <v>-899</v>
      </c>
      <c r="K1061">
        <v>375</v>
      </c>
      <c r="L1061">
        <f t="shared" si="290"/>
        <v>-524</v>
      </c>
      <c r="M1061">
        <v>240</v>
      </c>
      <c r="N1061">
        <f t="shared" si="291"/>
        <v>-284</v>
      </c>
    </row>
    <row r="1062" spans="1:14" x14ac:dyDescent="0.2">
      <c r="A1062" t="s">
        <v>1205</v>
      </c>
      <c r="B1062" s="1" t="s">
        <v>1180</v>
      </c>
      <c r="C1062" t="s">
        <v>106</v>
      </c>
      <c r="D1062" t="s">
        <v>448</v>
      </c>
      <c r="E1062">
        <v>29</v>
      </c>
      <c r="F1062" t="s">
        <v>857</v>
      </c>
      <c r="G1062">
        <v>2022</v>
      </c>
      <c r="H1062" t="s">
        <v>670</v>
      </c>
      <c r="I1062" t="s">
        <v>122</v>
      </c>
      <c r="J1062">
        <v>-899</v>
      </c>
      <c r="K1062">
        <v>375</v>
      </c>
      <c r="L1062">
        <f t="shared" si="290"/>
        <v>-524</v>
      </c>
      <c r="M1062">
        <v>240</v>
      </c>
      <c r="N1062">
        <f t="shared" si="291"/>
        <v>-284</v>
      </c>
    </row>
    <row r="1063" spans="1:14" x14ac:dyDescent="0.2">
      <c r="A1063" t="s">
        <v>1220</v>
      </c>
      <c r="B1063" s="1" t="s">
        <v>1172</v>
      </c>
      <c r="C1063" t="s">
        <v>106</v>
      </c>
      <c r="D1063" t="s">
        <v>812</v>
      </c>
      <c r="E1063">
        <v>27</v>
      </c>
      <c r="F1063" t="s">
        <v>857</v>
      </c>
      <c r="G1063">
        <v>2022</v>
      </c>
      <c r="H1063" t="s">
        <v>1221</v>
      </c>
      <c r="I1063" t="s">
        <v>28</v>
      </c>
      <c r="J1063">
        <v>-999</v>
      </c>
      <c r="K1063">
        <v>395</v>
      </c>
      <c r="L1063">
        <f t="shared" si="290"/>
        <v>-604</v>
      </c>
      <c r="M1063">
        <v>240</v>
      </c>
      <c r="N1063">
        <f t="shared" si="291"/>
        <v>-364</v>
      </c>
    </row>
    <row r="1064" spans="1:14" x14ac:dyDescent="0.2">
      <c r="A1064" t="s">
        <v>1246</v>
      </c>
      <c r="B1064" s="1" t="s">
        <v>1226</v>
      </c>
      <c r="C1064" t="s">
        <v>106</v>
      </c>
      <c r="D1064" t="s">
        <v>169</v>
      </c>
      <c r="E1064">
        <v>31</v>
      </c>
      <c r="F1064" t="s">
        <v>857</v>
      </c>
      <c r="G1064">
        <v>2022</v>
      </c>
      <c r="H1064" t="s">
        <v>1247</v>
      </c>
      <c r="I1064" t="s">
        <v>62</v>
      </c>
      <c r="J1064">
        <v>-799</v>
      </c>
      <c r="K1064">
        <v>320</v>
      </c>
      <c r="L1064">
        <f t="shared" si="290"/>
        <v>-479</v>
      </c>
      <c r="M1064">
        <v>240</v>
      </c>
      <c r="N1064">
        <f t="shared" si="291"/>
        <v>-239</v>
      </c>
    </row>
    <row r="1065" spans="1:14" x14ac:dyDescent="0.2">
      <c r="A1065" t="s">
        <v>1208</v>
      </c>
      <c r="B1065" s="1" t="s">
        <v>1172</v>
      </c>
      <c r="C1065" t="s">
        <v>106</v>
      </c>
      <c r="D1065" t="s">
        <v>957</v>
      </c>
      <c r="E1065">
        <v>27</v>
      </c>
      <c r="F1065" t="s">
        <v>857</v>
      </c>
      <c r="G1065">
        <v>2022</v>
      </c>
      <c r="H1065" t="s">
        <v>157</v>
      </c>
      <c r="I1065" t="s">
        <v>97</v>
      </c>
      <c r="J1065">
        <v>-799</v>
      </c>
      <c r="K1065">
        <v>320</v>
      </c>
      <c r="L1065">
        <f t="shared" si="290"/>
        <v>-479</v>
      </c>
      <c r="M1065">
        <v>240</v>
      </c>
      <c r="N1065">
        <f t="shared" si="291"/>
        <v>-239</v>
      </c>
    </row>
    <row r="1066" spans="1:14" x14ac:dyDescent="0.2">
      <c r="A1066" t="s">
        <v>1196</v>
      </c>
      <c r="B1066" s="1" t="s">
        <v>1172</v>
      </c>
      <c r="C1066" t="s">
        <v>106</v>
      </c>
      <c r="D1066" t="s">
        <v>989</v>
      </c>
      <c r="E1066">
        <v>27</v>
      </c>
      <c r="F1066" t="s">
        <v>857</v>
      </c>
      <c r="G1066">
        <v>2022</v>
      </c>
      <c r="H1066" t="s">
        <v>1197</v>
      </c>
      <c r="I1066" t="s">
        <v>28</v>
      </c>
      <c r="J1066">
        <v>-799</v>
      </c>
      <c r="K1066">
        <v>320</v>
      </c>
      <c r="L1066">
        <f t="shared" si="290"/>
        <v>-479</v>
      </c>
      <c r="M1066">
        <v>240</v>
      </c>
      <c r="N1066">
        <f t="shared" si="291"/>
        <v>-239</v>
      </c>
    </row>
    <row r="1067" spans="1:14" x14ac:dyDescent="0.2">
      <c r="A1067" t="s">
        <v>1026</v>
      </c>
      <c r="B1067" s="1" t="s">
        <v>1019</v>
      </c>
      <c r="C1067" t="s">
        <v>106</v>
      </c>
      <c r="D1067" t="s">
        <v>81</v>
      </c>
      <c r="E1067">
        <v>18</v>
      </c>
      <c r="F1067" t="s">
        <v>857</v>
      </c>
      <c r="G1067">
        <v>2022</v>
      </c>
      <c r="H1067" t="s">
        <v>104</v>
      </c>
      <c r="I1067" t="s">
        <v>62</v>
      </c>
      <c r="J1067">
        <v>-849</v>
      </c>
      <c r="K1067">
        <v>345</v>
      </c>
      <c r="L1067">
        <f t="shared" si="290"/>
        <v>-504</v>
      </c>
      <c r="M1067">
        <v>240</v>
      </c>
      <c r="N1067">
        <f t="shared" si="291"/>
        <v>-264</v>
      </c>
    </row>
    <row r="1068" spans="1:14" x14ac:dyDescent="0.2">
      <c r="A1068" t="s">
        <v>1079</v>
      </c>
      <c r="B1068" s="1" t="s">
        <v>1062</v>
      </c>
      <c r="C1068" t="s">
        <v>106</v>
      </c>
      <c r="D1068" t="s">
        <v>445</v>
      </c>
      <c r="E1068">
        <v>23</v>
      </c>
      <c r="F1068" t="s">
        <v>857</v>
      </c>
      <c r="G1068">
        <v>2022</v>
      </c>
      <c r="H1068" t="s">
        <v>1080</v>
      </c>
      <c r="I1068" t="s">
        <v>455</v>
      </c>
      <c r="J1068">
        <v>-999</v>
      </c>
      <c r="K1068">
        <v>395</v>
      </c>
      <c r="L1068">
        <f t="shared" si="290"/>
        <v>-604</v>
      </c>
      <c r="M1068">
        <v>240</v>
      </c>
      <c r="N1068">
        <f t="shared" si="291"/>
        <v>-364</v>
      </c>
    </row>
    <row r="1069" spans="1:14" x14ac:dyDescent="0.2">
      <c r="A1069" t="s">
        <v>1231</v>
      </c>
      <c r="B1069" s="1" t="s">
        <v>1223</v>
      </c>
      <c r="C1069" t="s">
        <v>106</v>
      </c>
      <c r="D1069" t="s">
        <v>380</v>
      </c>
      <c r="E1069">
        <v>30</v>
      </c>
      <c r="F1069" t="s">
        <v>857</v>
      </c>
      <c r="G1069">
        <v>2022</v>
      </c>
      <c r="H1069" t="s">
        <v>796</v>
      </c>
      <c r="I1069" t="s">
        <v>58</v>
      </c>
      <c r="J1069">
        <v>-849</v>
      </c>
      <c r="K1069">
        <v>345</v>
      </c>
      <c r="L1069">
        <f t="shared" si="290"/>
        <v>-504</v>
      </c>
      <c r="M1069">
        <v>240</v>
      </c>
      <c r="N1069">
        <f t="shared" si="291"/>
        <v>-264</v>
      </c>
    </row>
    <row r="1070" spans="1:14" x14ac:dyDescent="0.2">
      <c r="A1070" t="s">
        <v>1536</v>
      </c>
      <c r="B1070" s="1" t="s">
        <v>1546</v>
      </c>
      <c r="C1070" t="s">
        <v>106</v>
      </c>
      <c r="D1070" t="s">
        <v>890</v>
      </c>
      <c r="E1070">
        <v>27</v>
      </c>
      <c r="F1070" t="s">
        <v>1255</v>
      </c>
      <c r="G1070">
        <v>2022</v>
      </c>
      <c r="H1070" t="s">
        <v>170</v>
      </c>
      <c r="I1070" t="s">
        <v>171</v>
      </c>
      <c r="J1070">
        <v>-849</v>
      </c>
      <c r="K1070">
        <v>345</v>
      </c>
      <c r="L1070">
        <f t="shared" si="290"/>
        <v>-504</v>
      </c>
      <c r="M1070">
        <v>240</v>
      </c>
      <c r="N1070">
        <f t="shared" si="291"/>
        <v>-264</v>
      </c>
    </row>
    <row r="1071" spans="1:14" x14ac:dyDescent="0.2">
      <c r="A1071" t="s">
        <v>1491</v>
      </c>
      <c r="B1071" s="1" t="s">
        <v>1466</v>
      </c>
      <c r="C1071" t="s">
        <v>106</v>
      </c>
      <c r="D1071" t="s">
        <v>1402</v>
      </c>
      <c r="E1071">
        <v>21</v>
      </c>
      <c r="F1071" t="s">
        <v>1255</v>
      </c>
      <c r="G1071">
        <v>2022</v>
      </c>
      <c r="H1071" t="s">
        <v>807</v>
      </c>
      <c r="I1071" t="s">
        <v>28</v>
      </c>
      <c r="J1071">
        <v>-849</v>
      </c>
      <c r="K1071">
        <v>345</v>
      </c>
      <c r="L1071">
        <f t="shared" si="290"/>
        <v>-504</v>
      </c>
      <c r="M1071">
        <v>240</v>
      </c>
      <c r="N1071">
        <f t="shared" si="291"/>
        <v>-264</v>
      </c>
    </row>
    <row r="1072" spans="1:14" x14ac:dyDescent="0.2">
      <c r="A1072" t="s">
        <v>1544</v>
      </c>
      <c r="B1072" s="1" t="s">
        <v>1533</v>
      </c>
      <c r="C1072" t="s">
        <v>106</v>
      </c>
      <c r="D1072" t="s">
        <v>81</v>
      </c>
      <c r="E1072">
        <v>26</v>
      </c>
      <c r="F1072" t="s">
        <v>1255</v>
      </c>
      <c r="G1072">
        <v>2022</v>
      </c>
      <c r="H1072" t="s">
        <v>1545</v>
      </c>
      <c r="I1072" t="s">
        <v>85</v>
      </c>
      <c r="J1072">
        <v>-849</v>
      </c>
      <c r="K1072">
        <v>345</v>
      </c>
      <c r="L1072">
        <f t="shared" si="290"/>
        <v>-504</v>
      </c>
      <c r="M1072">
        <v>240</v>
      </c>
      <c r="N1072">
        <f t="shared" si="291"/>
        <v>-264</v>
      </c>
    </row>
    <row r="1073" spans="1:14" x14ac:dyDescent="0.2">
      <c r="A1073" t="s">
        <v>1542</v>
      </c>
      <c r="B1073" s="1" t="s">
        <v>1533</v>
      </c>
      <c r="C1073" t="s">
        <v>106</v>
      </c>
      <c r="D1073" t="s">
        <v>834</v>
      </c>
      <c r="E1073">
        <v>26</v>
      </c>
      <c r="F1073" t="s">
        <v>1255</v>
      </c>
      <c r="G1073">
        <v>2022</v>
      </c>
      <c r="H1073" t="s">
        <v>1543</v>
      </c>
      <c r="I1073" t="s">
        <v>253</v>
      </c>
      <c r="J1073">
        <v>-849</v>
      </c>
      <c r="K1073">
        <v>345</v>
      </c>
      <c r="L1073">
        <f t="shared" si="290"/>
        <v>-504</v>
      </c>
      <c r="M1073">
        <v>240</v>
      </c>
      <c r="N1073">
        <f t="shared" si="291"/>
        <v>-264</v>
      </c>
    </row>
    <row r="1074" spans="1:14" x14ac:dyDescent="0.2">
      <c r="A1074" t="s">
        <v>1565</v>
      </c>
      <c r="B1074" s="1" t="s">
        <v>1546</v>
      </c>
      <c r="C1074" t="s">
        <v>106</v>
      </c>
      <c r="D1074" t="s">
        <v>81</v>
      </c>
      <c r="E1074">
        <v>27</v>
      </c>
      <c r="F1074" t="s">
        <v>1255</v>
      </c>
      <c r="G1074">
        <v>2022</v>
      </c>
      <c r="H1074" t="s">
        <v>157</v>
      </c>
      <c r="I1074" t="s">
        <v>97</v>
      </c>
      <c r="J1074">
        <v>-849</v>
      </c>
      <c r="K1074">
        <v>345</v>
      </c>
      <c r="L1074">
        <f t="shared" si="290"/>
        <v>-504</v>
      </c>
      <c r="M1074">
        <v>240</v>
      </c>
      <c r="N1074">
        <f t="shared" si="291"/>
        <v>-264</v>
      </c>
    </row>
    <row r="1075" spans="1:14" x14ac:dyDescent="0.2">
      <c r="A1075" t="s">
        <v>1312</v>
      </c>
      <c r="B1075" s="1" t="s">
        <v>1301</v>
      </c>
      <c r="C1075" t="s">
        <v>106</v>
      </c>
      <c r="D1075" t="s">
        <v>895</v>
      </c>
      <c r="E1075">
        <v>4</v>
      </c>
      <c r="F1075" t="s">
        <v>1255</v>
      </c>
      <c r="G1075">
        <v>2022</v>
      </c>
      <c r="H1075" t="s">
        <v>84</v>
      </c>
      <c r="I1075" t="s">
        <v>85</v>
      </c>
      <c r="J1075">
        <v>-849</v>
      </c>
      <c r="K1075">
        <v>345</v>
      </c>
      <c r="L1075">
        <f t="shared" si="290"/>
        <v>-504</v>
      </c>
      <c r="M1075">
        <v>240</v>
      </c>
      <c r="N1075">
        <f t="shared" si="291"/>
        <v>-264</v>
      </c>
    </row>
    <row r="1076" spans="1:14" x14ac:dyDescent="0.2">
      <c r="A1076" t="s">
        <v>1561</v>
      </c>
      <c r="B1076" s="1" t="s">
        <v>1549</v>
      </c>
      <c r="C1076" t="s">
        <v>106</v>
      </c>
      <c r="D1076" t="s">
        <v>133</v>
      </c>
      <c r="E1076">
        <v>28</v>
      </c>
      <c r="F1076" t="s">
        <v>1255</v>
      </c>
      <c r="G1076">
        <v>2022</v>
      </c>
      <c r="H1076" t="s">
        <v>1562</v>
      </c>
      <c r="I1076" t="s">
        <v>135</v>
      </c>
      <c r="J1076">
        <v>-799</v>
      </c>
      <c r="K1076">
        <v>320</v>
      </c>
      <c r="L1076">
        <f t="shared" si="290"/>
        <v>-479</v>
      </c>
      <c r="M1076">
        <v>240</v>
      </c>
      <c r="N1076">
        <f t="shared" si="291"/>
        <v>-239</v>
      </c>
    </row>
    <row r="1077" spans="1:14" x14ac:dyDescent="0.2">
      <c r="A1077" t="s">
        <v>1547</v>
      </c>
      <c r="B1077" s="1" t="s">
        <v>1533</v>
      </c>
      <c r="C1077" t="s">
        <v>106</v>
      </c>
      <c r="D1077" t="s">
        <v>1548</v>
      </c>
      <c r="E1077">
        <v>26</v>
      </c>
      <c r="F1077" t="s">
        <v>1255</v>
      </c>
      <c r="G1077">
        <v>2022</v>
      </c>
      <c r="H1077" t="s">
        <v>1490</v>
      </c>
      <c r="I1077" t="s">
        <v>97</v>
      </c>
      <c r="J1077">
        <v>-799</v>
      </c>
      <c r="K1077">
        <v>320</v>
      </c>
      <c r="L1077">
        <f t="shared" si="290"/>
        <v>-479</v>
      </c>
      <c r="M1077">
        <v>240</v>
      </c>
      <c r="N1077">
        <f t="shared" si="291"/>
        <v>-239</v>
      </c>
    </row>
    <row r="1078" spans="1:14" x14ac:dyDescent="0.2">
      <c r="A1078" t="s">
        <v>1559</v>
      </c>
      <c r="B1078" s="1" t="s">
        <v>1533</v>
      </c>
      <c r="C1078" t="s">
        <v>106</v>
      </c>
      <c r="D1078" t="s">
        <v>1560</v>
      </c>
      <c r="E1078">
        <v>26</v>
      </c>
      <c r="F1078" t="s">
        <v>1255</v>
      </c>
      <c r="G1078">
        <v>2022</v>
      </c>
      <c r="H1078" t="s">
        <v>1474</v>
      </c>
      <c r="I1078" t="s">
        <v>62</v>
      </c>
      <c r="J1078">
        <v>-799</v>
      </c>
      <c r="K1078">
        <v>320</v>
      </c>
      <c r="L1078">
        <f t="shared" si="290"/>
        <v>-479</v>
      </c>
      <c r="M1078">
        <v>240</v>
      </c>
      <c r="N1078">
        <f t="shared" si="291"/>
        <v>-239</v>
      </c>
    </row>
    <row r="1079" spans="1:14" x14ac:dyDescent="0.2">
      <c r="A1079" t="s">
        <v>1601</v>
      </c>
      <c r="B1079" s="1" t="s">
        <v>1594</v>
      </c>
      <c r="C1079" t="s">
        <v>106</v>
      </c>
      <c r="D1079" t="s">
        <v>1089</v>
      </c>
      <c r="E1079">
        <v>31</v>
      </c>
      <c r="F1079" t="s">
        <v>1255</v>
      </c>
      <c r="G1079">
        <v>2022</v>
      </c>
      <c r="H1079" t="s">
        <v>170</v>
      </c>
      <c r="I1079" t="s">
        <v>171</v>
      </c>
      <c r="J1079">
        <v>-799</v>
      </c>
      <c r="K1079">
        <v>320</v>
      </c>
      <c r="L1079">
        <f t="shared" si="290"/>
        <v>-479</v>
      </c>
      <c r="M1079">
        <v>240</v>
      </c>
      <c r="N1079">
        <f t="shared" si="291"/>
        <v>-239</v>
      </c>
    </row>
    <row r="1080" spans="1:14" x14ac:dyDescent="0.2">
      <c r="A1080" t="s">
        <v>1563</v>
      </c>
      <c r="B1080" s="1" t="s">
        <v>1549</v>
      </c>
      <c r="C1080" t="s">
        <v>106</v>
      </c>
      <c r="D1080" t="s">
        <v>81</v>
      </c>
      <c r="E1080">
        <v>28</v>
      </c>
      <c r="F1080" t="s">
        <v>1255</v>
      </c>
      <c r="G1080">
        <v>2022</v>
      </c>
      <c r="H1080" t="s">
        <v>150</v>
      </c>
      <c r="I1080" t="s">
        <v>62</v>
      </c>
      <c r="J1080">
        <v>-849</v>
      </c>
      <c r="K1080">
        <v>345</v>
      </c>
      <c r="L1080">
        <f t="shared" si="290"/>
        <v>-504</v>
      </c>
      <c r="M1080">
        <v>240</v>
      </c>
      <c r="N1080">
        <f t="shared" si="291"/>
        <v>-264</v>
      </c>
    </row>
    <row r="1081" spans="1:14" x14ac:dyDescent="0.2">
      <c r="A1081" t="s">
        <v>1590</v>
      </c>
      <c r="B1081" s="1" t="s">
        <v>1577</v>
      </c>
      <c r="C1081" t="s">
        <v>106</v>
      </c>
      <c r="D1081" t="s">
        <v>81</v>
      </c>
      <c r="E1081">
        <v>30</v>
      </c>
      <c r="F1081" t="s">
        <v>1255</v>
      </c>
      <c r="G1081">
        <v>2022</v>
      </c>
      <c r="H1081" t="s">
        <v>215</v>
      </c>
      <c r="I1081" t="s">
        <v>135</v>
      </c>
      <c r="J1081">
        <v>-849</v>
      </c>
      <c r="K1081">
        <v>345</v>
      </c>
      <c r="L1081">
        <f t="shared" si="290"/>
        <v>-504</v>
      </c>
      <c r="M1081">
        <v>240</v>
      </c>
      <c r="N1081">
        <f t="shared" si="291"/>
        <v>-264</v>
      </c>
    </row>
    <row r="1082" spans="1:14" x14ac:dyDescent="0.2">
      <c r="A1082" t="s">
        <v>1281</v>
      </c>
      <c r="B1082" s="1" t="s">
        <v>1270</v>
      </c>
      <c r="C1082" t="s">
        <v>106</v>
      </c>
      <c r="D1082" t="s">
        <v>504</v>
      </c>
      <c r="E1082">
        <v>2</v>
      </c>
      <c r="F1082" t="s">
        <v>1255</v>
      </c>
      <c r="G1082">
        <v>2022</v>
      </c>
      <c r="H1082" t="s">
        <v>1282</v>
      </c>
      <c r="I1082" t="s">
        <v>502</v>
      </c>
      <c r="J1082">
        <v>-899</v>
      </c>
      <c r="K1082">
        <v>375</v>
      </c>
      <c r="L1082">
        <f t="shared" si="290"/>
        <v>-524</v>
      </c>
      <c r="M1082">
        <v>240</v>
      </c>
      <c r="N1082">
        <f t="shared" si="291"/>
        <v>-284</v>
      </c>
    </row>
    <row r="1083" spans="1:14" x14ac:dyDescent="0.2">
      <c r="A1083" t="s">
        <v>1597</v>
      </c>
      <c r="B1083" s="1" t="s">
        <v>1594</v>
      </c>
      <c r="C1083" t="s">
        <v>106</v>
      </c>
      <c r="D1083" t="s">
        <v>879</v>
      </c>
      <c r="E1083">
        <v>31</v>
      </c>
      <c r="F1083" t="s">
        <v>1255</v>
      </c>
      <c r="G1083">
        <v>2022</v>
      </c>
      <c r="H1083" t="s">
        <v>807</v>
      </c>
      <c r="I1083" t="s">
        <v>28</v>
      </c>
      <c r="J1083">
        <v>-849</v>
      </c>
      <c r="K1083">
        <v>345</v>
      </c>
      <c r="L1083">
        <f t="shared" si="290"/>
        <v>-504</v>
      </c>
      <c r="M1083">
        <v>240</v>
      </c>
      <c r="N1083">
        <f t="shared" si="291"/>
        <v>-264</v>
      </c>
    </row>
    <row r="1084" spans="1:14" x14ac:dyDescent="0.2">
      <c r="A1084" t="s">
        <v>1596</v>
      </c>
      <c r="B1084" s="1" t="s">
        <v>1594</v>
      </c>
      <c r="C1084" t="s">
        <v>106</v>
      </c>
      <c r="D1084" t="s">
        <v>1508</v>
      </c>
      <c r="E1084">
        <v>31</v>
      </c>
      <c r="F1084" t="s">
        <v>1255</v>
      </c>
      <c r="G1084">
        <v>2022</v>
      </c>
      <c r="H1084" t="s">
        <v>68</v>
      </c>
      <c r="I1084" t="s">
        <v>62</v>
      </c>
      <c r="J1084">
        <v>-999</v>
      </c>
      <c r="K1084">
        <v>395</v>
      </c>
      <c r="L1084">
        <f t="shared" si="290"/>
        <v>-604</v>
      </c>
      <c r="M1084">
        <v>240</v>
      </c>
      <c r="N1084">
        <f t="shared" si="291"/>
        <v>-364</v>
      </c>
    </row>
    <row r="1085" spans="1:14" x14ac:dyDescent="0.2">
      <c r="A1085" t="s">
        <v>1588</v>
      </c>
      <c r="B1085" s="1" t="s">
        <v>1580</v>
      </c>
      <c r="C1085" t="s">
        <v>106</v>
      </c>
      <c r="D1085" t="s">
        <v>1589</v>
      </c>
      <c r="E1085">
        <v>29</v>
      </c>
      <c r="F1085" t="s">
        <v>1255</v>
      </c>
      <c r="G1085">
        <v>2022</v>
      </c>
      <c r="H1085" t="s">
        <v>1535</v>
      </c>
      <c r="I1085" t="s">
        <v>212</v>
      </c>
      <c r="J1085">
        <v>-999</v>
      </c>
      <c r="K1085">
        <v>395</v>
      </c>
      <c r="L1085">
        <f t="shared" si="290"/>
        <v>-604</v>
      </c>
      <c r="M1085">
        <v>240</v>
      </c>
      <c r="N1085">
        <f t="shared" si="291"/>
        <v>-364</v>
      </c>
    </row>
    <row r="1086" spans="1:14" x14ac:dyDescent="0.2">
      <c r="A1086" t="s">
        <v>1586</v>
      </c>
      <c r="B1086" s="1" t="s">
        <v>1577</v>
      </c>
      <c r="C1086" t="s">
        <v>106</v>
      </c>
      <c r="D1086" t="s">
        <v>380</v>
      </c>
      <c r="E1086">
        <v>30</v>
      </c>
      <c r="F1086" t="s">
        <v>1255</v>
      </c>
      <c r="G1086">
        <v>2022</v>
      </c>
      <c r="H1086" t="s">
        <v>193</v>
      </c>
      <c r="I1086" t="s">
        <v>62</v>
      </c>
      <c r="J1086">
        <v>-849</v>
      </c>
      <c r="K1086">
        <v>345</v>
      </c>
      <c r="L1086">
        <f t="shared" si="290"/>
        <v>-504</v>
      </c>
      <c r="M1086">
        <v>240</v>
      </c>
      <c r="N1086">
        <f t="shared" si="291"/>
        <v>-264</v>
      </c>
    </row>
    <row r="1087" spans="1:14" x14ac:dyDescent="0.2">
      <c r="A1087" t="s">
        <v>1471</v>
      </c>
      <c r="B1087" s="1" t="s">
        <v>1466</v>
      </c>
      <c r="C1087" t="s">
        <v>106</v>
      </c>
      <c r="D1087" t="s">
        <v>1472</v>
      </c>
      <c r="E1087">
        <v>21</v>
      </c>
      <c r="F1087" t="s">
        <v>1255</v>
      </c>
      <c r="G1087">
        <v>2022</v>
      </c>
      <c r="H1087" t="s">
        <v>157</v>
      </c>
      <c r="I1087" t="s">
        <v>97</v>
      </c>
      <c r="J1087">
        <v>-799</v>
      </c>
      <c r="K1087">
        <v>320</v>
      </c>
      <c r="L1087">
        <f t="shared" si="290"/>
        <v>-479</v>
      </c>
      <c r="M1087">
        <v>240</v>
      </c>
      <c r="N1087">
        <f t="shared" si="291"/>
        <v>-239</v>
      </c>
    </row>
    <row r="1088" spans="1:14" x14ac:dyDescent="0.2">
      <c r="A1088" t="s">
        <v>1604</v>
      </c>
      <c r="B1088" s="1" t="s">
        <v>1603</v>
      </c>
      <c r="C1088" t="s">
        <v>43</v>
      </c>
      <c r="D1088" t="s">
        <v>890</v>
      </c>
      <c r="E1088">
        <v>1</v>
      </c>
      <c r="F1088" t="s">
        <v>1605</v>
      </c>
      <c r="G1088">
        <v>2022</v>
      </c>
      <c r="H1088" t="s">
        <v>1606</v>
      </c>
      <c r="I1088" t="s">
        <v>85</v>
      </c>
      <c r="J1088">
        <v>0</v>
      </c>
      <c r="K1088">
        <v>0</v>
      </c>
      <c r="L1088">
        <v>0</v>
      </c>
      <c r="M1088">
        <v>0</v>
      </c>
      <c r="N1088">
        <v>0</v>
      </c>
    </row>
    <row r="1089" spans="1:14" x14ac:dyDescent="0.2">
      <c r="A1089" t="s">
        <v>1607</v>
      </c>
      <c r="B1089" s="1" t="s">
        <v>1603</v>
      </c>
      <c r="C1089" t="s">
        <v>14</v>
      </c>
      <c r="D1089" t="s">
        <v>573</v>
      </c>
      <c r="E1089">
        <v>1</v>
      </c>
      <c r="F1089" t="s">
        <v>1605</v>
      </c>
      <c r="G1089">
        <v>2022</v>
      </c>
      <c r="H1089" t="s">
        <v>1608</v>
      </c>
      <c r="I1089" t="s">
        <v>212</v>
      </c>
      <c r="J1089">
        <v>899</v>
      </c>
      <c r="K1089">
        <v>295</v>
      </c>
      <c r="L1089">
        <f t="shared" ref="L1089:L1093" si="292">J1089-K1089</f>
        <v>604</v>
      </c>
      <c r="M1089">
        <v>240</v>
      </c>
      <c r="N1089">
        <f t="shared" ref="N1089:N1093" si="293">L1089-M1089</f>
        <v>364</v>
      </c>
    </row>
    <row r="1090" spans="1:14" x14ac:dyDescent="0.2">
      <c r="A1090" t="s">
        <v>1604</v>
      </c>
      <c r="B1090" s="1" t="s">
        <v>1603</v>
      </c>
      <c r="C1090" t="s">
        <v>14</v>
      </c>
      <c r="D1090" t="s">
        <v>890</v>
      </c>
      <c r="E1090">
        <v>1</v>
      </c>
      <c r="F1090" t="s">
        <v>1605</v>
      </c>
      <c r="G1090">
        <v>2022</v>
      </c>
      <c r="H1090" t="s">
        <v>1606</v>
      </c>
      <c r="I1090" t="s">
        <v>85</v>
      </c>
      <c r="J1090">
        <v>849</v>
      </c>
      <c r="K1090">
        <v>250</v>
      </c>
      <c r="L1090">
        <f t="shared" si="292"/>
        <v>599</v>
      </c>
      <c r="M1090">
        <v>240</v>
      </c>
      <c r="N1090">
        <f t="shared" si="293"/>
        <v>359</v>
      </c>
    </row>
    <row r="1091" spans="1:14" x14ac:dyDescent="0.2">
      <c r="A1091" t="s">
        <v>1610</v>
      </c>
      <c r="B1091" s="1" t="s">
        <v>1609</v>
      </c>
      <c r="C1091" t="s">
        <v>14</v>
      </c>
      <c r="D1091" t="s">
        <v>81</v>
      </c>
      <c r="E1091">
        <v>2</v>
      </c>
      <c r="F1091" t="s">
        <v>1605</v>
      </c>
      <c r="G1091">
        <v>2022</v>
      </c>
      <c r="H1091" t="s">
        <v>157</v>
      </c>
      <c r="I1091" t="s">
        <v>97</v>
      </c>
      <c r="J1091">
        <v>849</v>
      </c>
      <c r="K1091">
        <v>250</v>
      </c>
      <c r="L1091">
        <f t="shared" si="292"/>
        <v>599</v>
      </c>
      <c r="M1091">
        <v>240</v>
      </c>
      <c r="N1091">
        <f t="shared" si="293"/>
        <v>359</v>
      </c>
    </row>
    <row r="1092" spans="1:14" x14ac:dyDescent="0.2">
      <c r="A1092" t="s">
        <v>1611</v>
      </c>
      <c r="B1092" s="1" t="s">
        <v>1609</v>
      </c>
      <c r="C1092" t="s">
        <v>14</v>
      </c>
      <c r="D1092" t="s">
        <v>81</v>
      </c>
      <c r="E1092">
        <v>2</v>
      </c>
      <c r="F1092" t="s">
        <v>1605</v>
      </c>
      <c r="G1092">
        <v>2022</v>
      </c>
      <c r="H1092" t="s">
        <v>1612</v>
      </c>
      <c r="I1092" t="s">
        <v>85</v>
      </c>
      <c r="J1092">
        <v>849</v>
      </c>
      <c r="K1092">
        <v>250</v>
      </c>
      <c r="L1092">
        <f t="shared" si="292"/>
        <v>599</v>
      </c>
      <c r="M1092">
        <v>240</v>
      </c>
      <c r="N1092">
        <f t="shared" si="293"/>
        <v>359</v>
      </c>
    </row>
    <row r="1093" spans="1:14" x14ac:dyDescent="0.2">
      <c r="A1093" t="s">
        <v>1613</v>
      </c>
      <c r="B1093" s="1" t="s">
        <v>1609</v>
      </c>
      <c r="C1093" t="s">
        <v>14</v>
      </c>
      <c r="D1093" t="s">
        <v>1614</v>
      </c>
      <c r="E1093">
        <v>2</v>
      </c>
      <c r="F1093" t="s">
        <v>1605</v>
      </c>
      <c r="G1093">
        <v>2022</v>
      </c>
      <c r="H1093" t="s">
        <v>1615</v>
      </c>
      <c r="I1093" t="s">
        <v>23</v>
      </c>
      <c r="J1093">
        <v>799</v>
      </c>
      <c r="K1093">
        <v>205</v>
      </c>
      <c r="L1093">
        <f t="shared" si="292"/>
        <v>594</v>
      </c>
      <c r="M1093">
        <v>240</v>
      </c>
      <c r="N1093">
        <f t="shared" si="293"/>
        <v>354</v>
      </c>
    </row>
    <row r="1094" spans="1:14" x14ac:dyDescent="0.2">
      <c r="A1094" t="s">
        <v>1617</v>
      </c>
      <c r="B1094" s="1" t="s">
        <v>1616</v>
      </c>
      <c r="C1094" t="s">
        <v>43</v>
      </c>
      <c r="D1094" t="s">
        <v>1105</v>
      </c>
      <c r="E1094">
        <v>3</v>
      </c>
      <c r="F1094" t="s">
        <v>1605</v>
      </c>
      <c r="G1094">
        <v>2022</v>
      </c>
      <c r="H1094" t="s">
        <v>604</v>
      </c>
      <c r="I1094" t="s">
        <v>85</v>
      </c>
      <c r="J1094">
        <v>0</v>
      </c>
      <c r="K1094">
        <v>0</v>
      </c>
      <c r="L1094">
        <v>0</v>
      </c>
      <c r="M1094">
        <v>0</v>
      </c>
      <c r="N1094">
        <v>0</v>
      </c>
    </row>
    <row r="1095" spans="1:14" x14ac:dyDescent="0.2">
      <c r="A1095" t="s">
        <v>1619</v>
      </c>
      <c r="B1095" s="1" t="s">
        <v>1618</v>
      </c>
      <c r="C1095" t="s">
        <v>43</v>
      </c>
      <c r="D1095" t="s">
        <v>1215</v>
      </c>
      <c r="E1095">
        <v>5</v>
      </c>
      <c r="F1095" t="s">
        <v>1605</v>
      </c>
      <c r="G1095">
        <v>2022</v>
      </c>
      <c r="H1095" t="s">
        <v>1620</v>
      </c>
      <c r="I1095" t="s">
        <v>23</v>
      </c>
      <c r="J1095">
        <v>0</v>
      </c>
      <c r="K1095">
        <v>0</v>
      </c>
      <c r="L1095">
        <v>0</v>
      </c>
      <c r="M1095">
        <v>0</v>
      </c>
      <c r="N1095">
        <v>0</v>
      </c>
    </row>
    <row r="1096" spans="1:14" x14ac:dyDescent="0.2">
      <c r="A1096" t="s">
        <v>1621</v>
      </c>
      <c r="B1096" s="1" t="s">
        <v>1616</v>
      </c>
      <c r="C1096" t="s">
        <v>14</v>
      </c>
      <c r="D1096" t="s">
        <v>895</v>
      </c>
      <c r="E1096">
        <v>3</v>
      </c>
      <c r="F1096" t="s">
        <v>1605</v>
      </c>
      <c r="G1096">
        <v>2022</v>
      </c>
      <c r="H1096" t="s">
        <v>246</v>
      </c>
      <c r="I1096" t="s">
        <v>58</v>
      </c>
      <c r="J1096">
        <v>849</v>
      </c>
      <c r="K1096">
        <v>250</v>
      </c>
      <c r="L1096">
        <f t="shared" ref="L1096:L1105" si="294">J1096-K1096</f>
        <v>599</v>
      </c>
      <c r="M1096">
        <v>240</v>
      </c>
      <c r="N1096">
        <f t="shared" ref="N1096:N1105" si="295">L1096-M1096</f>
        <v>359</v>
      </c>
    </row>
    <row r="1097" spans="1:14" x14ac:dyDescent="0.2">
      <c r="A1097" t="s">
        <v>1622</v>
      </c>
      <c r="B1097" s="1" t="s">
        <v>1609</v>
      </c>
      <c r="C1097" t="s">
        <v>14</v>
      </c>
      <c r="D1097" t="s">
        <v>1338</v>
      </c>
      <c r="E1097">
        <v>2</v>
      </c>
      <c r="F1097" t="s">
        <v>1605</v>
      </c>
      <c r="G1097">
        <v>2022</v>
      </c>
      <c r="H1097" t="s">
        <v>910</v>
      </c>
      <c r="I1097" t="s">
        <v>122</v>
      </c>
      <c r="J1097">
        <v>799</v>
      </c>
      <c r="K1097">
        <v>205</v>
      </c>
      <c r="L1097">
        <f t="shared" si="294"/>
        <v>594</v>
      </c>
      <c r="M1097">
        <v>240</v>
      </c>
      <c r="N1097">
        <f t="shared" si="295"/>
        <v>354</v>
      </c>
    </row>
    <row r="1098" spans="1:14" x14ac:dyDescent="0.2">
      <c r="A1098" t="s">
        <v>1623</v>
      </c>
      <c r="B1098" s="1" t="s">
        <v>1616</v>
      </c>
      <c r="C1098" t="s">
        <v>14</v>
      </c>
      <c r="D1098" t="s">
        <v>957</v>
      </c>
      <c r="E1098">
        <v>3</v>
      </c>
      <c r="F1098" t="s">
        <v>1605</v>
      </c>
      <c r="G1098">
        <v>2022</v>
      </c>
      <c r="H1098" t="s">
        <v>1624</v>
      </c>
      <c r="I1098" t="s">
        <v>122</v>
      </c>
      <c r="J1098">
        <v>799</v>
      </c>
      <c r="K1098">
        <v>205</v>
      </c>
      <c r="L1098">
        <f t="shared" si="294"/>
        <v>594</v>
      </c>
      <c r="M1098">
        <v>240</v>
      </c>
      <c r="N1098">
        <f t="shared" si="295"/>
        <v>354</v>
      </c>
    </row>
    <row r="1099" spans="1:14" x14ac:dyDescent="0.2">
      <c r="A1099" t="s">
        <v>1625</v>
      </c>
      <c r="B1099" s="1" t="s">
        <v>1616</v>
      </c>
      <c r="C1099" t="s">
        <v>14</v>
      </c>
      <c r="D1099" t="s">
        <v>431</v>
      </c>
      <c r="E1099">
        <v>3</v>
      </c>
      <c r="F1099" t="s">
        <v>1605</v>
      </c>
      <c r="G1099">
        <v>2022</v>
      </c>
      <c r="H1099" t="s">
        <v>170</v>
      </c>
      <c r="I1099" t="s">
        <v>171</v>
      </c>
      <c r="J1099">
        <v>799</v>
      </c>
      <c r="K1099">
        <v>205</v>
      </c>
      <c r="L1099">
        <f t="shared" si="294"/>
        <v>594</v>
      </c>
      <c r="M1099">
        <v>240</v>
      </c>
      <c r="N1099">
        <f t="shared" si="295"/>
        <v>354</v>
      </c>
    </row>
    <row r="1100" spans="1:14" x14ac:dyDescent="0.2">
      <c r="A1100" t="s">
        <v>1627</v>
      </c>
      <c r="B1100" s="1" t="s">
        <v>1626</v>
      </c>
      <c r="C1100" t="s">
        <v>14</v>
      </c>
      <c r="D1100" t="s">
        <v>812</v>
      </c>
      <c r="E1100">
        <v>4</v>
      </c>
      <c r="F1100" t="s">
        <v>1605</v>
      </c>
      <c r="G1100">
        <v>2022</v>
      </c>
      <c r="H1100" t="s">
        <v>49</v>
      </c>
      <c r="I1100" t="s">
        <v>32</v>
      </c>
      <c r="J1100">
        <v>999</v>
      </c>
      <c r="K1100">
        <v>325</v>
      </c>
      <c r="L1100">
        <f t="shared" si="294"/>
        <v>674</v>
      </c>
      <c r="M1100">
        <v>240</v>
      </c>
      <c r="N1100">
        <f t="shared" si="295"/>
        <v>434</v>
      </c>
    </row>
    <row r="1101" spans="1:14" x14ac:dyDescent="0.2">
      <c r="A1101" t="s">
        <v>1628</v>
      </c>
      <c r="B1101" s="1" t="s">
        <v>1626</v>
      </c>
      <c r="C1101" t="s">
        <v>14</v>
      </c>
      <c r="D1101" t="s">
        <v>379</v>
      </c>
      <c r="E1101">
        <v>4</v>
      </c>
      <c r="F1101" t="s">
        <v>1605</v>
      </c>
      <c r="G1101">
        <v>2022</v>
      </c>
      <c r="H1101" t="s">
        <v>215</v>
      </c>
      <c r="I1101" t="s">
        <v>135</v>
      </c>
      <c r="J1101">
        <v>799</v>
      </c>
      <c r="K1101">
        <v>205</v>
      </c>
      <c r="L1101">
        <f t="shared" si="294"/>
        <v>594</v>
      </c>
      <c r="M1101">
        <v>240</v>
      </c>
      <c r="N1101">
        <f t="shared" si="295"/>
        <v>354</v>
      </c>
    </row>
    <row r="1102" spans="1:14" x14ac:dyDescent="0.2">
      <c r="A1102" t="s">
        <v>1629</v>
      </c>
      <c r="B1102" s="1" t="s">
        <v>1616</v>
      </c>
      <c r="C1102" t="s">
        <v>14</v>
      </c>
      <c r="D1102" t="s">
        <v>1630</v>
      </c>
      <c r="E1102">
        <v>3</v>
      </c>
      <c r="F1102" t="s">
        <v>1605</v>
      </c>
      <c r="G1102">
        <v>2022</v>
      </c>
      <c r="H1102" t="s">
        <v>157</v>
      </c>
      <c r="I1102" t="s">
        <v>97</v>
      </c>
      <c r="J1102">
        <v>799</v>
      </c>
      <c r="K1102">
        <v>205</v>
      </c>
      <c r="L1102">
        <f t="shared" si="294"/>
        <v>594</v>
      </c>
      <c r="M1102">
        <v>240</v>
      </c>
      <c r="N1102">
        <f t="shared" si="295"/>
        <v>354</v>
      </c>
    </row>
    <row r="1103" spans="1:14" x14ac:dyDescent="0.2">
      <c r="A1103" t="s">
        <v>1631</v>
      </c>
      <c r="B1103" s="1" t="s">
        <v>1626</v>
      </c>
      <c r="C1103" t="s">
        <v>14</v>
      </c>
      <c r="D1103" t="s">
        <v>81</v>
      </c>
      <c r="E1103">
        <v>4</v>
      </c>
      <c r="F1103" t="s">
        <v>1605</v>
      </c>
      <c r="G1103">
        <v>2022</v>
      </c>
      <c r="H1103" t="s">
        <v>838</v>
      </c>
      <c r="I1103" t="s">
        <v>253</v>
      </c>
      <c r="J1103">
        <v>849</v>
      </c>
      <c r="K1103">
        <v>250</v>
      </c>
      <c r="L1103">
        <f t="shared" si="294"/>
        <v>599</v>
      </c>
      <c r="M1103">
        <v>240</v>
      </c>
      <c r="N1103">
        <f t="shared" si="295"/>
        <v>359</v>
      </c>
    </row>
    <row r="1104" spans="1:14" x14ac:dyDescent="0.2">
      <c r="A1104" t="s">
        <v>1632</v>
      </c>
      <c r="B1104" s="1" t="s">
        <v>1626</v>
      </c>
      <c r="C1104" t="s">
        <v>14</v>
      </c>
      <c r="D1104" t="s">
        <v>993</v>
      </c>
      <c r="E1104">
        <v>4</v>
      </c>
      <c r="F1104" t="s">
        <v>1605</v>
      </c>
      <c r="G1104">
        <v>2022</v>
      </c>
      <c r="H1104" t="s">
        <v>1633</v>
      </c>
      <c r="I1104" t="s">
        <v>163</v>
      </c>
      <c r="J1104">
        <v>799</v>
      </c>
      <c r="K1104">
        <v>205</v>
      </c>
      <c r="L1104">
        <f t="shared" si="294"/>
        <v>594</v>
      </c>
      <c r="M1104">
        <v>240</v>
      </c>
      <c r="N1104">
        <f t="shared" si="295"/>
        <v>354</v>
      </c>
    </row>
    <row r="1105" spans="1:14" x14ac:dyDescent="0.2">
      <c r="A1105" t="s">
        <v>1634</v>
      </c>
      <c r="B1105" s="1" t="s">
        <v>1616</v>
      </c>
      <c r="C1105" t="s">
        <v>14</v>
      </c>
      <c r="D1105" t="s">
        <v>977</v>
      </c>
      <c r="E1105">
        <v>3</v>
      </c>
      <c r="F1105" t="s">
        <v>1605</v>
      </c>
      <c r="G1105">
        <v>2022</v>
      </c>
      <c r="H1105" t="s">
        <v>170</v>
      </c>
      <c r="I1105" t="s">
        <v>171</v>
      </c>
      <c r="J1105">
        <v>799</v>
      </c>
      <c r="K1105">
        <v>205</v>
      </c>
      <c r="L1105">
        <f t="shared" si="294"/>
        <v>594</v>
      </c>
      <c r="M1105">
        <v>240</v>
      </c>
      <c r="N1105">
        <f t="shared" si="295"/>
        <v>354</v>
      </c>
    </row>
    <row r="1106" spans="1:14" x14ac:dyDescent="0.2">
      <c r="A1106" t="s">
        <v>1632</v>
      </c>
      <c r="B1106" s="1" t="s">
        <v>1626</v>
      </c>
      <c r="C1106" t="s">
        <v>106</v>
      </c>
      <c r="D1106" t="s">
        <v>993</v>
      </c>
      <c r="E1106">
        <v>4</v>
      </c>
      <c r="F1106" t="s">
        <v>1605</v>
      </c>
      <c r="G1106">
        <v>2022</v>
      </c>
      <c r="H1106" t="s">
        <v>1633</v>
      </c>
      <c r="I1106" t="s">
        <v>163</v>
      </c>
      <c r="J1106">
        <v>-799</v>
      </c>
      <c r="K1106">
        <v>320</v>
      </c>
      <c r="L1106">
        <f>J1106+K1106</f>
        <v>-479</v>
      </c>
      <c r="M1106">
        <v>240</v>
      </c>
      <c r="N1106">
        <f>L1106+M1106</f>
        <v>-239</v>
      </c>
    </row>
    <row r="1107" spans="1:14" x14ac:dyDescent="0.2">
      <c r="A1107" t="s">
        <v>1619</v>
      </c>
      <c r="B1107" s="1" t="s">
        <v>1618</v>
      </c>
      <c r="C1107" t="s">
        <v>14</v>
      </c>
      <c r="D1107" t="s">
        <v>1215</v>
      </c>
      <c r="E1107">
        <v>5</v>
      </c>
      <c r="F1107" t="s">
        <v>1605</v>
      </c>
      <c r="G1107">
        <v>2022</v>
      </c>
      <c r="H1107" t="s">
        <v>1620</v>
      </c>
      <c r="I1107" t="s">
        <v>23</v>
      </c>
      <c r="J1107">
        <v>799</v>
      </c>
      <c r="K1107">
        <v>205</v>
      </c>
      <c r="L1107">
        <f t="shared" ref="L1107:L1117" si="296">J1107-K1107</f>
        <v>594</v>
      </c>
      <c r="M1107">
        <v>240</v>
      </c>
      <c r="N1107">
        <f t="shared" ref="N1107:N1117" si="297">L1107-M1107</f>
        <v>354</v>
      </c>
    </row>
    <row r="1108" spans="1:14" x14ac:dyDescent="0.2">
      <c r="A1108" t="s">
        <v>1635</v>
      </c>
      <c r="B1108" s="1" t="s">
        <v>1618</v>
      </c>
      <c r="C1108" t="s">
        <v>14</v>
      </c>
      <c r="D1108" t="s">
        <v>380</v>
      </c>
      <c r="E1108">
        <v>5</v>
      </c>
      <c r="F1108" t="s">
        <v>1605</v>
      </c>
      <c r="G1108">
        <v>2022</v>
      </c>
      <c r="H1108" t="s">
        <v>104</v>
      </c>
      <c r="I1108" t="s">
        <v>62</v>
      </c>
      <c r="J1108">
        <v>849</v>
      </c>
      <c r="K1108">
        <v>250</v>
      </c>
      <c r="L1108">
        <f t="shared" si="296"/>
        <v>599</v>
      </c>
      <c r="M1108">
        <v>240</v>
      </c>
      <c r="N1108">
        <f t="shared" si="297"/>
        <v>359</v>
      </c>
    </row>
    <row r="1109" spans="1:14" x14ac:dyDescent="0.2">
      <c r="A1109" t="s">
        <v>1636</v>
      </c>
      <c r="B1109" s="1" t="s">
        <v>1618</v>
      </c>
      <c r="C1109" t="s">
        <v>14</v>
      </c>
      <c r="D1109" t="s">
        <v>81</v>
      </c>
      <c r="E1109">
        <v>5</v>
      </c>
      <c r="F1109" t="s">
        <v>1605</v>
      </c>
      <c r="G1109">
        <v>2022</v>
      </c>
      <c r="H1109" t="s">
        <v>435</v>
      </c>
      <c r="I1109" t="s">
        <v>58</v>
      </c>
      <c r="J1109">
        <v>849</v>
      </c>
      <c r="K1109">
        <v>250</v>
      </c>
      <c r="L1109">
        <f t="shared" si="296"/>
        <v>599</v>
      </c>
      <c r="M1109">
        <v>240</v>
      </c>
      <c r="N1109">
        <f t="shared" si="297"/>
        <v>359</v>
      </c>
    </row>
    <row r="1110" spans="1:14" x14ac:dyDescent="0.2">
      <c r="A1110" t="s">
        <v>1637</v>
      </c>
      <c r="B1110" s="1" t="s">
        <v>1618</v>
      </c>
      <c r="C1110" t="s">
        <v>14</v>
      </c>
      <c r="D1110" t="s">
        <v>380</v>
      </c>
      <c r="E1110">
        <v>5</v>
      </c>
      <c r="F1110" t="s">
        <v>1605</v>
      </c>
      <c r="G1110">
        <v>2022</v>
      </c>
      <c r="H1110" t="s">
        <v>637</v>
      </c>
      <c r="I1110" t="s">
        <v>28</v>
      </c>
      <c r="J1110">
        <v>849</v>
      </c>
      <c r="K1110">
        <v>250</v>
      </c>
      <c r="L1110">
        <f t="shared" si="296"/>
        <v>599</v>
      </c>
      <c r="M1110">
        <v>240</v>
      </c>
      <c r="N1110">
        <f t="shared" si="297"/>
        <v>359</v>
      </c>
    </row>
    <row r="1111" spans="1:14" x14ac:dyDescent="0.2">
      <c r="A1111" t="s">
        <v>1639</v>
      </c>
      <c r="B1111" s="1" t="s">
        <v>1638</v>
      </c>
      <c r="C1111" t="s">
        <v>14</v>
      </c>
      <c r="D1111" t="s">
        <v>1144</v>
      </c>
      <c r="E1111">
        <v>6</v>
      </c>
      <c r="F1111" t="s">
        <v>1605</v>
      </c>
      <c r="G1111">
        <v>2022</v>
      </c>
      <c r="H1111" t="s">
        <v>807</v>
      </c>
      <c r="I1111" t="s">
        <v>28</v>
      </c>
      <c r="J1111">
        <v>799</v>
      </c>
      <c r="K1111">
        <v>205</v>
      </c>
      <c r="L1111">
        <f t="shared" si="296"/>
        <v>594</v>
      </c>
      <c r="M1111">
        <v>240</v>
      </c>
      <c r="N1111">
        <f t="shared" si="297"/>
        <v>354</v>
      </c>
    </row>
    <row r="1112" spans="1:14" x14ac:dyDescent="0.2">
      <c r="A1112" t="s">
        <v>1640</v>
      </c>
      <c r="B1112" s="1" t="s">
        <v>1638</v>
      </c>
      <c r="C1112" t="s">
        <v>14</v>
      </c>
      <c r="D1112" t="s">
        <v>548</v>
      </c>
      <c r="E1112">
        <v>6</v>
      </c>
      <c r="F1112" t="s">
        <v>1605</v>
      </c>
      <c r="G1112">
        <v>2022</v>
      </c>
      <c r="H1112" t="s">
        <v>1562</v>
      </c>
      <c r="I1112" t="s">
        <v>135</v>
      </c>
      <c r="J1112">
        <v>899</v>
      </c>
      <c r="K1112">
        <v>295</v>
      </c>
      <c r="L1112">
        <f t="shared" si="296"/>
        <v>604</v>
      </c>
      <c r="M1112">
        <v>240</v>
      </c>
      <c r="N1112">
        <f t="shared" si="297"/>
        <v>364</v>
      </c>
    </row>
    <row r="1113" spans="1:14" x14ac:dyDescent="0.2">
      <c r="A1113" t="s">
        <v>1641</v>
      </c>
      <c r="B1113" s="1" t="s">
        <v>1626</v>
      </c>
      <c r="C1113" t="s">
        <v>14</v>
      </c>
      <c r="D1113" t="s">
        <v>490</v>
      </c>
      <c r="E1113">
        <v>4</v>
      </c>
      <c r="F1113" t="s">
        <v>1605</v>
      </c>
      <c r="G1113">
        <v>2022</v>
      </c>
      <c r="H1113" t="s">
        <v>101</v>
      </c>
      <c r="I1113" t="s">
        <v>62</v>
      </c>
      <c r="J1113">
        <v>899</v>
      </c>
      <c r="K1113">
        <v>295</v>
      </c>
      <c r="L1113">
        <f t="shared" si="296"/>
        <v>604</v>
      </c>
      <c r="M1113">
        <v>240</v>
      </c>
      <c r="N1113">
        <f t="shared" si="297"/>
        <v>364</v>
      </c>
    </row>
    <row r="1114" spans="1:14" x14ac:dyDescent="0.2">
      <c r="A1114" t="s">
        <v>1642</v>
      </c>
      <c r="B1114" s="1" t="s">
        <v>1626</v>
      </c>
      <c r="C1114" t="s">
        <v>14</v>
      </c>
      <c r="D1114" t="s">
        <v>1076</v>
      </c>
      <c r="E1114">
        <v>4</v>
      </c>
      <c r="F1114" t="s">
        <v>1605</v>
      </c>
      <c r="G1114">
        <v>2022</v>
      </c>
      <c r="H1114" t="s">
        <v>1643</v>
      </c>
      <c r="I1114" t="s">
        <v>62</v>
      </c>
      <c r="J1114">
        <v>849</v>
      </c>
      <c r="K1114">
        <v>250</v>
      </c>
      <c r="L1114">
        <f t="shared" si="296"/>
        <v>599</v>
      </c>
      <c r="M1114">
        <v>240</v>
      </c>
      <c r="N1114">
        <f t="shared" si="297"/>
        <v>359</v>
      </c>
    </row>
    <row r="1115" spans="1:14" x14ac:dyDescent="0.2">
      <c r="A1115" t="s">
        <v>1644</v>
      </c>
      <c r="B1115" s="1" t="s">
        <v>1626</v>
      </c>
      <c r="C1115" t="s">
        <v>14</v>
      </c>
      <c r="D1115" t="s">
        <v>81</v>
      </c>
      <c r="E1115">
        <v>4</v>
      </c>
      <c r="F1115" t="s">
        <v>1605</v>
      </c>
      <c r="G1115">
        <v>2022</v>
      </c>
      <c r="H1115" t="s">
        <v>235</v>
      </c>
      <c r="I1115" t="s">
        <v>62</v>
      </c>
      <c r="J1115">
        <v>849</v>
      </c>
      <c r="K1115">
        <v>250</v>
      </c>
      <c r="L1115">
        <f t="shared" si="296"/>
        <v>599</v>
      </c>
      <c r="M1115">
        <v>240</v>
      </c>
      <c r="N1115">
        <f t="shared" si="297"/>
        <v>359</v>
      </c>
    </row>
    <row r="1116" spans="1:14" x14ac:dyDescent="0.2">
      <c r="A1116" t="s">
        <v>1645</v>
      </c>
      <c r="B1116" s="1" t="s">
        <v>1638</v>
      </c>
      <c r="C1116" t="s">
        <v>14</v>
      </c>
      <c r="D1116" t="s">
        <v>881</v>
      </c>
      <c r="E1116">
        <v>6</v>
      </c>
      <c r="F1116" t="s">
        <v>1605</v>
      </c>
      <c r="G1116">
        <v>2022</v>
      </c>
      <c r="H1116" t="s">
        <v>196</v>
      </c>
      <c r="I1116" t="s">
        <v>62</v>
      </c>
      <c r="J1116">
        <v>799</v>
      </c>
      <c r="K1116">
        <v>205</v>
      </c>
      <c r="L1116">
        <f t="shared" si="296"/>
        <v>594</v>
      </c>
      <c r="M1116">
        <v>240</v>
      </c>
      <c r="N1116">
        <f t="shared" si="297"/>
        <v>354</v>
      </c>
    </row>
    <row r="1117" spans="1:14" x14ac:dyDescent="0.2">
      <c r="A1117" t="s">
        <v>1646</v>
      </c>
      <c r="B1117" s="1" t="s">
        <v>1638</v>
      </c>
      <c r="C1117" t="s">
        <v>14</v>
      </c>
      <c r="D1117" t="s">
        <v>242</v>
      </c>
      <c r="E1117">
        <v>6</v>
      </c>
      <c r="F1117" t="s">
        <v>1605</v>
      </c>
      <c r="G1117">
        <v>2022</v>
      </c>
      <c r="H1117" t="s">
        <v>82</v>
      </c>
      <c r="I1117" t="s">
        <v>58</v>
      </c>
      <c r="J1117">
        <v>899</v>
      </c>
      <c r="K1117">
        <v>295</v>
      </c>
      <c r="L1117">
        <f t="shared" si="296"/>
        <v>604</v>
      </c>
      <c r="M1117">
        <v>240</v>
      </c>
      <c r="N1117">
        <f t="shared" si="297"/>
        <v>364</v>
      </c>
    </row>
    <row r="1118" spans="1:14" x14ac:dyDescent="0.2">
      <c r="A1118" t="s">
        <v>1648</v>
      </c>
      <c r="B1118" s="1" t="s">
        <v>1647</v>
      </c>
      <c r="C1118" t="s">
        <v>20</v>
      </c>
      <c r="D1118" t="s">
        <v>81</v>
      </c>
      <c r="E1118">
        <v>7</v>
      </c>
      <c r="F1118" t="s">
        <v>1605</v>
      </c>
      <c r="G1118">
        <v>2022</v>
      </c>
      <c r="H1118" t="s">
        <v>157</v>
      </c>
      <c r="I1118" t="s">
        <v>97</v>
      </c>
      <c r="J1118">
        <v>0</v>
      </c>
      <c r="K1118">
        <v>0</v>
      </c>
      <c r="L1118">
        <v>0</v>
      </c>
      <c r="M1118">
        <v>0</v>
      </c>
      <c r="N1118">
        <v>0</v>
      </c>
    </row>
    <row r="1119" spans="1:14" x14ac:dyDescent="0.2">
      <c r="A1119" t="s">
        <v>1649</v>
      </c>
      <c r="B1119" s="1" t="s">
        <v>1647</v>
      </c>
      <c r="C1119" t="s">
        <v>14</v>
      </c>
      <c r="D1119" t="s">
        <v>81</v>
      </c>
      <c r="E1119">
        <v>7</v>
      </c>
      <c r="F1119" t="s">
        <v>1605</v>
      </c>
      <c r="G1119">
        <v>2022</v>
      </c>
      <c r="H1119" t="s">
        <v>150</v>
      </c>
      <c r="I1119" t="s">
        <v>62</v>
      </c>
      <c r="J1119">
        <v>849</v>
      </c>
      <c r="K1119">
        <v>250</v>
      </c>
      <c r="L1119">
        <f t="shared" ref="L1119:L1120" si="298">J1119-K1119</f>
        <v>599</v>
      </c>
      <c r="M1119">
        <v>240</v>
      </c>
      <c r="N1119">
        <f t="shared" ref="N1119:N1120" si="299">L1119-M1119</f>
        <v>359</v>
      </c>
    </row>
    <row r="1120" spans="1:14" x14ac:dyDescent="0.2">
      <c r="A1120" t="s">
        <v>1650</v>
      </c>
      <c r="B1120" s="1" t="s">
        <v>1647</v>
      </c>
      <c r="C1120" t="s">
        <v>14</v>
      </c>
      <c r="D1120" t="s">
        <v>977</v>
      </c>
      <c r="E1120">
        <v>7</v>
      </c>
      <c r="F1120" t="s">
        <v>1605</v>
      </c>
      <c r="G1120">
        <v>2022</v>
      </c>
      <c r="H1120" t="s">
        <v>1651</v>
      </c>
      <c r="I1120" t="s">
        <v>85</v>
      </c>
      <c r="J1120">
        <v>799</v>
      </c>
      <c r="K1120">
        <v>205</v>
      </c>
      <c r="L1120">
        <f t="shared" si="298"/>
        <v>594</v>
      </c>
      <c r="M1120">
        <v>240</v>
      </c>
      <c r="N1120">
        <f t="shared" si="299"/>
        <v>354</v>
      </c>
    </row>
    <row r="1121" spans="1:14" x14ac:dyDescent="0.2">
      <c r="A1121" t="s">
        <v>1653</v>
      </c>
      <c r="B1121" s="1" t="s">
        <v>1652</v>
      </c>
      <c r="C1121" t="s">
        <v>43</v>
      </c>
      <c r="D1121" t="s">
        <v>81</v>
      </c>
      <c r="E1121">
        <v>8</v>
      </c>
      <c r="F1121" t="s">
        <v>1605</v>
      </c>
      <c r="G1121">
        <v>2022</v>
      </c>
      <c r="H1121" t="s">
        <v>84</v>
      </c>
      <c r="I1121" t="s">
        <v>85</v>
      </c>
      <c r="J1121">
        <v>0</v>
      </c>
      <c r="K1121">
        <v>0</v>
      </c>
      <c r="L1121">
        <v>0</v>
      </c>
      <c r="M1121">
        <v>0</v>
      </c>
      <c r="N1121">
        <v>0</v>
      </c>
    </row>
    <row r="1122" spans="1:14" x14ac:dyDescent="0.2">
      <c r="A1122" t="s">
        <v>1654</v>
      </c>
      <c r="B1122" s="1" t="s">
        <v>1652</v>
      </c>
      <c r="C1122" t="s">
        <v>14</v>
      </c>
      <c r="D1122" t="s">
        <v>812</v>
      </c>
      <c r="E1122">
        <v>8</v>
      </c>
      <c r="F1122" t="s">
        <v>1605</v>
      </c>
      <c r="G1122">
        <v>2022</v>
      </c>
      <c r="H1122" t="s">
        <v>246</v>
      </c>
      <c r="I1122" t="s">
        <v>58</v>
      </c>
      <c r="J1122">
        <v>999</v>
      </c>
      <c r="K1122">
        <v>325</v>
      </c>
      <c r="L1122">
        <f t="shared" ref="L1122:L1129" si="300">J1122-K1122</f>
        <v>674</v>
      </c>
      <c r="M1122">
        <v>240</v>
      </c>
      <c r="N1122">
        <f t="shared" ref="N1122:N1129" si="301">L1122-M1122</f>
        <v>434</v>
      </c>
    </row>
    <row r="1123" spans="1:14" x14ac:dyDescent="0.2">
      <c r="A1123" t="s">
        <v>1653</v>
      </c>
      <c r="B1123" s="1" t="s">
        <v>1652</v>
      </c>
      <c r="C1123" t="s">
        <v>14</v>
      </c>
      <c r="D1123" t="s">
        <v>81</v>
      </c>
      <c r="E1123">
        <v>8</v>
      </c>
      <c r="F1123" t="s">
        <v>1605</v>
      </c>
      <c r="G1123">
        <v>2022</v>
      </c>
      <c r="H1123" t="s">
        <v>84</v>
      </c>
      <c r="I1123" t="s">
        <v>85</v>
      </c>
      <c r="J1123">
        <v>849</v>
      </c>
      <c r="K1123">
        <v>250</v>
      </c>
      <c r="L1123">
        <f t="shared" si="300"/>
        <v>599</v>
      </c>
      <c r="M1123">
        <v>240</v>
      </c>
      <c r="N1123">
        <f t="shared" si="301"/>
        <v>359</v>
      </c>
    </row>
    <row r="1124" spans="1:14" x14ac:dyDescent="0.2">
      <c r="A1124" t="s">
        <v>1655</v>
      </c>
      <c r="B1124" s="1" t="s">
        <v>1652</v>
      </c>
      <c r="C1124" t="s">
        <v>14</v>
      </c>
      <c r="D1124" t="s">
        <v>1076</v>
      </c>
      <c r="E1124">
        <v>8</v>
      </c>
      <c r="F1124" t="s">
        <v>1605</v>
      </c>
      <c r="G1124">
        <v>2022</v>
      </c>
      <c r="H1124" t="s">
        <v>359</v>
      </c>
      <c r="I1124" t="s">
        <v>85</v>
      </c>
      <c r="J1124">
        <v>849</v>
      </c>
      <c r="K1124">
        <v>250</v>
      </c>
      <c r="L1124">
        <f t="shared" si="300"/>
        <v>599</v>
      </c>
      <c r="M1124">
        <v>240</v>
      </c>
      <c r="N1124">
        <f t="shared" si="301"/>
        <v>359</v>
      </c>
    </row>
    <row r="1125" spans="1:14" x14ac:dyDescent="0.2">
      <c r="A1125" t="s">
        <v>1656</v>
      </c>
      <c r="B1125" s="1" t="s">
        <v>1652</v>
      </c>
      <c r="C1125" t="s">
        <v>14</v>
      </c>
      <c r="D1125" t="s">
        <v>81</v>
      </c>
      <c r="E1125">
        <v>8</v>
      </c>
      <c r="F1125" t="s">
        <v>1605</v>
      </c>
      <c r="G1125">
        <v>2022</v>
      </c>
      <c r="H1125" t="s">
        <v>1657</v>
      </c>
      <c r="I1125" t="s">
        <v>163</v>
      </c>
      <c r="J1125">
        <v>849</v>
      </c>
      <c r="K1125">
        <v>250</v>
      </c>
      <c r="L1125">
        <f t="shared" si="300"/>
        <v>599</v>
      </c>
      <c r="M1125">
        <v>240</v>
      </c>
      <c r="N1125">
        <f t="shared" si="301"/>
        <v>359</v>
      </c>
    </row>
    <row r="1126" spans="1:14" x14ac:dyDescent="0.2">
      <c r="A1126" t="s">
        <v>1659</v>
      </c>
      <c r="B1126" s="1" t="s">
        <v>1658</v>
      </c>
      <c r="C1126" t="s">
        <v>14</v>
      </c>
      <c r="D1126" t="s">
        <v>445</v>
      </c>
      <c r="E1126">
        <v>9</v>
      </c>
      <c r="F1126" t="s">
        <v>1605</v>
      </c>
      <c r="G1126">
        <v>2022</v>
      </c>
      <c r="H1126" t="s">
        <v>1660</v>
      </c>
      <c r="I1126" t="s">
        <v>135</v>
      </c>
      <c r="J1126">
        <v>899</v>
      </c>
      <c r="K1126">
        <v>295</v>
      </c>
      <c r="L1126">
        <f t="shared" si="300"/>
        <v>604</v>
      </c>
      <c r="M1126">
        <v>240</v>
      </c>
      <c r="N1126">
        <f t="shared" si="301"/>
        <v>364</v>
      </c>
    </row>
    <row r="1127" spans="1:14" x14ac:dyDescent="0.2">
      <c r="A1127" t="s">
        <v>1661</v>
      </c>
      <c r="B1127" s="1" t="s">
        <v>1658</v>
      </c>
      <c r="C1127" t="s">
        <v>14</v>
      </c>
      <c r="D1127" t="s">
        <v>890</v>
      </c>
      <c r="E1127">
        <v>9</v>
      </c>
      <c r="F1127" t="s">
        <v>1605</v>
      </c>
      <c r="G1127">
        <v>2022</v>
      </c>
      <c r="H1127" t="s">
        <v>84</v>
      </c>
      <c r="I1127" t="s">
        <v>85</v>
      </c>
      <c r="J1127">
        <v>849</v>
      </c>
      <c r="K1127">
        <v>250</v>
      </c>
      <c r="L1127">
        <f t="shared" si="300"/>
        <v>599</v>
      </c>
      <c r="M1127">
        <v>240</v>
      </c>
      <c r="N1127">
        <f t="shared" si="301"/>
        <v>359</v>
      </c>
    </row>
    <row r="1128" spans="1:14" x14ac:dyDescent="0.2">
      <c r="A1128" t="s">
        <v>1662</v>
      </c>
      <c r="B1128" s="1" t="s">
        <v>1658</v>
      </c>
      <c r="C1128" t="s">
        <v>14</v>
      </c>
      <c r="D1128" t="s">
        <v>1663</v>
      </c>
      <c r="E1128">
        <v>9</v>
      </c>
      <c r="F1128" t="s">
        <v>1605</v>
      </c>
      <c r="G1128">
        <v>2022</v>
      </c>
      <c r="H1128" t="s">
        <v>157</v>
      </c>
      <c r="I1128" t="s">
        <v>97</v>
      </c>
      <c r="J1128">
        <v>999</v>
      </c>
      <c r="K1128">
        <v>325</v>
      </c>
      <c r="L1128">
        <f t="shared" si="300"/>
        <v>674</v>
      </c>
      <c r="M1128">
        <v>240</v>
      </c>
      <c r="N1128">
        <f t="shared" si="301"/>
        <v>434</v>
      </c>
    </row>
    <row r="1129" spans="1:14" x14ac:dyDescent="0.2">
      <c r="A1129" t="s">
        <v>1664</v>
      </c>
      <c r="B1129" s="1" t="s">
        <v>1658</v>
      </c>
      <c r="C1129" t="s">
        <v>14</v>
      </c>
      <c r="D1129" t="s">
        <v>379</v>
      </c>
      <c r="E1129">
        <v>9</v>
      </c>
      <c r="F1129" t="s">
        <v>1605</v>
      </c>
      <c r="G1129">
        <v>2022</v>
      </c>
      <c r="H1129" t="s">
        <v>157</v>
      </c>
      <c r="I1129" t="s">
        <v>97</v>
      </c>
      <c r="J1129">
        <v>799</v>
      </c>
      <c r="K1129">
        <v>205</v>
      </c>
      <c r="L1129">
        <f t="shared" si="300"/>
        <v>594</v>
      </c>
      <c r="M1129">
        <v>240</v>
      </c>
      <c r="N1129">
        <f t="shared" si="301"/>
        <v>354</v>
      </c>
    </row>
    <row r="1130" spans="1:14" x14ac:dyDescent="0.2">
      <c r="A1130" t="s">
        <v>1629</v>
      </c>
      <c r="B1130" s="1" t="s">
        <v>1616</v>
      </c>
      <c r="C1130" t="s">
        <v>106</v>
      </c>
      <c r="D1130" t="s">
        <v>1630</v>
      </c>
      <c r="E1130">
        <v>3</v>
      </c>
      <c r="F1130" t="s">
        <v>1605</v>
      </c>
      <c r="G1130">
        <v>2022</v>
      </c>
      <c r="H1130" t="s">
        <v>157</v>
      </c>
      <c r="I1130" t="s">
        <v>97</v>
      </c>
      <c r="J1130">
        <v>-799</v>
      </c>
      <c r="K1130">
        <v>320</v>
      </c>
      <c r="L1130">
        <f t="shared" ref="L1130:L1131" si="302">J1130+K1130</f>
        <v>-479</v>
      </c>
      <c r="M1130">
        <v>240</v>
      </c>
      <c r="N1130">
        <f t="shared" ref="N1130:N1131" si="303">L1130+M1130</f>
        <v>-239</v>
      </c>
    </row>
    <row r="1131" spans="1:14" x14ac:dyDescent="0.2">
      <c r="A1131" t="s">
        <v>1611</v>
      </c>
      <c r="B1131" s="1" t="s">
        <v>1609</v>
      </c>
      <c r="C1131" t="s">
        <v>106</v>
      </c>
      <c r="D1131" t="s">
        <v>81</v>
      </c>
      <c r="E1131">
        <v>2</v>
      </c>
      <c r="F1131" t="s">
        <v>1605</v>
      </c>
      <c r="G1131">
        <v>2022</v>
      </c>
      <c r="H1131" t="s">
        <v>1612</v>
      </c>
      <c r="I1131" t="s">
        <v>85</v>
      </c>
      <c r="J1131">
        <v>-849</v>
      </c>
      <c r="K1131">
        <v>345</v>
      </c>
      <c r="L1131">
        <f t="shared" si="302"/>
        <v>-504</v>
      </c>
      <c r="M1131">
        <v>240</v>
      </c>
      <c r="N1131">
        <f t="shared" si="303"/>
        <v>-264</v>
      </c>
    </row>
    <row r="1132" spans="1:14" x14ac:dyDescent="0.2">
      <c r="A1132" t="s">
        <v>1666</v>
      </c>
      <c r="B1132" s="1" t="s">
        <v>1665</v>
      </c>
      <c r="C1132" t="s">
        <v>43</v>
      </c>
      <c r="D1132" t="s">
        <v>891</v>
      </c>
      <c r="E1132">
        <v>10</v>
      </c>
      <c r="F1132" t="s">
        <v>1605</v>
      </c>
      <c r="G1132">
        <v>2022</v>
      </c>
      <c r="H1132" t="s">
        <v>215</v>
      </c>
      <c r="I1132" t="s">
        <v>135</v>
      </c>
      <c r="J1132">
        <v>0</v>
      </c>
      <c r="K1132">
        <v>0</v>
      </c>
      <c r="L1132">
        <v>0</v>
      </c>
      <c r="M1132">
        <v>0</v>
      </c>
      <c r="N1132">
        <v>0</v>
      </c>
    </row>
    <row r="1133" spans="1:14" x14ac:dyDescent="0.2">
      <c r="A1133" t="s">
        <v>1666</v>
      </c>
      <c r="B1133" s="1" t="s">
        <v>1665</v>
      </c>
      <c r="C1133" t="s">
        <v>43</v>
      </c>
      <c r="D1133" t="s">
        <v>81</v>
      </c>
      <c r="E1133">
        <v>10</v>
      </c>
      <c r="F1133" t="s">
        <v>1605</v>
      </c>
      <c r="G1133">
        <v>2022</v>
      </c>
      <c r="H1133" t="s">
        <v>215</v>
      </c>
      <c r="I1133" t="s">
        <v>135</v>
      </c>
      <c r="J1133">
        <v>0</v>
      </c>
      <c r="K1133">
        <v>0</v>
      </c>
      <c r="L1133">
        <v>0</v>
      </c>
      <c r="M1133">
        <v>0</v>
      </c>
      <c r="N1133">
        <v>0</v>
      </c>
    </row>
    <row r="1134" spans="1:14" x14ac:dyDescent="0.2">
      <c r="A1134" t="s">
        <v>1631</v>
      </c>
      <c r="B1134" s="1" t="s">
        <v>1626</v>
      </c>
      <c r="C1134" t="s">
        <v>106</v>
      </c>
      <c r="D1134" t="s">
        <v>81</v>
      </c>
      <c r="E1134">
        <v>4</v>
      </c>
      <c r="F1134" t="s">
        <v>1605</v>
      </c>
      <c r="G1134">
        <v>2022</v>
      </c>
      <c r="H1134" t="s">
        <v>838</v>
      </c>
      <c r="I1134" t="s">
        <v>253</v>
      </c>
      <c r="J1134">
        <v>-849</v>
      </c>
      <c r="K1134">
        <v>345</v>
      </c>
      <c r="L1134">
        <f t="shared" ref="L1134:L1136" si="304">J1134+K1134</f>
        <v>-504</v>
      </c>
      <c r="M1134">
        <v>240</v>
      </c>
      <c r="N1134">
        <f t="shared" ref="N1134:N1136" si="305">L1134+M1134</f>
        <v>-264</v>
      </c>
    </row>
    <row r="1135" spans="1:14" x14ac:dyDescent="0.2">
      <c r="A1135" t="s">
        <v>1640</v>
      </c>
      <c r="B1135" s="1" t="s">
        <v>1638</v>
      </c>
      <c r="C1135" t="s">
        <v>106</v>
      </c>
      <c r="D1135" t="s">
        <v>548</v>
      </c>
      <c r="E1135">
        <v>6</v>
      </c>
      <c r="F1135" t="s">
        <v>1605</v>
      </c>
      <c r="G1135">
        <v>2022</v>
      </c>
      <c r="H1135" t="s">
        <v>1562</v>
      </c>
      <c r="I1135" t="s">
        <v>135</v>
      </c>
      <c r="J1135">
        <v>-899</v>
      </c>
      <c r="K1135">
        <v>375</v>
      </c>
      <c r="L1135">
        <f t="shared" si="304"/>
        <v>-524</v>
      </c>
      <c r="M1135">
        <v>240</v>
      </c>
      <c r="N1135">
        <f t="shared" si="305"/>
        <v>-284</v>
      </c>
    </row>
    <row r="1136" spans="1:14" x14ac:dyDescent="0.2">
      <c r="A1136" t="s">
        <v>1635</v>
      </c>
      <c r="B1136" s="1" t="s">
        <v>1618</v>
      </c>
      <c r="C1136" t="s">
        <v>106</v>
      </c>
      <c r="D1136" t="s">
        <v>380</v>
      </c>
      <c r="E1136">
        <v>5</v>
      </c>
      <c r="F1136" t="s">
        <v>1605</v>
      </c>
      <c r="G1136">
        <v>2022</v>
      </c>
      <c r="H1136" t="s">
        <v>104</v>
      </c>
      <c r="I1136" t="s">
        <v>62</v>
      </c>
      <c r="J1136">
        <v>-849</v>
      </c>
      <c r="K1136">
        <v>345</v>
      </c>
      <c r="L1136">
        <f t="shared" si="304"/>
        <v>-504</v>
      </c>
      <c r="M1136">
        <v>240</v>
      </c>
      <c r="N1136">
        <f t="shared" si="305"/>
        <v>-264</v>
      </c>
    </row>
    <row r="1137" spans="1:14" x14ac:dyDescent="0.2">
      <c r="A1137" t="s">
        <v>1668</v>
      </c>
      <c r="B1137" s="1" t="s">
        <v>1667</v>
      </c>
      <c r="C1137" t="s">
        <v>20</v>
      </c>
      <c r="D1137" t="s">
        <v>169</v>
      </c>
      <c r="E1137">
        <v>11</v>
      </c>
      <c r="F1137" t="s">
        <v>1605</v>
      </c>
      <c r="G1137">
        <v>2022</v>
      </c>
      <c r="H1137" t="s">
        <v>215</v>
      </c>
      <c r="I1137" t="s">
        <v>135</v>
      </c>
      <c r="J1137">
        <v>0</v>
      </c>
      <c r="K1137">
        <v>0</v>
      </c>
      <c r="L1137">
        <v>0</v>
      </c>
      <c r="M1137">
        <v>0</v>
      </c>
      <c r="N1137">
        <v>0</v>
      </c>
    </row>
    <row r="1138" spans="1:14" x14ac:dyDescent="0.2">
      <c r="A1138" t="s">
        <v>1669</v>
      </c>
      <c r="B1138" s="1" t="s">
        <v>1665</v>
      </c>
      <c r="C1138" t="s">
        <v>14</v>
      </c>
      <c r="D1138" t="s">
        <v>133</v>
      </c>
      <c r="E1138">
        <v>10</v>
      </c>
      <c r="F1138" t="s">
        <v>1605</v>
      </c>
      <c r="G1138">
        <v>2022</v>
      </c>
      <c r="H1138" t="s">
        <v>235</v>
      </c>
      <c r="I1138" t="s">
        <v>62</v>
      </c>
      <c r="J1138">
        <v>799</v>
      </c>
      <c r="K1138">
        <v>205</v>
      </c>
      <c r="L1138">
        <f t="shared" ref="L1138:L1144" si="306">J1138-K1138</f>
        <v>594</v>
      </c>
      <c r="M1138">
        <v>240</v>
      </c>
      <c r="N1138">
        <f t="shared" ref="N1138:N1144" si="307">L1138-M1138</f>
        <v>354</v>
      </c>
    </row>
    <row r="1139" spans="1:14" x14ac:dyDescent="0.2">
      <c r="A1139" t="s">
        <v>1666</v>
      </c>
      <c r="B1139" s="1" t="s">
        <v>1665</v>
      </c>
      <c r="C1139" t="s">
        <v>14</v>
      </c>
      <c r="D1139" t="s">
        <v>891</v>
      </c>
      <c r="E1139">
        <v>10</v>
      </c>
      <c r="F1139" t="s">
        <v>1605</v>
      </c>
      <c r="G1139">
        <v>2022</v>
      </c>
      <c r="H1139" t="s">
        <v>215</v>
      </c>
      <c r="I1139" t="s">
        <v>135</v>
      </c>
      <c r="J1139">
        <v>849</v>
      </c>
      <c r="K1139">
        <v>250</v>
      </c>
      <c r="L1139">
        <f t="shared" si="306"/>
        <v>599</v>
      </c>
      <c r="M1139">
        <v>240</v>
      </c>
      <c r="N1139">
        <f t="shared" si="307"/>
        <v>359</v>
      </c>
    </row>
    <row r="1140" spans="1:14" x14ac:dyDescent="0.2">
      <c r="A1140" t="s">
        <v>1666</v>
      </c>
      <c r="B1140" s="1" t="s">
        <v>1665</v>
      </c>
      <c r="C1140" t="s">
        <v>14</v>
      </c>
      <c r="D1140" t="s">
        <v>81</v>
      </c>
      <c r="E1140">
        <v>10</v>
      </c>
      <c r="F1140" t="s">
        <v>1605</v>
      </c>
      <c r="G1140">
        <v>2022</v>
      </c>
      <c r="H1140" t="s">
        <v>215</v>
      </c>
      <c r="I1140" t="s">
        <v>135</v>
      </c>
      <c r="J1140">
        <v>849</v>
      </c>
      <c r="K1140">
        <v>250</v>
      </c>
      <c r="L1140">
        <f t="shared" si="306"/>
        <v>599</v>
      </c>
      <c r="M1140">
        <v>240</v>
      </c>
      <c r="N1140">
        <f t="shared" si="307"/>
        <v>359</v>
      </c>
    </row>
    <row r="1141" spans="1:14" x14ac:dyDescent="0.2">
      <c r="A1141" t="s">
        <v>1670</v>
      </c>
      <c r="B1141" s="1" t="s">
        <v>1667</v>
      </c>
      <c r="C1141" t="s">
        <v>14</v>
      </c>
      <c r="D1141" t="s">
        <v>1671</v>
      </c>
      <c r="E1141">
        <v>11</v>
      </c>
      <c r="F1141" t="s">
        <v>1605</v>
      </c>
      <c r="G1141">
        <v>2022</v>
      </c>
      <c r="H1141" t="s">
        <v>1672</v>
      </c>
      <c r="I1141" t="s">
        <v>28</v>
      </c>
      <c r="J1141">
        <v>799</v>
      </c>
      <c r="K1141">
        <v>205</v>
      </c>
      <c r="L1141">
        <f t="shared" si="306"/>
        <v>594</v>
      </c>
      <c r="M1141">
        <v>240</v>
      </c>
      <c r="N1141">
        <f t="shared" si="307"/>
        <v>354</v>
      </c>
    </row>
    <row r="1142" spans="1:14" x14ac:dyDescent="0.2">
      <c r="A1142" t="s">
        <v>1673</v>
      </c>
      <c r="B1142" s="1" t="s">
        <v>1665</v>
      </c>
      <c r="C1142" t="s">
        <v>14</v>
      </c>
      <c r="D1142" t="s">
        <v>993</v>
      </c>
      <c r="E1142">
        <v>10</v>
      </c>
      <c r="F1142" t="s">
        <v>1605</v>
      </c>
      <c r="G1142">
        <v>2022</v>
      </c>
      <c r="H1142" t="s">
        <v>104</v>
      </c>
      <c r="I1142" t="s">
        <v>62</v>
      </c>
      <c r="J1142">
        <v>799</v>
      </c>
      <c r="K1142">
        <v>205</v>
      </c>
      <c r="L1142">
        <f t="shared" si="306"/>
        <v>594</v>
      </c>
      <c r="M1142">
        <v>240</v>
      </c>
      <c r="N1142">
        <f t="shared" si="307"/>
        <v>354</v>
      </c>
    </row>
    <row r="1143" spans="1:14" x14ac:dyDescent="0.2">
      <c r="A1143" t="s">
        <v>1674</v>
      </c>
      <c r="B1143" s="1" t="s">
        <v>1667</v>
      </c>
      <c r="C1143" t="s">
        <v>14</v>
      </c>
      <c r="D1143" t="s">
        <v>1675</v>
      </c>
      <c r="E1143">
        <v>11</v>
      </c>
      <c r="F1143" t="s">
        <v>1605</v>
      </c>
      <c r="G1143">
        <v>2022</v>
      </c>
      <c r="H1143" t="s">
        <v>1676</v>
      </c>
      <c r="I1143" t="s">
        <v>122</v>
      </c>
      <c r="J1143">
        <v>849</v>
      </c>
      <c r="K1143">
        <v>250</v>
      </c>
      <c r="L1143">
        <f t="shared" si="306"/>
        <v>599</v>
      </c>
      <c r="M1143">
        <v>240</v>
      </c>
      <c r="N1143">
        <f t="shared" si="307"/>
        <v>359</v>
      </c>
    </row>
    <row r="1144" spans="1:14" x14ac:dyDescent="0.2">
      <c r="A1144" t="s">
        <v>1677</v>
      </c>
      <c r="B1144" s="1" t="s">
        <v>1667</v>
      </c>
      <c r="C1144" t="s">
        <v>14</v>
      </c>
      <c r="D1144" t="s">
        <v>1386</v>
      </c>
      <c r="E1144">
        <v>11</v>
      </c>
      <c r="F1144" t="s">
        <v>1605</v>
      </c>
      <c r="G1144">
        <v>2022</v>
      </c>
      <c r="H1144" t="s">
        <v>246</v>
      </c>
      <c r="I1144" t="s">
        <v>58</v>
      </c>
      <c r="J1144">
        <v>799</v>
      </c>
      <c r="K1144">
        <v>205</v>
      </c>
      <c r="L1144">
        <f t="shared" si="306"/>
        <v>594</v>
      </c>
      <c r="M1144">
        <v>240</v>
      </c>
      <c r="N1144">
        <f t="shared" si="307"/>
        <v>354</v>
      </c>
    </row>
    <row r="1145" spans="1:14" x14ac:dyDescent="0.2">
      <c r="A1145" t="s">
        <v>1679</v>
      </c>
      <c r="B1145" s="1" t="s">
        <v>1678</v>
      </c>
      <c r="C1145" t="s">
        <v>43</v>
      </c>
      <c r="D1145" t="s">
        <v>1144</v>
      </c>
      <c r="E1145">
        <v>12</v>
      </c>
      <c r="F1145" t="s">
        <v>1605</v>
      </c>
      <c r="G1145">
        <v>2022</v>
      </c>
      <c r="H1145" t="s">
        <v>246</v>
      </c>
      <c r="I1145" t="s">
        <v>58</v>
      </c>
      <c r="J1145">
        <v>0</v>
      </c>
      <c r="K1145">
        <v>0</v>
      </c>
      <c r="L1145">
        <v>0</v>
      </c>
      <c r="M1145">
        <v>0</v>
      </c>
      <c r="N1145">
        <v>0</v>
      </c>
    </row>
    <row r="1146" spans="1:14" x14ac:dyDescent="0.2">
      <c r="A1146" t="s">
        <v>1680</v>
      </c>
      <c r="B1146" s="1" t="s">
        <v>1678</v>
      </c>
      <c r="C1146" t="s">
        <v>14</v>
      </c>
      <c r="D1146" t="s">
        <v>879</v>
      </c>
      <c r="E1146">
        <v>12</v>
      </c>
      <c r="F1146" t="s">
        <v>1605</v>
      </c>
      <c r="G1146">
        <v>2022</v>
      </c>
      <c r="H1146" t="s">
        <v>84</v>
      </c>
      <c r="I1146" t="s">
        <v>85</v>
      </c>
      <c r="J1146">
        <v>849</v>
      </c>
      <c r="K1146">
        <v>250</v>
      </c>
      <c r="L1146">
        <f t="shared" ref="L1146:L1151" si="308">J1146-K1146</f>
        <v>599</v>
      </c>
      <c r="M1146">
        <v>240</v>
      </c>
      <c r="N1146">
        <f t="shared" ref="N1146:N1151" si="309">L1146-M1146</f>
        <v>359</v>
      </c>
    </row>
    <row r="1147" spans="1:14" x14ac:dyDescent="0.2">
      <c r="A1147" t="s">
        <v>1681</v>
      </c>
      <c r="B1147" s="1" t="s">
        <v>1678</v>
      </c>
      <c r="C1147" t="s">
        <v>14</v>
      </c>
      <c r="D1147" t="s">
        <v>81</v>
      </c>
      <c r="E1147">
        <v>12</v>
      </c>
      <c r="F1147" t="s">
        <v>1605</v>
      </c>
      <c r="G1147">
        <v>2022</v>
      </c>
      <c r="H1147" t="s">
        <v>1521</v>
      </c>
      <c r="I1147" t="s">
        <v>122</v>
      </c>
      <c r="J1147">
        <v>849</v>
      </c>
      <c r="K1147">
        <v>250</v>
      </c>
      <c r="L1147">
        <f t="shared" si="308"/>
        <v>599</v>
      </c>
      <c r="M1147">
        <v>240</v>
      </c>
      <c r="N1147">
        <f t="shared" si="309"/>
        <v>359</v>
      </c>
    </row>
    <row r="1148" spans="1:14" x14ac:dyDescent="0.2">
      <c r="A1148" t="s">
        <v>1682</v>
      </c>
      <c r="B1148" s="1" t="s">
        <v>1678</v>
      </c>
      <c r="C1148" t="s">
        <v>14</v>
      </c>
      <c r="D1148" t="s">
        <v>915</v>
      </c>
      <c r="E1148">
        <v>12</v>
      </c>
      <c r="F1148" t="s">
        <v>1605</v>
      </c>
      <c r="G1148">
        <v>2022</v>
      </c>
      <c r="H1148" t="s">
        <v>1545</v>
      </c>
      <c r="I1148" t="s">
        <v>85</v>
      </c>
      <c r="J1148">
        <v>799</v>
      </c>
      <c r="K1148">
        <v>205</v>
      </c>
      <c r="L1148">
        <f t="shared" si="308"/>
        <v>594</v>
      </c>
      <c r="M1148">
        <v>240</v>
      </c>
      <c r="N1148">
        <f t="shared" si="309"/>
        <v>354</v>
      </c>
    </row>
    <row r="1149" spans="1:14" x14ac:dyDescent="0.2">
      <c r="A1149" t="s">
        <v>1683</v>
      </c>
      <c r="B1149" s="1" t="s">
        <v>1678</v>
      </c>
      <c r="C1149" t="s">
        <v>14</v>
      </c>
      <c r="D1149" t="s">
        <v>881</v>
      </c>
      <c r="E1149">
        <v>12</v>
      </c>
      <c r="F1149" t="s">
        <v>1605</v>
      </c>
      <c r="G1149">
        <v>2022</v>
      </c>
      <c r="H1149" t="s">
        <v>1684</v>
      </c>
      <c r="I1149" t="s">
        <v>253</v>
      </c>
      <c r="J1149">
        <v>799</v>
      </c>
      <c r="K1149">
        <v>205</v>
      </c>
      <c r="L1149">
        <f t="shared" si="308"/>
        <v>594</v>
      </c>
      <c r="M1149">
        <v>240</v>
      </c>
      <c r="N1149">
        <f t="shared" si="309"/>
        <v>354</v>
      </c>
    </row>
    <row r="1150" spans="1:14" x14ac:dyDescent="0.2">
      <c r="A1150" t="s">
        <v>1685</v>
      </c>
      <c r="B1150" s="1" t="s">
        <v>1678</v>
      </c>
      <c r="C1150" t="s">
        <v>14</v>
      </c>
      <c r="D1150" t="s">
        <v>1686</v>
      </c>
      <c r="E1150">
        <v>12</v>
      </c>
      <c r="F1150" t="s">
        <v>1605</v>
      </c>
      <c r="G1150">
        <v>2022</v>
      </c>
      <c r="H1150" t="s">
        <v>965</v>
      </c>
      <c r="I1150" t="s">
        <v>122</v>
      </c>
      <c r="J1150">
        <v>799</v>
      </c>
      <c r="K1150">
        <v>205</v>
      </c>
      <c r="L1150">
        <f t="shared" si="308"/>
        <v>594</v>
      </c>
      <c r="M1150">
        <v>240</v>
      </c>
      <c r="N1150">
        <f t="shared" si="309"/>
        <v>354</v>
      </c>
    </row>
    <row r="1151" spans="1:14" x14ac:dyDescent="0.2">
      <c r="A1151" t="s">
        <v>1688</v>
      </c>
      <c r="B1151" s="1" t="s">
        <v>1687</v>
      </c>
      <c r="C1151" t="s">
        <v>14</v>
      </c>
      <c r="D1151" t="s">
        <v>81</v>
      </c>
      <c r="E1151">
        <v>13</v>
      </c>
      <c r="F1151" t="s">
        <v>1605</v>
      </c>
      <c r="G1151">
        <v>2022</v>
      </c>
      <c r="H1151" t="s">
        <v>84</v>
      </c>
      <c r="I1151" t="s">
        <v>85</v>
      </c>
      <c r="J1151">
        <v>849</v>
      </c>
      <c r="K1151">
        <v>250</v>
      </c>
      <c r="L1151">
        <f t="shared" si="308"/>
        <v>599</v>
      </c>
      <c r="M1151">
        <v>240</v>
      </c>
      <c r="N1151">
        <f t="shared" si="309"/>
        <v>359</v>
      </c>
    </row>
    <row r="1152" spans="1:14" x14ac:dyDescent="0.2">
      <c r="A1152" t="s">
        <v>1690</v>
      </c>
      <c r="B1152" s="1" t="s">
        <v>1689</v>
      </c>
      <c r="C1152" t="s">
        <v>43</v>
      </c>
      <c r="D1152" t="s">
        <v>133</v>
      </c>
      <c r="E1152">
        <v>14</v>
      </c>
      <c r="F1152" t="s">
        <v>1605</v>
      </c>
      <c r="G1152">
        <v>2022</v>
      </c>
      <c r="H1152" t="s">
        <v>22</v>
      </c>
      <c r="I1152" t="s">
        <v>23</v>
      </c>
      <c r="J1152">
        <v>0</v>
      </c>
      <c r="K1152">
        <v>0</v>
      </c>
      <c r="L1152">
        <v>0</v>
      </c>
      <c r="M1152">
        <v>0</v>
      </c>
      <c r="N1152">
        <v>0</v>
      </c>
    </row>
    <row r="1153" spans="1:14" x14ac:dyDescent="0.2">
      <c r="A1153" t="s">
        <v>1650</v>
      </c>
      <c r="B1153" s="1" t="s">
        <v>1647</v>
      </c>
      <c r="C1153" t="s">
        <v>106</v>
      </c>
      <c r="D1153" t="s">
        <v>977</v>
      </c>
      <c r="E1153">
        <v>7</v>
      </c>
      <c r="F1153" t="s">
        <v>1605</v>
      </c>
      <c r="G1153">
        <v>2022</v>
      </c>
      <c r="H1153" t="s">
        <v>1651</v>
      </c>
      <c r="I1153" t="s">
        <v>85</v>
      </c>
      <c r="J1153">
        <v>-799</v>
      </c>
      <c r="K1153">
        <v>320</v>
      </c>
      <c r="L1153">
        <f>J1153+K1153</f>
        <v>-479</v>
      </c>
      <c r="M1153">
        <v>240</v>
      </c>
      <c r="N1153">
        <f>L1153+M1153</f>
        <v>-239</v>
      </c>
    </row>
    <row r="1154" spans="1:14" x14ac:dyDescent="0.2">
      <c r="A1154" t="s">
        <v>1691</v>
      </c>
      <c r="B1154" s="1" t="s">
        <v>1689</v>
      </c>
      <c r="C1154" t="s">
        <v>14</v>
      </c>
      <c r="D1154" t="s">
        <v>169</v>
      </c>
      <c r="E1154">
        <v>14</v>
      </c>
      <c r="F1154" t="s">
        <v>1605</v>
      </c>
      <c r="G1154">
        <v>2022</v>
      </c>
      <c r="H1154" t="s">
        <v>101</v>
      </c>
      <c r="I1154" t="s">
        <v>62</v>
      </c>
      <c r="J1154">
        <v>799</v>
      </c>
      <c r="K1154">
        <v>205</v>
      </c>
      <c r="L1154">
        <f t="shared" ref="L1154:L1157" si="310">J1154-K1154</f>
        <v>594</v>
      </c>
      <c r="M1154">
        <v>240</v>
      </c>
      <c r="N1154">
        <f t="shared" ref="N1154:N1157" si="311">L1154-M1154</f>
        <v>354</v>
      </c>
    </row>
    <row r="1155" spans="1:14" x14ac:dyDescent="0.2">
      <c r="A1155" t="s">
        <v>1692</v>
      </c>
      <c r="B1155" s="1" t="s">
        <v>1689</v>
      </c>
      <c r="C1155" t="s">
        <v>14</v>
      </c>
      <c r="D1155" t="s">
        <v>1671</v>
      </c>
      <c r="E1155">
        <v>14</v>
      </c>
      <c r="F1155" t="s">
        <v>1605</v>
      </c>
      <c r="G1155">
        <v>2022</v>
      </c>
      <c r="H1155" t="s">
        <v>157</v>
      </c>
      <c r="I1155" t="s">
        <v>97</v>
      </c>
      <c r="J1155">
        <v>799</v>
      </c>
      <c r="K1155">
        <v>205</v>
      </c>
      <c r="L1155">
        <f t="shared" si="310"/>
        <v>594</v>
      </c>
      <c r="M1155">
        <v>240</v>
      </c>
      <c r="N1155">
        <f t="shared" si="311"/>
        <v>354</v>
      </c>
    </row>
    <row r="1156" spans="1:14" x14ac:dyDescent="0.2">
      <c r="A1156" t="s">
        <v>1693</v>
      </c>
      <c r="B1156" s="1" t="s">
        <v>1689</v>
      </c>
      <c r="C1156" t="s">
        <v>14</v>
      </c>
      <c r="D1156" t="s">
        <v>901</v>
      </c>
      <c r="E1156">
        <v>14</v>
      </c>
      <c r="F1156" t="s">
        <v>1605</v>
      </c>
      <c r="G1156">
        <v>2022</v>
      </c>
      <c r="H1156" t="s">
        <v>1694</v>
      </c>
      <c r="I1156" t="s">
        <v>85</v>
      </c>
      <c r="J1156">
        <v>799</v>
      </c>
      <c r="K1156">
        <v>205</v>
      </c>
      <c r="L1156">
        <f t="shared" si="310"/>
        <v>594</v>
      </c>
      <c r="M1156">
        <v>240</v>
      </c>
      <c r="N1156">
        <f t="shared" si="311"/>
        <v>354</v>
      </c>
    </row>
    <row r="1157" spans="1:14" x14ac:dyDescent="0.2">
      <c r="A1157" t="s">
        <v>1695</v>
      </c>
      <c r="B1157" s="1" t="s">
        <v>1689</v>
      </c>
      <c r="C1157" t="s">
        <v>14</v>
      </c>
      <c r="D1157" t="s">
        <v>379</v>
      </c>
      <c r="E1157">
        <v>14</v>
      </c>
      <c r="F1157" t="s">
        <v>1605</v>
      </c>
      <c r="G1157">
        <v>2022</v>
      </c>
      <c r="H1157" t="s">
        <v>1696</v>
      </c>
      <c r="I1157" t="s">
        <v>23</v>
      </c>
      <c r="J1157">
        <v>799</v>
      </c>
      <c r="K1157">
        <v>205</v>
      </c>
      <c r="L1157">
        <f t="shared" si="310"/>
        <v>594</v>
      </c>
      <c r="M1157">
        <v>240</v>
      </c>
      <c r="N1157">
        <f t="shared" si="311"/>
        <v>354</v>
      </c>
    </row>
    <row r="1158" spans="1:14" x14ac:dyDescent="0.2">
      <c r="A1158" t="s">
        <v>1621</v>
      </c>
      <c r="B1158" s="1" t="s">
        <v>1616</v>
      </c>
      <c r="C1158" t="s">
        <v>106</v>
      </c>
      <c r="D1158" t="s">
        <v>895</v>
      </c>
      <c r="E1158">
        <v>3</v>
      </c>
      <c r="F1158" t="s">
        <v>1605</v>
      </c>
      <c r="G1158">
        <v>2022</v>
      </c>
      <c r="H1158" t="s">
        <v>246</v>
      </c>
      <c r="I1158" t="s">
        <v>58</v>
      </c>
      <c r="J1158">
        <v>-849</v>
      </c>
      <c r="K1158">
        <v>345</v>
      </c>
      <c r="L1158">
        <f>J1158+K1158</f>
        <v>-504</v>
      </c>
      <c r="M1158">
        <v>240</v>
      </c>
      <c r="N1158">
        <f>L1158+M1158</f>
        <v>-264</v>
      </c>
    </row>
    <row r="1159" spans="1:14" x14ac:dyDescent="0.2">
      <c r="A1159" t="s">
        <v>1698</v>
      </c>
      <c r="B1159" s="1" t="s">
        <v>1697</v>
      </c>
      <c r="C1159" t="s">
        <v>43</v>
      </c>
      <c r="D1159" t="s">
        <v>1699</v>
      </c>
      <c r="E1159">
        <v>15</v>
      </c>
      <c r="F1159" t="s">
        <v>1605</v>
      </c>
      <c r="G1159">
        <v>2022</v>
      </c>
      <c r="H1159" t="s">
        <v>193</v>
      </c>
      <c r="I1159" t="s">
        <v>62</v>
      </c>
      <c r="J1159">
        <v>0</v>
      </c>
      <c r="K1159">
        <v>0</v>
      </c>
      <c r="L1159">
        <v>0</v>
      </c>
      <c r="M1159">
        <v>0</v>
      </c>
      <c r="N1159">
        <v>0</v>
      </c>
    </row>
    <row r="1160" spans="1:14" x14ac:dyDescent="0.2">
      <c r="A1160" t="s">
        <v>1644</v>
      </c>
      <c r="B1160" s="1" t="s">
        <v>1626</v>
      </c>
      <c r="C1160" t="s">
        <v>106</v>
      </c>
      <c r="D1160" t="s">
        <v>81</v>
      </c>
      <c r="E1160">
        <v>4</v>
      </c>
      <c r="F1160" t="s">
        <v>1605</v>
      </c>
      <c r="G1160">
        <v>2022</v>
      </c>
      <c r="H1160" t="s">
        <v>235</v>
      </c>
      <c r="I1160" t="s">
        <v>62</v>
      </c>
      <c r="J1160">
        <v>-849</v>
      </c>
      <c r="K1160">
        <v>345</v>
      </c>
      <c r="L1160">
        <f>J1160+K1160</f>
        <v>-504</v>
      </c>
      <c r="M1160">
        <v>240</v>
      </c>
      <c r="N1160">
        <f>L1160+M1160</f>
        <v>-264</v>
      </c>
    </row>
    <row r="1161" spans="1:14" x14ac:dyDescent="0.2">
      <c r="A1161" t="s">
        <v>1698</v>
      </c>
      <c r="B1161" s="1" t="s">
        <v>1697</v>
      </c>
      <c r="C1161" t="s">
        <v>14</v>
      </c>
      <c r="D1161" t="s">
        <v>1699</v>
      </c>
      <c r="E1161">
        <v>15</v>
      </c>
      <c r="F1161" t="s">
        <v>1605</v>
      </c>
      <c r="G1161">
        <v>2022</v>
      </c>
      <c r="H1161" t="s">
        <v>193</v>
      </c>
      <c r="I1161" t="s">
        <v>62</v>
      </c>
      <c r="J1161">
        <v>799</v>
      </c>
      <c r="K1161">
        <v>205</v>
      </c>
      <c r="L1161">
        <f t="shared" ref="L1161:L1162" si="312">J1161-K1161</f>
        <v>594</v>
      </c>
      <c r="M1161">
        <v>240</v>
      </c>
      <c r="N1161">
        <f t="shared" ref="N1161:N1162" si="313">L1161-M1161</f>
        <v>354</v>
      </c>
    </row>
    <row r="1162" spans="1:14" x14ac:dyDescent="0.2">
      <c r="A1162" t="s">
        <v>1700</v>
      </c>
      <c r="B1162" s="1" t="s">
        <v>1697</v>
      </c>
      <c r="C1162" t="s">
        <v>14</v>
      </c>
      <c r="D1162" t="s">
        <v>81</v>
      </c>
      <c r="E1162">
        <v>15</v>
      </c>
      <c r="F1162" t="s">
        <v>1605</v>
      </c>
      <c r="G1162">
        <v>2022</v>
      </c>
      <c r="H1162" t="s">
        <v>235</v>
      </c>
      <c r="I1162" t="s">
        <v>62</v>
      </c>
      <c r="J1162">
        <v>849</v>
      </c>
      <c r="K1162">
        <v>250</v>
      </c>
      <c r="L1162">
        <f t="shared" si="312"/>
        <v>599</v>
      </c>
      <c r="M1162">
        <v>240</v>
      </c>
      <c r="N1162">
        <f t="shared" si="313"/>
        <v>359</v>
      </c>
    </row>
    <row r="1163" spans="1:14" x14ac:dyDescent="0.2">
      <c r="A1163" t="s">
        <v>1655</v>
      </c>
      <c r="B1163" s="1" t="s">
        <v>1652</v>
      </c>
      <c r="C1163" t="s">
        <v>106</v>
      </c>
      <c r="D1163" t="s">
        <v>1076</v>
      </c>
      <c r="E1163">
        <v>8</v>
      </c>
      <c r="F1163" t="s">
        <v>1605</v>
      </c>
      <c r="G1163">
        <v>2022</v>
      </c>
      <c r="H1163" t="s">
        <v>359</v>
      </c>
      <c r="I1163" t="s">
        <v>85</v>
      </c>
      <c r="J1163">
        <v>-849</v>
      </c>
      <c r="K1163">
        <v>345</v>
      </c>
      <c r="L1163">
        <f t="shared" ref="L1163:L1164" si="314">J1163+K1163</f>
        <v>-504</v>
      </c>
      <c r="M1163">
        <v>240</v>
      </c>
      <c r="N1163">
        <f t="shared" ref="N1163:N1164" si="315">L1163+M1163</f>
        <v>-264</v>
      </c>
    </row>
    <row r="1164" spans="1:14" x14ac:dyDescent="0.2">
      <c r="A1164" t="s">
        <v>1673</v>
      </c>
      <c r="B1164" s="1" t="s">
        <v>1665</v>
      </c>
      <c r="C1164" t="s">
        <v>106</v>
      </c>
      <c r="D1164" t="s">
        <v>993</v>
      </c>
      <c r="E1164">
        <v>10</v>
      </c>
      <c r="F1164" t="s">
        <v>1605</v>
      </c>
      <c r="G1164">
        <v>2022</v>
      </c>
      <c r="H1164" t="s">
        <v>104</v>
      </c>
      <c r="I1164" t="s">
        <v>62</v>
      </c>
      <c r="J1164">
        <v>-799</v>
      </c>
      <c r="K1164">
        <v>320</v>
      </c>
      <c r="L1164">
        <f t="shared" si="314"/>
        <v>-479</v>
      </c>
      <c r="M1164">
        <v>240</v>
      </c>
      <c r="N1164">
        <f t="shared" si="315"/>
        <v>-239</v>
      </c>
    </row>
    <row r="1165" spans="1:14" x14ac:dyDescent="0.2">
      <c r="A1165" t="s">
        <v>1702</v>
      </c>
      <c r="B1165" s="1" t="s">
        <v>1701</v>
      </c>
      <c r="C1165" t="s">
        <v>14</v>
      </c>
      <c r="D1165" t="s">
        <v>380</v>
      </c>
      <c r="E1165">
        <v>16</v>
      </c>
      <c r="F1165" t="s">
        <v>1605</v>
      </c>
      <c r="G1165">
        <v>2022</v>
      </c>
      <c r="H1165" t="s">
        <v>150</v>
      </c>
      <c r="I1165" t="s">
        <v>62</v>
      </c>
      <c r="J1165">
        <v>849</v>
      </c>
      <c r="K1165">
        <v>250</v>
      </c>
      <c r="L1165">
        <f t="shared" ref="L1165:L1169" si="316">J1165-K1165</f>
        <v>599</v>
      </c>
      <c r="M1165">
        <v>240</v>
      </c>
      <c r="N1165">
        <f t="shared" ref="N1165:N1169" si="317">L1165-M1165</f>
        <v>359</v>
      </c>
    </row>
    <row r="1166" spans="1:14" x14ac:dyDescent="0.2">
      <c r="A1166" t="s">
        <v>1703</v>
      </c>
      <c r="B1166" s="1" t="s">
        <v>1701</v>
      </c>
      <c r="C1166" t="s">
        <v>14</v>
      </c>
      <c r="D1166" t="s">
        <v>504</v>
      </c>
      <c r="E1166">
        <v>16</v>
      </c>
      <c r="F1166" t="s">
        <v>1605</v>
      </c>
      <c r="G1166">
        <v>2022</v>
      </c>
      <c r="H1166" t="s">
        <v>84</v>
      </c>
      <c r="I1166" t="s">
        <v>85</v>
      </c>
      <c r="J1166">
        <v>899</v>
      </c>
      <c r="K1166">
        <v>295</v>
      </c>
      <c r="L1166">
        <f t="shared" si="316"/>
        <v>604</v>
      </c>
      <c r="M1166">
        <v>240</v>
      </c>
      <c r="N1166">
        <f t="shared" si="317"/>
        <v>364</v>
      </c>
    </row>
    <row r="1167" spans="1:14" x14ac:dyDescent="0.2">
      <c r="A1167" t="s">
        <v>1704</v>
      </c>
      <c r="B1167" s="1" t="s">
        <v>1701</v>
      </c>
      <c r="C1167" t="s">
        <v>14</v>
      </c>
      <c r="D1167" t="s">
        <v>879</v>
      </c>
      <c r="E1167">
        <v>16</v>
      </c>
      <c r="F1167" t="s">
        <v>1605</v>
      </c>
      <c r="G1167">
        <v>2022</v>
      </c>
      <c r="H1167" t="s">
        <v>170</v>
      </c>
      <c r="I1167" t="s">
        <v>171</v>
      </c>
      <c r="J1167">
        <v>849</v>
      </c>
      <c r="K1167">
        <v>250</v>
      </c>
      <c r="L1167">
        <f t="shared" si="316"/>
        <v>599</v>
      </c>
      <c r="M1167">
        <v>240</v>
      </c>
      <c r="N1167">
        <f t="shared" si="317"/>
        <v>359</v>
      </c>
    </row>
    <row r="1168" spans="1:14" x14ac:dyDescent="0.2">
      <c r="A1168" t="s">
        <v>1705</v>
      </c>
      <c r="B1168" s="1" t="s">
        <v>1701</v>
      </c>
      <c r="C1168" t="s">
        <v>14</v>
      </c>
      <c r="D1168" t="s">
        <v>863</v>
      </c>
      <c r="E1168">
        <v>16</v>
      </c>
      <c r="F1168" t="s">
        <v>1605</v>
      </c>
      <c r="G1168">
        <v>2022</v>
      </c>
      <c r="H1168" t="s">
        <v>162</v>
      </c>
      <c r="I1168" t="s">
        <v>163</v>
      </c>
      <c r="J1168">
        <v>799</v>
      </c>
      <c r="K1168">
        <v>205</v>
      </c>
      <c r="L1168">
        <f t="shared" si="316"/>
        <v>594</v>
      </c>
      <c r="M1168">
        <v>240</v>
      </c>
      <c r="N1168">
        <f t="shared" si="317"/>
        <v>354</v>
      </c>
    </row>
    <row r="1169" spans="1:14" x14ac:dyDescent="0.2">
      <c r="A1169" t="s">
        <v>1706</v>
      </c>
      <c r="B1169" s="1" t="s">
        <v>1701</v>
      </c>
      <c r="C1169" t="s">
        <v>14</v>
      </c>
      <c r="D1169" t="s">
        <v>1144</v>
      </c>
      <c r="E1169">
        <v>16</v>
      </c>
      <c r="F1169" t="s">
        <v>1605</v>
      </c>
      <c r="G1169">
        <v>2022</v>
      </c>
      <c r="H1169" t="s">
        <v>1417</v>
      </c>
      <c r="I1169" t="s">
        <v>37</v>
      </c>
      <c r="J1169">
        <v>799</v>
      </c>
      <c r="K1169">
        <v>205</v>
      </c>
      <c r="L1169">
        <f t="shared" si="316"/>
        <v>594</v>
      </c>
      <c r="M1169">
        <v>240</v>
      </c>
      <c r="N1169">
        <f t="shared" si="317"/>
        <v>354</v>
      </c>
    </row>
    <row r="1170" spans="1:14" x14ac:dyDescent="0.2">
      <c r="A1170" t="s">
        <v>1661</v>
      </c>
      <c r="B1170" s="1" t="s">
        <v>1658</v>
      </c>
      <c r="C1170" t="s">
        <v>106</v>
      </c>
      <c r="D1170" t="s">
        <v>890</v>
      </c>
      <c r="E1170">
        <v>9</v>
      </c>
      <c r="F1170" t="s">
        <v>1605</v>
      </c>
      <c r="G1170">
        <v>2022</v>
      </c>
      <c r="H1170" t="s">
        <v>84</v>
      </c>
      <c r="I1170" t="s">
        <v>85</v>
      </c>
      <c r="J1170">
        <v>-849</v>
      </c>
      <c r="K1170">
        <v>345</v>
      </c>
      <c r="L1170">
        <f>J1170+K1170</f>
        <v>-504</v>
      </c>
      <c r="M1170">
        <v>240</v>
      </c>
      <c r="N1170">
        <f>L1170+M1170</f>
        <v>-264</v>
      </c>
    </row>
    <row r="1171" spans="1:14" x14ac:dyDescent="0.2">
      <c r="A1171" t="s">
        <v>1708</v>
      </c>
      <c r="B1171" s="1" t="s">
        <v>1707</v>
      </c>
      <c r="C1171" t="s">
        <v>43</v>
      </c>
      <c r="D1171" t="s">
        <v>967</v>
      </c>
      <c r="E1171">
        <v>18</v>
      </c>
      <c r="F1171" t="s">
        <v>1605</v>
      </c>
      <c r="G1171">
        <v>2022</v>
      </c>
      <c r="H1171" t="s">
        <v>157</v>
      </c>
      <c r="I1171" t="s">
        <v>97</v>
      </c>
      <c r="J1171">
        <v>0</v>
      </c>
      <c r="K1171">
        <v>0</v>
      </c>
      <c r="L1171">
        <v>0</v>
      </c>
      <c r="M1171">
        <v>0</v>
      </c>
      <c r="N1171">
        <v>0</v>
      </c>
    </row>
    <row r="1172" spans="1:14" x14ac:dyDescent="0.2">
      <c r="A1172" t="s">
        <v>1708</v>
      </c>
      <c r="B1172" s="1" t="s">
        <v>1707</v>
      </c>
      <c r="C1172" t="s">
        <v>43</v>
      </c>
      <c r="D1172" t="s">
        <v>1386</v>
      </c>
      <c r="E1172">
        <v>18</v>
      </c>
      <c r="F1172" t="s">
        <v>1605</v>
      </c>
      <c r="G1172">
        <v>2022</v>
      </c>
      <c r="H1172" t="s">
        <v>157</v>
      </c>
      <c r="I1172" t="s">
        <v>97</v>
      </c>
      <c r="J1172">
        <v>0</v>
      </c>
      <c r="K1172">
        <v>0</v>
      </c>
      <c r="L1172">
        <v>0</v>
      </c>
      <c r="M1172">
        <v>0</v>
      </c>
      <c r="N1172">
        <v>0</v>
      </c>
    </row>
    <row r="1173" spans="1:14" x14ac:dyDescent="0.2">
      <c r="A1173" t="s">
        <v>1666</v>
      </c>
      <c r="B1173" s="1" t="s">
        <v>1665</v>
      </c>
      <c r="C1173" t="s">
        <v>106</v>
      </c>
      <c r="D1173" t="s">
        <v>81</v>
      </c>
      <c r="E1173">
        <v>10</v>
      </c>
      <c r="F1173" t="s">
        <v>1605</v>
      </c>
      <c r="G1173">
        <v>2022</v>
      </c>
      <c r="H1173" t="s">
        <v>215</v>
      </c>
      <c r="I1173" t="s">
        <v>135</v>
      </c>
      <c r="J1173">
        <v>-849</v>
      </c>
      <c r="K1173">
        <v>345</v>
      </c>
      <c r="L1173">
        <f>J1173+K1173</f>
        <v>-504</v>
      </c>
      <c r="M1173">
        <v>240</v>
      </c>
      <c r="N1173">
        <f>L1173+M1173</f>
        <v>-264</v>
      </c>
    </row>
    <row r="1174" spans="1:14" x14ac:dyDescent="0.2">
      <c r="A1174" t="s">
        <v>1709</v>
      </c>
      <c r="B1174" s="1" t="s">
        <v>1707</v>
      </c>
      <c r="C1174" t="s">
        <v>20</v>
      </c>
      <c r="D1174" t="s">
        <v>1127</v>
      </c>
      <c r="E1174">
        <v>18</v>
      </c>
      <c r="F1174" t="s">
        <v>1605</v>
      </c>
      <c r="G1174">
        <v>2022</v>
      </c>
      <c r="H1174" t="s">
        <v>157</v>
      </c>
      <c r="I1174" t="s">
        <v>97</v>
      </c>
      <c r="J1174">
        <v>0</v>
      </c>
      <c r="K1174">
        <v>0</v>
      </c>
      <c r="L1174">
        <v>0</v>
      </c>
      <c r="M1174">
        <v>0</v>
      </c>
      <c r="N1174">
        <v>0</v>
      </c>
    </row>
    <row r="1175" spans="1:14" x14ac:dyDescent="0.2">
      <c r="A1175" t="s">
        <v>1710</v>
      </c>
      <c r="B1175" s="1" t="s">
        <v>1707</v>
      </c>
      <c r="C1175" t="s">
        <v>14</v>
      </c>
      <c r="D1175" t="s">
        <v>133</v>
      </c>
      <c r="E1175">
        <v>18</v>
      </c>
      <c r="F1175" t="s">
        <v>1605</v>
      </c>
      <c r="G1175">
        <v>2022</v>
      </c>
      <c r="H1175" t="s">
        <v>705</v>
      </c>
      <c r="I1175" t="s">
        <v>62</v>
      </c>
      <c r="J1175">
        <v>799</v>
      </c>
      <c r="K1175">
        <v>205</v>
      </c>
      <c r="L1175">
        <f>J1175-K1175</f>
        <v>594</v>
      </c>
      <c r="M1175">
        <v>240</v>
      </c>
      <c r="N1175">
        <f>L1175-M1175</f>
        <v>354</v>
      </c>
    </row>
    <row r="1176" spans="1:14" x14ac:dyDescent="0.2">
      <c r="A1176" t="s">
        <v>1712</v>
      </c>
      <c r="B1176" s="1" t="s">
        <v>1711</v>
      </c>
      <c r="C1176" t="s">
        <v>20</v>
      </c>
      <c r="D1176" t="s">
        <v>1472</v>
      </c>
      <c r="E1176">
        <v>17</v>
      </c>
      <c r="F1176" t="s">
        <v>1605</v>
      </c>
      <c r="G1176">
        <v>2022</v>
      </c>
      <c r="H1176" t="s">
        <v>1672</v>
      </c>
      <c r="I1176" t="s">
        <v>28</v>
      </c>
      <c r="J1176">
        <v>0</v>
      </c>
      <c r="K1176">
        <v>0</v>
      </c>
      <c r="L1176">
        <v>0</v>
      </c>
      <c r="M1176">
        <v>0</v>
      </c>
      <c r="N1176">
        <v>0</v>
      </c>
    </row>
    <row r="1177" spans="1:14" x14ac:dyDescent="0.2">
      <c r="A1177" t="s">
        <v>1713</v>
      </c>
      <c r="B1177" s="1" t="s">
        <v>1711</v>
      </c>
      <c r="C1177" t="s">
        <v>14</v>
      </c>
      <c r="D1177" t="s">
        <v>1714</v>
      </c>
      <c r="E1177">
        <v>17</v>
      </c>
      <c r="F1177" t="s">
        <v>1605</v>
      </c>
      <c r="G1177">
        <v>2022</v>
      </c>
      <c r="H1177" t="s">
        <v>1672</v>
      </c>
      <c r="I1177" t="s">
        <v>28</v>
      </c>
      <c r="J1177">
        <v>799</v>
      </c>
      <c r="K1177">
        <v>205</v>
      </c>
      <c r="L1177">
        <f>J1177-K1177</f>
        <v>594</v>
      </c>
      <c r="M1177">
        <v>240</v>
      </c>
      <c r="N1177">
        <f>L1177-M1177</f>
        <v>354</v>
      </c>
    </row>
    <row r="1178" spans="1:14" x14ac:dyDescent="0.2">
      <c r="A1178" t="s">
        <v>1715</v>
      </c>
      <c r="B1178" s="1" t="s">
        <v>1707</v>
      </c>
      <c r="C1178" t="s">
        <v>20</v>
      </c>
      <c r="D1178" t="s">
        <v>1010</v>
      </c>
      <c r="E1178">
        <v>18</v>
      </c>
      <c r="F1178" t="s">
        <v>1605</v>
      </c>
      <c r="G1178">
        <v>2022</v>
      </c>
      <c r="H1178" t="s">
        <v>246</v>
      </c>
      <c r="I1178" t="s">
        <v>58</v>
      </c>
      <c r="J1178">
        <v>0</v>
      </c>
      <c r="K1178">
        <v>0</v>
      </c>
      <c r="L1178">
        <v>0</v>
      </c>
      <c r="M1178">
        <v>0</v>
      </c>
      <c r="N1178">
        <v>0</v>
      </c>
    </row>
    <row r="1179" spans="1:14" x14ac:dyDescent="0.2">
      <c r="A1179" t="s">
        <v>1716</v>
      </c>
      <c r="B1179" s="1" t="s">
        <v>1707</v>
      </c>
      <c r="C1179" t="s">
        <v>14</v>
      </c>
      <c r="D1179" t="s">
        <v>379</v>
      </c>
      <c r="E1179">
        <v>18</v>
      </c>
      <c r="F1179" t="s">
        <v>1605</v>
      </c>
      <c r="G1179">
        <v>2022</v>
      </c>
      <c r="H1179" t="s">
        <v>1496</v>
      </c>
      <c r="I1179" t="s">
        <v>97</v>
      </c>
      <c r="J1179">
        <v>799</v>
      </c>
      <c r="K1179">
        <v>205</v>
      </c>
      <c r="L1179">
        <f t="shared" ref="L1179:L1184" si="318">J1179-K1179</f>
        <v>594</v>
      </c>
      <c r="M1179">
        <v>240</v>
      </c>
      <c r="N1179">
        <f t="shared" ref="N1179:N1184" si="319">L1179-M1179</f>
        <v>354</v>
      </c>
    </row>
    <row r="1180" spans="1:14" x14ac:dyDescent="0.2">
      <c r="A1180" t="s">
        <v>1717</v>
      </c>
      <c r="B1180" s="1" t="s">
        <v>1711</v>
      </c>
      <c r="C1180" t="s">
        <v>14</v>
      </c>
      <c r="D1180" t="s">
        <v>81</v>
      </c>
      <c r="E1180">
        <v>17</v>
      </c>
      <c r="F1180" t="s">
        <v>1605</v>
      </c>
      <c r="G1180">
        <v>2022</v>
      </c>
      <c r="H1180" t="s">
        <v>1718</v>
      </c>
      <c r="I1180" t="s">
        <v>37</v>
      </c>
      <c r="J1180">
        <v>849</v>
      </c>
      <c r="K1180">
        <v>250</v>
      </c>
      <c r="L1180">
        <f t="shared" si="318"/>
        <v>599</v>
      </c>
      <c r="M1180">
        <v>240</v>
      </c>
      <c r="N1180">
        <f t="shared" si="319"/>
        <v>359</v>
      </c>
    </row>
    <row r="1181" spans="1:14" x14ac:dyDescent="0.2">
      <c r="A1181" t="s">
        <v>1719</v>
      </c>
      <c r="B1181" s="1" t="s">
        <v>1707</v>
      </c>
      <c r="C1181" t="s">
        <v>14</v>
      </c>
      <c r="D1181" t="s">
        <v>1720</v>
      </c>
      <c r="E1181">
        <v>18</v>
      </c>
      <c r="F1181" t="s">
        <v>1605</v>
      </c>
      <c r="G1181">
        <v>2022</v>
      </c>
      <c r="H1181" t="s">
        <v>1721</v>
      </c>
      <c r="I1181" t="s">
        <v>253</v>
      </c>
      <c r="J1181">
        <v>799</v>
      </c>
      <c r="K1181">
        <v>205</v>
      </c>
      <c r="L1181">
        <f t="shared" si="318"/>
        <v>594</v>
      </c>
      <c r="M1181">
        <v>240</v>
      </c>
      <c r="N1181">
        <f t="shared" si="319"/>
        <v>354</v>
      </c>
    </row>
    <row r="1182" spans="1:14" x14ac:dyDescent="0.2">
      <c r="A1182" t="s">
        <v>1722</v>
      </c>
      <c r="B1182" s="1" t="s">
        <v>1707</v>
      </c>
      <c r="C1182" t="s">
        <v>14</v>
      </c>
      <c r="D1182" t="s">
        <v>895</v>
      </c>
      <c r="E1182">
        <v>18</v>
      </c>
      <c r="F1182" t="s">
        <v>1605</v>
      </c>
      <c r="G1182">
        <v>2022</v>
      </c>
      <c r="H1182" t="s">
        <v>1284</v>
      </c>
      <c r="I1182" t="s">
        <v>85</v>
      </c>
      <c r="J1182">
        <v>849</v>
      </c>
      <c r="K1182">
        <v>250</v>
      </c>
      <c r="L1182">
        <f t="shared" si="318"/>
        <v>599</v>
      </c>
      <c r="M1182">
        <v>240</v>
      </c>
      <c r="N1182">
        <f t="shared" si="319"/>
        <v>359</v>
      </c>
    </row>
    <row r="1183" spans="1:14" x14ac:dyDescent="0.2">
      <c r="A1183" t="s">
        <v>1723</v>
      </c>
      <c r="B1183" s="1" t="s">
        <v>1711</v>
      </c>
      <c r="C1183" t="s">
        <v>14</v>
      </c>
      <c r="D1183" t="s">
        <v>1486</v>
      </c>
      <c r="E1183">
        <v>17</v>
      </c>
      <c r="F1183" t="s">
        <v>1605</v>
      </c>
      <c r="G1183">
        <v>2022</v>
      </c>
      <c r="H1183" t="s">
        <v>1724</v>
      </c>
      <c r="I1183" t="s">
        <v>376</v>
      </c>
      <c r="J1183">
        <v>999</v>
      </c>
      <c r="K1183">
        <v>325</v>
      </c>
      <c r="L1183">
        <f t="shared" si="318"/>
        <v>674</v>
      </c>
      <c r="M1183">
        <v>240</v>
      </c>
      <c r="N1183">
        <f t="shared" si="319"/>
        <v>434</v>
      </c>
    </row>
    <row r="1184" spans="1:14" x14ac:dyDescent="0.2">
      <c r="A1184" t="s">
        <v>1723</v>
      </c>
      <c r="B1184" s="1" t="s">
        <v>1711</v>
      </c>
      <c r="C1184" t="s">
        <v>14</v>
      </c>
      <c r="D1184" t="s">
        <v>573</v>
      </c>
      <c r="E1184">
        <v>17</v>
      </c>
      <c r="F1184" t="s">
        <v>1605</v>
      </c>
      <c r="G1184">
        <v>2022</v>
      </c>
      <c r="H1184" t="s">
        <v>1724</v>
      </c>
      <c r="I1184" t="s">
        <v>376</v>
      </c>
      <c r="J1184">
        <v>899</v>
      </c>
      <c r="K1184">
        <v>295</v>
      </c>
      <c r="L1184">
        <f t="shared" si="318"/>
        <v>604</v>
      </c>
      <c r="M1184">
        <v>240</v>
      </c>
      <c r="N1184">
        <f t="shared" si="319"/>
        <v>364</v>
      </c>
    </row>
    <row r="1185" spans="1:14" x14ac:dyDescent="0.2">
      <c r="A1185" t="s">
        <v>1625</v>
      </c>
      <c r="B1185" s="1" t="s">
        <v>1616</v>
      </c>
      <c r="C1185" t="s">
        <v>106</v>
      </c>
      <c r="D1185" t="s">
        <v>431</v>
      </c>
      <c r="E1185">
        <v>3</v>
      </c>
      <c r="F1185" t="s">
        <v>1605</v>
      </c>
      <c r="G1185">
        <v>2022</v>
      </c>
      <c r="H1185" t="s">
        <v>170</v>
      </c>
      <c r="I1185" t="s">
        <v>171</v>
      </c>
      <c r="J1185">
        <v>-799</v>
      </c>
      <c r="K1185">
        <v>320</v>
      </c>
      <c r="L1185">
        <f>J1185+K1185</f>
        <v>-479</v>
      </c>
      <c r="M1185">
        <v>240</v>
      </c>
      <c r="N1185">
        <f>L1185+M1185</f>
        <v>-239</v>
      </c>
    </row>
    <row r="1186" spans="1:14" x14ac:dyDescent="0.2">
      <c r="A1186" t="s">
        <v>1726</v>
      </c>
      <c r="B1186" s="1" t="s">
        <v>1725</v>
      </c>
      <c r="C1186" t="s">
        <v>14</v>
      </c>
      <c r="D1186" t="s">
        <v>1386</v>
      </c>
      <c r="E1186">
        <v>19</v>
      </c>
      <c r="F1186" t="s">
        <v>1605</v>
      </c>
      <c r="G1186">
        <v>2022</v>
      </c>
      <c r="H1186" t="s">
        <v>157</v>
      </c>
      <c r="I1186" t="s">
        <v>97</v>
      </c>
      <c r="J1186">
        <v>799</v>
      </c>
      <c r="K1186">
        <v>205</v>
      </c>
      <c r="L1186">
        <f t="shared" ref="L1186:L1190" si="320">J1186-K1186</f>
        <v>594</v>
      </c>
      <c r="M1186">
        <v>240</v>
      </c>
      <c r="N1186">
        <f t="shared" ref="N1186:N1190" si="321">L1186-M1186</f>
        <v>354</v>
      </c>
    </row>
    <row r="1187" spans="1:14" x14ac:dyDescent="0.2">
      <c r="A1187" t="s">
        <v>1727</v>
      </c>
      <c r="B1187" s="1" t="s">
        <v>1725</v>
      </c>
      <c r="C1187" t="s">
        <v>14</v>
      </c>
      <c r="D1187" t="s">
        <v>747</v>
      </c>
      <c r="E1187">
        <v>19</v>
      </c>
      <c r="F1187" t="s">
        <v>1605</v>
      </c>
      <c r="G1187">
        <v>2022</v>
      </c>
      <c r="H1187" t="s">
        <v>162</v>
      </c>
      <c r="I1187" t="s">
        <v>163</v>
      </c>
      <c r="J1187">
        <v>799</v>
      </c>
      <c r="K1187">
        <v>205</v>
      </c>
      <c r="L1187">
        <f t="shared" si="320"/>
        <v>594</v>
      </c>
      <c r="M1187">
        <v>240</v>
      </c>
      <c r="N1187">
        <f t="shared" si="321"/>
        <v>354</v>
      </c>
    </row>
    <row r="1188" spans="1:14" x14ac:dyDescent="0.2">
      <c r="A1188" t="s">
        <v>1728</v>
      </c>
      <c r="B1188" s="1" t="s">
        <v>1725</v>
      </c>
      <c r="C1188" t="s">
        <v>14</v>
      </c>
      <c r="D1188" t="s">
        <v>452</v>
      </c>
      <c r="E1188">
        <v>19</v>
      </c>
      <c r="F1188" t="s">
        <v>1605</v>
      </c>
      <c r="G1188">
        <v>2022</v>
      </c>
      <c r="H1188" t="s">
        <v>1729</v>
      </c>
      <c r="I1188" t="s">
        <v>502</v>
      </c>
      <c r="J1188">
        <v>799</v>
      </c>
      <c r="K1188">
        <v>205</v>
      </c>
      <c r="L1188">
        <f t="shared" si="320"/>
        <v>594</v>
      </c>
      <c r="M1188">
        <v>240</v>
      </c>
      <c r="N1188">
        <f t="shared" si="321"/>
        <v>354</v>
      </c>
    </row>
    <row r="1189" spans="1:14" x14ac:dyDescent="0.2">
      <c r="A1189" t="s">
        <v>1730</v>
      </c>
      <c r="B1189" s="1" t="s">
        <v>1725</v>
      </c>
      <c r="C1189" t="s">
        <v>14</v>
      </c>
      <c r="D1189" t="s">
        <v>308</v>
      </c>
      <c r="E1189">
        <v>19</v>
      </c>
      <c r="F1189" t="s">
        <v>1605</v>
      </c>
      <c r="G1189">
        <v>2022</v>
      </c>
      <c r="H1189" t="s">
        <v>1731</v>
      </c>
      <c r="I1189" t="s">
        <v>502</v>
      </c>
      <c r="J1189">
        <v>899</v>
      </c>
      <c r="K1189">
        <v>295</v>
      </c>
      <c r="L1189">
        <f t="shared" si="320"/>
        <v>604</v>
      </c>
      <c r="M1189">
        <v>240</v>
      </c>
      <c r="N1189">
        <f t="shared" si="321"/>
        <v>364</v>
      </c>
    </row>
    <row r="1190" spans="1:14" x14ac:dyDescent="0.2">
      <c r="A1190" t="s">
        <v>1732</v>
      </c>
      <c r="B1190" s="1" t="s">
        <v>1725</v>
      </c>
      <c r="C1190" t="s">
        <v>14</v>
      </c>
      <c r="D1190" t="s">
        <v>844</v>
      </c>
      <c r="E1190">
        <v>19</v>
      </c>
      <c r="F1190" t="s">
        <v>1605</v>
      </c>
      <c r="G1190">
        <v>2022</v>
      </c>
      <c r="H1190" t="s">
        <v>1733</v>
      </c>
      <c r="I1190" t="s">
        <v>23</v>
      </c>
      <c r="J1190">
        <v>799</v>
      </c>
      <c r="K1190">
        <v>205</v>
      </c>
      <c r="L1190">
        <f t="shared" si="320"/>
        <v>594</v>
      </c>
      <c r="M1190">
        <v>240</v>
      </c>
      <c r="N1190">
        <f t="shared" si="321"/>
        <v>354</v>
      </c>
    </row>
    <row r="1191" spans="1:14" x14ac:dyDescent="0.2">
      <c r="A1191" t="s">
        <v>1688</v>
      </c>
      <c r="B1191" s="1" t="s">
        <v>1687</v>
      </c>
      <c r="C1191" t="s">
        <v>106</v>
      </c>
      <c r="D1191" t="s">
        <v>81</v>
      </c>
      <c r="E1191">
        <v>13</v>
      </c>
      <c r="F1191" t="s">
        <v>1605</v>
      </c>
      <c r="G1191">
        <v>2022</v>
      </c>
      <c r="H1191" t="s">
        <v>84</v>
      </c>
      <c r="I1191" t="s">
        <v>85</v>
      </c>
      <c r="J1191">
        <v>-849</v>
      </c>
      <c r="K1191">
        <v>345</v>
      </c>
      <c r="L1191">
        <f>J1191+K1191</f>
        <v>-504</v>
      </c>
      <c r="M1191">
        <v>240</v>
      </c>
      <c r="N1191">
        <f>L1191+M1191</f>
        <v>-264</v>
      </c>
    </row>
    <row r="1192" spans="1:14" x14ac:dyDescent="0.2">
      <c r="A1192" t="s">
        <v>1735</v>
      </c>
      <c r="B1192" s="1" t="s">
        <v>1734</v>
      </c>
      <c r="C1192" t="s">
        <v>43</v>
      </c>
      <c r="D1192" t="s">
        <v>1076</v>
      </c>
      <c r="E1192">
        <v>20</v>
      </c>
      <c r="F1192" t="s">
        <v>1605</v>
      </c>
      <c r="G1192">
        <v>2022</v>
      </c>
      <c r="H1192" t="s">
        <v>314</v>
      </c>
      <c r="I1192" t="s">
        <v>58</v>
      </c>
      <c r="J1192">
        <v>0</v>
      </c>
      <c r="K1192">
        <v>0</v>
      </c>
      <c r="L1192">
        <v>0</v>
      </c>
      <c r="M1192">
        <v>0</v>
      </c>
      <c r="N1192">
        <v>0</v>
      </c>
    </row>
    <row r="1193" spans="1:14" x14ac:dyDescent="0.2">
      <c r="A1193" t="s">
        <v>1736</v>
      </c>
      <c r="B1193" s="1" t="s">
        <v>1734</v>
      </c>
      <c r="C1193" t="s">
        <v>14</v>
      </c>
      <c r="D1193" t="s">
        <v>81</v>
      </c>
      <c r="E1193">
        <v>20</v>
      </c>
      <c r="F1193" t="s">
        <v>1605</v>
      </c>
      <c r="G1193">
        <v>2022</v>
      </c>
      <c r="H1193" t="s">
        <v>1737</v>
      </c>
      <c r="I1193" t="s">
        <v>23</v>
      </c>
      <c r="J1193">
        <v>849</v>
      </c>
      <c r="K1193">
        <v>250</v>
      </c>
      <c r="L1193">
        <f t="shared" ref="L1193:L1199" si="322">J1193-K1193</f>
        <v>599</v>
      </c>
      <c r="M1193">
        <v>240</v>
      </c>
      <c r="N1193">
        <f t="shared" ref="N1193:N1199" si="323">L1193-M1193</f>
        <v>359</v>
      </c>
    </row>
    <row r="1194" spans="1:14" x14ac:dyDescent="0.2">
      <c r="A1194" t="s">
        <v>1738</v>
      </c>
      <c r="B1194" s="1" t="s">
        <v>1734</v>
      </c>
      <c r="C1194" t="s">
        <v>14</v>
      </c>
      <c r="D1194" t="s">
        <v>379</v>
      </c>
      <c r="E1194">
        <v>20</v>
      </c>
      <c r="F1194" t="s">
        <v>1605</v>
      </c>
      <c r="G1194">
        <v>2022</v>
      </c>
      <c r="H1194" t="s">
        <v>802</v>
      </c>
      <c r="I1194" t="s">
        <v>23</v>
      </c>
      <c r="J1194">
        <v>799</v>
      </c>
      <c r="K1194">
        <v>205</v>
      </c>
      <c r="L1194">
        <f t="shared" si="322"/>
        <v>594</v>
      </c>
      <c r="M1194">
        <v>240</v>
      </c>
      <c r="N1194">
        <f t="shared" si="323"/>
        <v>354</v>
      </c>
    </row>
    <row r="1195" spans="1:14" x14ac:dyDescent="0.2">
      <c r="A1195" t="s">
        <v>1735</v>
      </c>
      <c r="B1195" s="1" t="s">
        <v>1734</v>
      </c>
      <c r="C1195" t="s">
        <v>14</v>
      </c>
      <c r="D1195" t="s">
        <v>1076</v>
      </c>
      <c r="E1195">
        <v>20</v>
      </c>
      <c r="F1195" t="s">
        <v>1605</v>
      </c>
      <c r="G1195">
        <v>2022</v>
      </c>
      <c r="H1195" t="s">
        <v>314</v>
      </c>
      <c r="I1195" t="s">
        <v>58</v>
      </c>
      <c r="J1195">
        <v>849</v>
      </c>
      <c r="K1195">
        <v>250</v>
      </c>
      <c r="L1195">
        <f t="shared" si="322"/>
        <v>599</v>
      </c>
      <c r="M1195">
        <v>240</v>
      </c>
      <c r="N1195">
        <f t="shared" si="323"/>
        <v>359</v>
      </c>
    </row>
    <row r="1196" spans="1:14" x14ac:dyDescent="0.2">
      <c r="A1196" t="s">
        <v>1739</v>
      </c>
      <c r="B1196" s="1" t="s">
        <v>1734</v>
      </c>
      <c r="C1196" t="s">
        <v>14</v>
      </c>
      <c r="D1196" t="s">
        <v>81</v>
      </c>
      <c r="E1196">
        <v>20</v>
      </c>
      <c r="F1196" t="s">
        <v>1605</v>
      </c>
      <c r="G1196">
        <v>2022</v>
      </c>
      <c r="H1196" t="s">
        <v>171</v>
      </c>
      <c r="I1196" t="s">
        <v>171</v>
      </c>
      <c r="J1196">
        <v>849</v>
      </c>
      <c r="K1196">
        <v>250</v>
      </c>
      <c r="L1196">
        <f t="shared" si="322"/>
        <v>599</v>
      </c>
      <c r="M1196">
        <v>240</v>
      </c>
      <c r="N1196">
        <f t="shared" si="323"/>
        <v>359</v>
      </c>
    </row>
    <row r="1197" spans="1:14" x14ac:dyDescent="0.2">
      <c r="A1197" t="s">
        <v>1740</v>
      </c>
      <c r="B1197" s="1" t="s">
        <v>1734</v>
      </c>
      <c r="C1197" t="s">
        <v>14</v>
      </c>
      <c r="D1197" t="s">
        <v>982</v>
      </c>
      <c r="E1197">
        <v>20</v>
      </c>
      <c r="F1197" t="s">
        <v>1605</v>
      </c>
      <c r="G1197">
        <v>2022</v>
      </c>
      <c r="H1197" t="s">
        <v>1741</v>
      </c>
      <c r="I1197" t="s">
        <v>1742</v>
      </c>
      <c r="J1197">
        <v>799</v>
      </c>
      <c r="K1197">
        <v>205</v>
      </c>
      <c r="L1197">
        <f t="shared" si="322"/>
        <v>594</v>
      </c>
      <c r="M1197">
        <v>240</v>
      </c>
      <c r="N1197">
        <f t="shared" si="323"/>
        <v>354</v>
      </c>
    </row>
    <row r="1198" spans="1:14" x14ac:dyDescent="0.2">
      <c r="A1198" t="s">
        <v>1743</v>
      </c>
      <c r="B1198" s="1" t="s">
        <v>1734</v>
      </c>
      <c r="C1198" t="s">
        <v>14</v>
      </c>
      <c r="D1198" t="s">
        <v>573</v>
      </c>
      <c r="E1198">
        <v>20</v>
      </c>
      <c r="F1198" t="s">
        <v>1605</v>
      </c>
      <c r="G1198">
        <v>2022</v>
      </c>
      <c r="H1198" t="s">
        <v>1235</v>
      </c>
      <c r="I1198" t="s">
        <v>122</v>
      </c>
      <c r="J1198">
        <v>899</v>
      </c>
      <c r="K1198">
        <v>295</v>
      </c>
      <c r="L1198">
        <f t="shared" si="322"/>
        <v>604</v>
      </c>
      <c r="M1198">
        <v>240</v>
      </c>
      <c r="N1198">
        <f t="shared" si="323"/>
        <v>364</v>
      </c>
    </row>
    <row r="1199" spans="1:14" x14ac:dyDescent="0.2">
      <c r="A1199" t="s">
        <v>1744</v>
      </c>
      <c r="B1199" s="1" t="s">
        <v>1734</v>
      </c>
      <c r="C1199" t="s">
        <v>14</v>
      </c>
      <c r="D1199" t="s">
        <v>957</v>
      </c>
      <c r="E1199">
        <v>20</v>
      </c>
      <c r="F1199" t="s">
        <v>1605</v>
      </c>
      <c r="G1199">
        <v>2022</v>
      </c>
      <c r="H1199" t="s">
        <v>246</v>
      </c>
      <c r="I1199" t="s">
        <v>58</v>
      </c>
      <c r="J1199">
        <v>799</v>
      </c>
      <c r="K1199">
        <v>205</v>
      </c>
      <c r="L1199">
        <f t="shared" si="322"/>
        <v>594</v>
      </c>
      <c r="M1199">
        <v>240</v>
      </c>
      <c r="N1199">
        <f t="shared" si="323"/>
        <v>354</v>
      </c>
    </row>
    <row r="1200" spans="1:14" x14ac:dyDescent="0.2">
      <c r="A1200" t="s">
        <v>1691</v>
      </c>
      <c r="B1200" s="1" t="s">
        <v>1689</v>
      </c>
      <c r="C1200" t="s">
        <v>106</v>
      </c>
      <c r="D1200" t="s">
        <v>169</v>
      </c>
      <c r="E1200">
        <v>14</v>
      </c>
      <c r="F1200" t="s">
        <v>1605</v>
      </c>
      <c r="G1200">
        <v>2022</v>
      </c>
      <c r="H1200" t="s">
        <v>101</v>
      </c>
      <c r="I1200" t="s">
        <v>62</v>
      </c>
      <c r="J1200">
        <v>-799</v>
      </c>
      <c r="K1200">
        <v>320</v>
      </c>
      <c r="L1200">
        <f t="shared" ref="L1200:L1201" si="324">J1200+K1200</f>
        <v>-479</v>
      </c>
      <c r="M1200">
        <v>240</v>
      </c>
      <c r="N1200">
        <f t="shared" ref="N1200:N1201" si="325">L1200+M1200</f>
        <v>-239</v>
      </c>
    </row>
    <row r="1201" spans="1:14" x14ac:dyDescent="0.2">
      <c r="A1201" t="s">
        <v>1702</v>
      </c>
      <c r="B1201" s="1" t="s">
        <v>1701</v>
      </c>
      <c r="C1201" t="s">
        <v>106</v>
      </c>
      <c r="D1201" t="s">
        <v>380</v>
      </c>
      <c r="E1201">
        <v>16</v>
      </c>
      <c r="F1201" t="s">
        <v>1605</v>
      </c>
      <c r="G1201">
        <v>2022</v>
      </c>
      <c r="H1201" t="s">
        <v>150</v>
      </c>
      <c r="I1201" t="s">
        <v>62</v>
      </c>
      <c r="J1201">
        <v>-849</v>
      </c>
      <c r="K1201">
        <v>345</v>
      </c>
      <c r="L1201">
        <f t="shared" si="324"/>
        <v>-504</v>
      </c>
      <c r="M1201">
        <v>240</v>
      </c>
      <c r="N1201">
        <f t="shared" si="325"/>
        <v>-264</v>
      </c>
    </row>
    <row r="1202" spans="1:14" x14ac:dyDescent="0.2">
      <c r="A1202" t="s">
        <v>1746</v>
      </c>
      <c r="B1202" s="1" t="s">
        <v>1745</v>
      </c>
      <c r="C1202" t="s">
        <v>43</v>
      </c>
      <c r="D1202" t="s">
        <v>1747</v>
      </c>
      <c r="E1202">
        <v>21</v>
      </c>
      <c r="F1202" t="s">
        <v>1605</v>
      </c>
      <c r="G1202">
        <v>2022</v>
      </c>
      <c r="H1202" t="s">
        <v>104</v>
      </c>
      <c r="I1202" t="s">
        <v>62</v>
      </c>
      <c r="J1202">
        <v>0</v>
      </c>
      <c r="K1202">
        <v>0</v>
      </c>
      <c r="L1202">
        <v>0</v>
      </c>
      <c r="M1202">
        <v>0</v>
      </c>
      <c r="N1202">
        <v>0</v>
      </c>
    </row>
    <row r="1203" spans="1:14" x14ac:dyDescent="0.2">
      <c r="A1203" t="s">
        <v>1749</v>
      </c>
      <c r="B1203" s="1" t="s">
        <v>1748</v>
      </c>
      <c r="C1203" t="s">
        <v>43</v>
      </c>
      <c r="D1203" t="s">
        <v>1486</v>
      </c>
      <c r="E1203">
        <v>22</v>
      </c>
      <c r="F1203" t="s">
        <v>1605</v>
      </c>
      <c r="G1203">
        <v>2022</v>
      </c>
      <c r="H1203" t="s">
        <v>1724</v>
      </c>
      <c r="I1203" t="s">
        <v>376</v>
      </c>
      <c r="J1203">
        <v>0</v>
      </c>
      <c r="K1203">
        <v>0</v>
      </c>
      <c r="L1203">
        <v>0</v>
      </c>
      <c r="M1203">
        <v>0</v>
      </c>
      <c r="N1203">
        <v>0</v>
      </c>
    </row>
    <row r="1204" spans="1:14" x14ac:dyDescent="0.2">
      <c r="A1204" t="s">
        <v>1750</v>
      </c>
      <c r="B1204" s="1" t="s">
        <v>1745</v>
      </c>
      <c r="C1204" t="s">
        <v>14</v>
      </c>
      <c r="D1204" t="s">
        <v>812</v>
      </c>
      <c r="E1204">
        <v>21</v>
      </c>
      <c r="F1204" t="s">
        <v>1605</v>
      </c>
      <c r="G1204">
        <v>2022</v>
      </c>
      <c r="H1204" t="s">
        <v>1751</v>
      </c>
      <c r="I1204" t="s">
        <v>212</v>
      </c>
      <c r="J1204">
        <v>999</v>
      </c>
      <c r="K1204">
        <v>325</v>
      </c>
      <c r="L1204">
        <f t="shared" ref="L1204:L1207" si="326">J1204-K1204</f>
        <v>674</v>
      </c>
      <c r="M1204">
        <v>240</v>
      </c>
      <c r="N1204">
        <f t="shared" ref="N1204:N1207" si="327">L1204-M1204</f>
        <v>434</v>
      </c>
    </row>
    <row r="1205" spans="1:14" x14ac:dyDescent="0.2">
      <c r="A1205" t="s">
        <v>1752</v>
      </c>
      <c r="B1205" s="1" t="s">
        <v>1745</v>
      </c>
      <c r="C1205" t="s">
        <v>14</v>
      </c>
      <c r="D1205" t="s">
        <v>169</v>
      </c>
      <c r="E1205">
        <v>21</v>
      </c>
      <c r="F1205" t="s">
        <v>1605</v>
      </c>
      <c r="G1205">
        <v>2022</v>
      </c>
      <c r="H1205" t="s">
        <v>1753</v>
      </c>
      <c r="I1205" t="s">
        <v>122</v>
      </c>
      <c r="J1205">
        <v>799</v>
      </c>
      <c r="K1205">
        <v>205</v>
      </c>
      <c r="L1205">
        <f t="shared" si="326"/>
        <v>594</v>
      </c>
      <c r="M1205">
        <v>240</v>
      </c>
      <c r="N1205">
        <f t="shared" si="327"/>
        <v>354</v>
      </c>
    </row>
    <row r="1206" spans="1:14" x14ac:dyDescent="0.2">
      <c r="A1206" t="s">
        <v>1754</v>
      </c>
      <c r="B1206" s="1" t="s">
        <v>1745</v>
      </c>
      <c r="C1206" t="s">
        <v>14</v>
      </c>
      <c r="D1206" t="s">
        <v>81</v>
      </c>
      <c r="E1206">
        <v>21</v>
      </c>
      <c r="F1206" t="s">
        <v>1605</v>
      </c>
      <c r="G1206">
        <v>2022</v>
      </c>
      <c r="H1206" t="s">
        <v>1755</v>
      </c>
      <c r="I1206" t="s">
        <v>32</v>
      </c>
      <c r="J1206">
        <v>849</v>
      </c>
      <c r="K1206">
        <v>250</v>
      </c>
      <c r="L1206">
        <f t="shared" si="326"/>
        <v>599</v>
      </c>
      <c r="M1206">
        <v>240</v>
      </c>
      <c r="N1206">
        <f t="shared" si="327"/>
        <v>359</v>
      </c>
    </row>
    <row r="1207" spans="1:14" x14ac:dyDescent="0.2">
      <c r="A1207" t="s">
        <v>1746</v>
      </c>
      <c r="B1207" s="1" t="s">
        <v>1745</v>
      </c>
      <c r="C1207" t="s">
        <v>14</v>
      </c>
      <c r="D1207" t="s">
        <v>1747</v>
      </c>
      <c r="E1207">
        <v>21</v>
      </c>
      <c r="F1207" t="s">
        <v>1605</v>
      </c>
      <c r="G1207">
        <v>2022</v>
      </c>
      <c r="H1207" t="s">
        <v>104</v>
      </c>
      <c r="I1207" t="s">
        <v>62</v>
      </c>
      <c r="J1207">
        <v>799</v>
      </c>
      <c r="K1207">
        <v>205</v>
      </c>
      <c r="L1207">
        <f t="shared" si="326"/>
        <v>594</v>
      </c>
      <c r="M1207">
        <v>240</v>
      </c>
      <c r="N1207">
        <f t="shared" si="327"/>
        <v>354</v>
      </c>
    </row>
    <row r="1208" spans="1:14" x14ac:dyDescent="0.2">
      <c r="A1208" t="s">
        <v>1739</v>
      </c>
      <c r="B1208" s="1" t="s">
        <v>1734</v>
      </c>
      <c r="C1208" t="s">
        <v>106</v>
      </c>
      <c r="D1208" t="s">
        <v>81</v>
      </c>
      <c r="E1208">
        <v>20</v>
      </c>
      <c r="F1208" t="s">
        <v>1605</v>
      </c>
      <c r="G1208">
        <v>2022</v>
      </c>
      <c r="H1208" t="s">
        <v>171</v>
      </c>
      <c r="I1208" t="s">
        <v>171</v>
      </c>
      <c r="J1208">
        <v>-849</v>
      </c>
      <c r="K1208">
        <v>345</v>
      </c>
      <c r="L1208">
        <f t="shared" ref="L1208:L1209" si="328">J1208+K1208</f>
        <v>-504</v>
      </c>
      <c r="M1208">
        <v>240</v>
      </c>
      <c r="N1208">
        <f t="shared" ref="N1208:N1209" si="329">L1208+M1208</f>
        <v>-264</v>
      </c>
    </row>
    <row r="1209" spans="1:14" x14ac:dyDescent="0.2">
      <c r="A1209" t="s">
        <v>1746</v>
      </c>
      <c r="B1209" s="1" t="s">
        <v>1745</v>
      </c>
      <c r="C1209" t="s">
        <v>106</v>
      </c>
      <c r="D1209" t="s">
        <v>1747</v>
      </c>
      <c r="E1209">
        <v>21</v>
      </c>
      <c r="F1209" t="s">
        <v>1605</v>
      </c>
      <c r="G1209">
        <v>2022</v>
      </c>
      <c r="H1209" t="s">
        <v>104</v>
      </c>
      <c r="I1209" t="s">
        <v>62</v>
      </c>
      <c r="J1209">
        <v>-799</v>
      </c>
      <c r="K1209">
        <v>320</v>
      </c>
      <c r="L1209">
        <f t="shared" si="328"/>
        <v>-479</v>
      </c>
      <c r="M1209">
        <v>240</v>
      </c>
      <c r="N1209">
        <f t="shared" si="329"/>
        <v>-239</v>
      </c>
    </row>
    <row r="1210" spans="1:14" x14ac:dyDescent="0.2">
      <c r="A1210" t="s">
        <v>1757</v>
      </c>
      <c r="B1210" s="1" t="s">
        <v>1756</v>
      </c>
      <c r="C1210" t="s">
        <v>43</v>
      </c>
      <c r="D1210" t="s">
        <v>954</v>
      </c>
      <c r="E1210">
        <v>23</v>
      </c>
      <c r="F1210" t="s">
        <v>1605</v>
      </c>
      <c r="G1210">
        <v>2022</v>
      </c>
      <c r="H1210" t="s">
        <v>1758</v>
      </c>
      <c r="I1210" t="s">
        <v>62</v>
      </c>
      <c r="J1210">
        <v>0</v>
      </c>
      <c r="K1210">
        <v>0</v>
      </c>
      <c r="L1210">
        <v>0</v>
      </c>
      <c r="M1210">
        <v>0</v>
      </c>
      <c r="N1210">
        <v>0</v>
      </c>
    </row>
    <row r="1211" spans="1:14" x14ac:dyDescent="0.2">
      <c r="A1211" t="s">
        <v>1759</v>
      </c>
      <c r="B1211" s="1" t="s">
        <v>1748</v>
      </c>
      <c r="C1211" t="s">
        <v>14</v>
      </c>
      <c r="D1211" t="s">
        <v>1002</v>
      </c>
      <c r="E1211">
        <v>22</v>
      </c>
      <c r="F1211" t="s">
        <v>1605</v>
      </c>
      <c r="G1211">
        <v>2022</v>
      </c>
      <c r="H1211" t="s">
        <v>104</v>
      </c>
      <c r="I1211" t="s">
        <v>62</v>
      </c>
      <c r="J1211">
        <v>849</v>
      </c>
      <c r="K1211">
        <v>250</v>
      </c>
      <c r="L1211">
        <f t="shared" ref="L1211:L1220" si="330">J1211-K1211</f>
        <v>599</v>
      </c>
      <c r="M1211">
        <v>240</v>
      </c>
      <c r="N1211">
        <f t="shared" ref="N1211:N1220" si="331">L1211-M1211</f>
        <v>359</v>
      </c>
    </row>
    <row r="1212" spans="1:14" x14ac:dyDescent="0.2">
      <c r="A1212" t="s">
        <v>1760</v>
      </c>
      <c r="B1212" s="1" t="s">
        <v>1748</v>
      </c>
      <c r="C1212" t="s">
        <v>14</v>
      </c>
      <c r="D1212" t="s">
        <v>379</v>
      </c>
      <c r="E1212">
        <v>22</v>
      </c>
      <c r="F1212" t="s">
        <v>1605</v>
      </c>
      <c r="G1212">
        <v>2022</v>
      </c>
      <c r="H1212" t="s">
        <v>1761</v>
      </c>
      <c r="I1212" t="s">
        <v>62</v>
      </c>
      <c r="J1212">
        <v>799</v>
      </c>
      <c r="K1212">
        <v>205</v>
      </c>
      <c r="L1212">
        <f t="shared" si="330"/>
        <v>594</v>
      </c>
      <c r="M1212">
        <v>240</v>
      </c>
      <c r="N1212">
        <f t="shared" si="331"/>
        <v>354</v>
      </c>
    </row>
    <row r="1213" spans="1:14" x14ac:dyDescent="0.2">
      <c r="A1213" t="s">
        <v>1762</v>
      </c>
      <c r="B1213" s="1" t="s">
        <v>1748</v>
      </c>
      <c r="C1213" t="s">
        <v>14</v>
      </c>
      <c r="D1213" t="s">
        <v>1511</v>
      </c>
      <c r="E1213">
        <v>22</v>
      </c>
      <c r="F1213" t="s">
        <v>1605</v>
      </c>
      <c r="G1213">
        <v>2022</v>
      </c>
      <c r="H1213" t="s">
        <v>1763</v>
      </c>
      <c r="I1213" t="s">
        <v>160</v>
      </c>
      <c r="J1213">
        <v>799</v>
      </c>
      <c r="K1213">
        <v>205</v>
      </c>
      <c r="L1213">
        <f t="shared" si="330"/>
        <v>594</v>
      </c>
      <c r="M1213">
        <v>240</v>
      </c>
      <c r="N1213">
        <f t="shared" si="331"/>
        <v>354</v>
      </c>
    </row>
    <row r="1214" spans="1:14" x14ac:dyDescent="0.2">
      <c r="A1214" t="s">
        <v>1764</v>
      </c>
      <c r="B1214" s="1" t="s">
        <v>1748</v>
      </c>
      <c r="C1214" t="s">
        <v>14</v>
      </c>
      <c r="D1214" t="s">
        <v>798</v>
      </c>
      <c r="E1214">
        <v>22</v>
      </c>
      <c r="F1214" t="s">
        <v>1605</v>
      </c>
      <c r="G1214">
        <v>2022</v>
      </c>
      <c r="H1214" t="s">
        <v>1765</v>
      </c>
      <c r="I1214" t="s">
        <v>212</v>
      </c>
      <c r="J1214">
        <v>799</v>
      </c>
      <c r="K1214">
        <v>205</v>
      </c>
      <c r="L1214">
        <f t="shared" si="330"/>
        <v>594</v>
      </c>
      <c r="M1214">
        <v>240</v>
      </c>
      <c r="N1214">
        <f t="shared" si="331"/>
        <v>354</v>
      </c>
    </row>
    <row r="1215" spans="1:14" x14ac:dyDescent="0.2">
      <c r="A1215" t="s">
        <v>1766</v>
      </c>
      <c r="B1215" s="1" t="s">
        <v>1748</v>
      </c>
      <c r="C1215" t="s">
        <v>14</v>
      </c>
      <c r="D1215" t="s">
        <v>1076</v>
      </c>
      <c r="E1215">
        <v>22</v>
      </c>
      <c r="F1215" t="s">
        <v>1605</v>
      </c>
      <c r="G1215">
        <v>2022</v>
      </c>
      <c r="H1215" t="s">
        <v>246</v>
      </c>
      <c r="I1215" t="s">
        <v>58</v>
      </c>
      <c r="J1215">
        <v>849</v>
      </c>
      <c r="K1215">
        <v>250</v>
      </c>
      <c r="L1215">
        <f t="shared" si="330"/>
        <v>599</v>
      </c>
      <c r="M1215">
        <v>240</v>
      </c>
      <c r="N1215">
        <f t="shared" si="331"/>
        <v>359</v>
      </c>
    </row>
    <row r="1216" spans="1:14" x14ac:dyDescent="0.2">
      <c r="A1216" t="s">
        <v>1767</v>
      </c>
      <c r="B1216" s="1" t="s">
        <v>1748</v>
      </c>
      <c r="C1216" t="s">
        <v>14</v>
      </c>
      <c r="D1216" t="s">
        <v>425</v>
      </c>
      <c r="E1216">
        <v>22</v>
      </c>
      <c r="F1216" t="s">
        <v>1605</v>
      </c>
      <c r="G1216">
        <v>2022</v>
      </c>
      <c r="H1216" t="s">
        <v>157</v>
      </c>
      <c r="I1216" t="s">
        <v>97</v>
      </c>
      <c r="J1216">
        <v>1598</v>
      </c>
      <c r="K1216">
        <v>365</v>
      </c>
      <c r="L1216">
        <f t="shared" si="330"/>
        <v>1233</v>
      </c>
      <c r="M1216">
        <v>240</v>
      </c>
      <c r="N1216">
        <f t="shared" si="331"/>
        <v>993</v>
      </c>
    </row>
    <row r="1217" spans="1:14" x14ac:dyDescent="0.2">
      <c r="A1217" t="s">
        <v>1768</v>
      </c>
      <c r="B1217" s="1" t="s">
        <v>1748</v>
      </c>
      <c r="C1217" t="s">
        <v>14</v>
      </c>
      <c r="D1217" t="s">
        <v>844</v>
      </c>
      <c r="E1217">
        <v>22</v>
      </c>
      <c r="F1217" t="s">
        <v>1605</v>
      </c>
      <c r="G1217">
        <v>2022</v>
      </c>
      <c r="H1217" t="s">
        <v>1282</v>
      </c>
      <c r="I1217" t="s">
        <v>502</v>
      </c>
      <c r="J1217">
        <v>799</v>
      </c>
      <c r="K1217">
        <v>205</v>
      </c>
      <c r="L1217">
        <f t="shared" si="330"/>
        <v>594</v>
      </c>
      <c r="M1217">
        <v>240</v>
      </c>
      <c r="N1217">
        <f t="shared" si="331"/>
        <v>354</v>
      </c>
    </row>
    <row r="1218" spans="1:14" x14ac:dyDescent="0.2">
      <c r="A1218" t="s">
        <v>1768</v>
      </c>
      <c r="B1218" s="1" t="s">
        <v>1748</v>
      </c>
      <c r="C1218" t="s">
        <v>14</v>
      </c>
      <c r="D1218" t="s">
        <v>901</v>
      </c>
      <c r="E1218">
        <v>22</v>
      </c>
      <c r="F1218" t="s">
        <v>1605</v>
      </c>
      <c r="G1218">
        <v>2022</v>
      </c>
      <c r="H1218" t="s">
        <v>1282</v>
      </c>
      <c r="I1218" t="s">
        <v>502</v>
      </c>
      <c r="J1218">
        <v>799</v>
      </c>
      <c r="K1218">
        <v>205</v>
      </c>
      <c r="L1218">
        <f t="shared" si="330"/>
        <v>594</v>
      </c>
      <c r="M1218">
        <v>240</v>
      </c>
      <c r="N1218">
        <f t="shared" si="331"/>
        <v>354</v>
      </c>
    </row>
    <row r="1219" spans="1:14" x14ac:dyDescent="0.2">
      <c r="A1219" t="s">
        <v>1769</v>
      </c>
      <c r="B1219" s="1" t="s">
        <v>1748</v>
      </c>
      <c r="C1219" t="s">
        <v>14</v>
      </c>
      <c r="D1219" t="s">
        <v>1486</v>
      </c>
      <c r="E1219">
        <v>22</v>
      </c>
      <c r="F1219" t="s">
        <v>1605</v>
      </c>
      <c r="G1219">
        <v>2022</v>
      </c>
      <c r="H1219" t="s">
        <v>1724</v>
      </c>
      <c r="I1219" t="s">
        <v>376</v>
      </c>
      <c r="J1219">
        <v>999</v>
      </c>
      <c r="K1219">
        <v>325</v>
      </c>
      <c r="L1219">
        <f t="shared" si="330"/>
        <v>674</v>
      </c>
      <c r="M1219">
        <v>240</v>
      </c>
      <c r="N1219">
        <f t="shared" si="331"/>
        <v>434</v>
      </c>
    </row>
    <row r="1220" spans="1:14" x14ac:dyDescent="0.2">
      <c r="A1220" t="s">
        <v>1770</v>
      </c>
      <c r="B1220" s="1" t="s">
        <v>1748</v>
      </c>
      <c r="C1220" t="s">
        <v>14</v>
      </c>
      <c r="D1220" t="s">
        <v>834</v>
      </c>
      <c r="E1220">
        <v>22</v>
      </c>
      <c r="F1220" t="s">
        <v>1605</v>
      </c>
      <c r="G1220">
        <v>2022</v>
      </c>
      <c r="H1220" t="s">
        <v>157</v>
      </c>
      <c r="I1220" t="s">
        <v>97</v>
      </c>
      <c r="J1220">
        <v>849</v>
      </c>
      <c r="K1220">
        <v>250</v>
      </c>
      <c r="L1220">
        <f t="shared" si="330"/>
        <v>599</v>
      </c>
      <c r="M1220">
        <v>240</v>
      </c>
      <c r="N1220">
        <f t="shared" si="331"/>
        <v>359</v>
      </c>
    </row>
    <row r="1221" spans="1:14" x14ac:dyDescent="0.2">
      <c r="A1221" t="s">
        <v>1771</v>
      </c>
      <c r="B1221" s="1" t="s">
        <v>1756</v>
      </c>
      <c r="C1221" t="s">
        <v>43</v>
      </c>
      <c r="D1221" t="s">
        <v>1171</v>
      </c>
      <c r="E1221">
        <v>23</v>
      </c>
      <c r="F1221" t="s">
        <v>1605</v>
      </c>
      <c r="G1221">
        <v>2022</v>
      </c>
      <c r="H1221" t="s">
        <v>1772</v>
      </c>
      <c r="I1221" t="s">
        <v>122</v>
      </c>
      <c r="J1221">
        <v>0</v>
      </c>
      <c r="K1221">
        <v>0</v>
      </c>
      <c r="L1221">
        <v>0</v>
      </c>
      <c r="M1221">
        <v>0</v>
      </c>
      <c r="N1221">
        <v>0</v>
      </c>
    </row>
    <row r="1222" spans="1:14" x14ac:dyDescent="0.2">
      <c r="A1222" t="s">
        <v>1773</v>
      </c>
      <c r="B1222" s="1" t="s">
        <v>1756</v>
      </c>
      <c r="C1222" t="s">
        <v>14</v>
      </c>
      <c r="D1222" t="s">
        <v>890</v>
      </c>
      <c r="E1222">
        <v>23</v>
      </c>
      <c r="F1222" t="s">
        <v>1605</v>
      </c>
      <c r="G1222">
        <v>2022</v>
      </c>
      <c r="H1222" t="s">
        <v>1774</v>
      </c>
      <c r="I1222" t="s">
        <v>122</v>
      </c>
      <c r="J1222">
        <v>849</v>
      </c>
      <c r="K1222">
        <v>250</v>
      </c>
      <c r="L1222">
        <f t="shared" ref="L1222:L1235" si="332">J1222-K1222</f>
        <v>599</v>
      </c>
      <c r="M1222">
        <v>240</v>
      </c>
      <c r="N1222">
        <f t="shared" ref="N1222:N1235" si="333">L1222-M1222</f>
        <v>359</v>
      </c>
    </row>
    <row r="1223" spans="1:14" x14ac:dyDescent="0.2">
      <c r="A1223" t="s">
        <v>1771</v>
      </c>
      <c r="B1223" s="1" t="s">
        <v>1756</v>
      </c>
      <c r="C1223" t="s">
        <v>14</v>
      </c>
      <c r="D1223" t="s">
        <v>1171</v>
      </c>
      <c r="E1223">
        <v>23</v>
      </c>
      <c r="F1223" t="s">
        <v>1605</v>
      </c>
      <c r="G1223">
        <v>2022</v>
      </c>
      <c r="H1223" t="s">
        <v>1772</v>
      </c>
      <c r="I1223" t="s">
        <v>122</v>
      </c>
      <c r="J1223">
        <v>799</v>
      </c>
      <c r="K1223">
        <v>205</v>
      </c>
      <c r="L1223">
        <f t="shared" si="332"/>
        <v>594</v>
      </c>
      <c r="M1223">
        <v>240</v>
      </c>
      <c r="N1223">
        <f t="shared" si="333"/>
        <v>354</v>
      </c>
    </row>
    <row r="1224" spans="1:14" x14ac:dyDescent="0.2">
      <c r="A1224" t="s">
        <v>1775</v>
      </c>
      <c r="B1224" s="1" t="s">
        <v>1756</v>
      </c>
      <c r="C1224" t="s">
        <v>14</v>
      </c>
      <c r="D1224" t="s">
        <v>242</v>
      </c>
      <c r="E1224">
        <v>23</v>
      </c>
      <c r="F1224" t="s">
        <v>1605</v>
      </c>
      <c r="G1224">
        <v>2022</v>
      </c>
      <c r="H1224" t="s">
        <v>249</v>
      </c>
      <c r="I1224" t="s">
        <v>250</v>
      </c>
      <c r="J1224">
        <v>899</v>
      </c>
      <c r="K1224">
        <v>295</v>
      </c>
      <c r="L1224">
        <f t="shared" si="332"/>
        <v>604</v>
      </c>
      <c r="M1224">
        <v>240</v>
      </c>
      <c r="N1224">
        <f t="shared" si="333"/>
        <v>364</v>
      </c>
    </row>
    <row r="1225" spans="1:14" x14ac:dyDescent="0.2">
      <c r="A1225" t="s">
        <v>1776</v>
      </c>
      <c r="B1225" s="1" t="s">
        <v>1756</v>
      </c>
      <c r="C1225" t="s">
        <v>14</v>
      </c>
      <c r="D1225" t="s">
        <v>81</v>
      </c>
      <c r="E1225">
        <v>23</v>
      </c>
      <c r="F1225" t="s">
        <v>1605</v>
      </c>
      <c r="G1225">
        <v>2022</v>
      </c>
      <c r="H1225" t="s">
        <v>838</v>
      </c>
      <c r="I1225" t="s">
        <v>253</v>
      </c>
      <c r="J1225">
        <v>849</v>
      </c>
      <c r="K1225">
        <v>250</v>
      </c>
      <c r="L1225">
        <f t="shared" si="332"/>
        <v>599</v>
      </c>
      <c r="M1225">
        <v>240</v>
      </c>
      <c r="N1225">
        <f t="shared" si="333"/>
        <v>359</v>
      </c>
    </row>
    <row r="1226" spans="1:14" x14ac:dyDescent="0.2">
      <c r="A1226" t="s">
        <v>1777</v>
      </c>
      <c r="B1226" s="1" t="s">
        <v>1756</v>
      </c>
      <c r="C1226" t="s">
        <v>14</v>
      </c>
      <c r="D1226" t="s">
        <v>1076</v>
      </c>
      <c r="E1226">
        <v>23</v>
      </c>
      <c r="F1226" t="s">
        <v>1605</v>
      </c>
      <c r="G1226">
        <v>2022</v>
      </c>
      <c r="H1226" t="s">
        <v>1778</v>
      </c>
      <c r="I1226" t="s">
        <v>85</v>
      </c>
      <c r="J1226">
        <v>849</v>
      </c>
      <c r="K1226">
        <v>250</v>
      </c>
      <c r="L1226">
        <f t="shared" si="332"/>
        <v>599</v>
      </c>
      <c r="M1226">
        <v>240</v>
      </c>
      <c r="N1226">
        <f t="shared" si="333"/>
        <v>359</v>
      </c>
    </row>
    <row r="1227" spans="1:14" x14ac:dyDescent="0.2">
      <c r="A1227" t="s">
        <v>1779</v>
      </c>
      <c r="B1227" s="1" t="s">
        <v>1756</v>
      </c>
      <c r="C1227" t="s">
        <v>14</v>
      </c>
      <c r="D1227" t="s">
        <v>1780</v>
      </c>
      <c r="E1227">
        <v>23</v>
      </c>
      <c r="F1227" t="s">
        <v>1605</v>
      </c>
      <c r="G1227">
        <v>2022</v>
      </c>
      <c r="H1227" t="s">
        <v>1781</v>
      </c>
      <c r="I1227" t="s">
        <v>122</v>
      </c>
      <c r="J1227">
        <v>799</v>
      </c>
      <c r="K1227">
        <v>205</v>
      </c>
      <c r="L1227">
        <f t="shared" si="332"/>
        <v>594</v>
      </c>
      <c r="M1227">
        <v>240</v>
      </c>
      <c r="N1227">
        <f t="shared" si="333"/>
        <v>354</v>
      </c>
    </row>
    <row r="1228" spans="1:14" x14ac:dyDescent="0.2">
      <c r="A1228" t="s">
        <v>1782</v>
      </c>
      <c r="B1228" s="1" t="s">
        <v>1756</v>
      </c>
      <c r="C1228" t="s">
        <v>14</v>
      </c>
      <c r="D1228" t="s">
        <v>308</v>
      </c>
      <c r="E1228">
        <v>23</v>
      </c>
      <c r="F1228" t="s">
        <v>1605</v>
      </c>
      <c r="G1228">
        <v>2022</v>
      </c>
      <c r="H1228" t="s">
        <v>641</v>
      </c>
      <c r="I1228" t="s">
        <v>122</v>
      </c>
      <c r="J1228">
        <v>899</v>
      </c>
      <c r="K1228">
        <v>295</v>
      </c>
      <c r="L1228">
        <f t="shared" si="332"/>
        <v>604</v>
      </c>
      <c r="M1228">
        <v>240</v>
      </c>
      <c r="N1228">
        <f t="shared" si="333"/>
        <v>364</v>
      </c>
    </row>
    <row r="1229" spans="1:14" x14ac:dyDescent="0.2">
      <c r="A1229" t="s">
        <v>1783</v>
      </c>
      <c r="B1229" s="1" t="s">
        <v>1756</v>
      </c>
      <c r="C1229" t="s">
        <v>14</v>
      </c>
      <c r="D1229" t="s">
        <v>1338</v>
      </c>
      <c r="E1229">
        <v>23</v>
      </c>
      <c r="F1229" t="s">
        <v>1605</v>
      </c>
      <c r="G1229">
        <v>2022</v>
      </c>
      <c r="H1229" t="s">
        <v>84</v>
      </c>
      <c r="I1229" t="s">
        <v>85</v>
      </c>
      <c r="J1229">
        <v>799</v>
      </c>
      <c r="K1229">
        <v>205</v>
      </c>
      <c r="L1229">
        <f t="shared" si="332"/>
        <v>594</v>
      </c>
      <c r="M1229">
        <v>240</v>
      </c>
      <c r="N1229">
        <f t="shared" si="333"/>
        <v>354</v>
      </c>
    </row>
    <row r="1230" spans="1:14" x14ac:dyDescent="0.2">
      <c r="A1230" t="s">
        <v>1784</v>
      </c>
      <c r="B1230" s="1" t="s">
        <v>1756</v>
      </c>
      <c r="C1230" t="s">
        <v>14</v>
      </c>
      <c r="D1230" t="s">
        <v>133</v>
      </c>
      <c r="E1230">
        <v>23</v>
      </c>
      <c r="F1230" t="s">
        <v>1605</v>
      </c>
      <c r="G1230">
        <v>2022</v>
      </c>
      <c r="H1230" t="s">
        <v>1785</v>
      </c>
      <c r="I1230" t="s">
        <v>28</v>
      </c>
      <c r="J1230">
        <v>799</v>
      </c>
      <c r="K1230">
        <v>205</v>
      </c>
      <c r="L1230">
        <f t="shared" si="332"/>
        <v>594</v>
      </c>
      <c r="M1230">
        <v>240</v>
      </c>
      <c r="N1230">
        <f t="shared" si="333"/>
        <v>354</v>
      </c>
    </row>
    <row r="1231" spans="1:14" x14ac:dyDescent="0.2">
      <c r="A1231" t="s">
        <v>1786</v>
      </c>
      <c r="B1231" s="1" t="s">
        <v>1756</v>
      </c>
      <c r="C1231" t="s">
        <v>14</v>
      </c>
      <c r="D1231" t="s">
        <v>81</v>
      </c>
      <c r="E1231">
        <v>23</v>
      </c>
      <c r="F1231" t="s">
        <v>1605</v>
      </c>
      <c r="G1231">
        <v>2022</v>
      </c>
      <c r="H1231" t="s">
        <v>272</v>
      </c>
      <c r="I1231" t="s">
        <v>23</v>
      </c>
      <c r="J1231">
        <v>849</v>
      </c>
      <c r="K1231">
        <v>250</v>
      </c>
      <c r="L1231">
        <f t="shared" si="332"/>
        <v>599</v>
      </c>
      <c r="M1231">
        <v>240</v>
      </c>
      <c r="N1231">
        <f t="shared" si="333"/>
        <v>359</v>
      </c>
    </row>
    <row r="1232" spans="1:14" x14ac:dyDescent="0.2">
      <c r="A1232" t="s">
        <v>1757</v>
      </c>
      <c r="B1232" s="1" t="s">
        <v>1756</v>
      </c>
      <c r="C1232" t="s">
        <v>14</v>
      </c>
      <c r="D1232" t="s">
        <v>954</v>
      </c>
      <c r="E1232">
        <v>23</v>
      </c>
      <c r="F1232" t="s">
        <v>1605</v>
      </c>
      <c r="G1232">
        <v>2022</v>
      </c>
      <c r="H1232" t="s">
        <v>1758</v>
      </c>
      <c r="I1232" t="s">
        <v>62</v>
      </c>
      <c r="J1232">
        <v>799</v>
      </c>
      <c r="K1232">
        <v>205</v>
      </c>
      <c r="L1232">
        <f t="shared" si="332"/>
        <v>594</v>
      </c>
      <c r="M1232">
        <v>240</v>
      </c>
      <c r="N1232">
        <f t="shared" si="333"/>
        <v>354</v>
      </c>
    </row>
    <row r="1233" spans="1:14" x14ac:dyDescent="0.2">
      <c r="A1233" t="s">
        <v>1787</v>
      </c>
      <c r="B1233" s="1" t="s">
        <v>1756</v>
      </c>
      <c r="C1233" t="s">
        <v>14</v>
      </c>
      <c r="D1233" t="s">
        <v>881</v>
      </c>
      <c r="E1233">
        <v>23</v>
      </c>
      <c r="F1233" t="s">
        <v>1605</v>
      </c>
      <c r="G1233">
        <v>2022</v>
      </c>
      <c r="H1233" t="s">
        <v>301</v>
      </c>
      <c r="I1233" t="s">
        <v>212</v>
      </c>
      <c r="J1233">
        <v>799</v>
      </c>
      <c r="K1233">
        <v>205</v>
      </c>
      <c r="L1233">
        <f t="shared" si="332"/>
        <v>594</v>
      </c>
      <c r="M1233">
        <v>240</v>
      </c>
      <c r="N1233">
        <f t="shared" si="333"/>
        <v>354</v>
      </c>
    </row>
    <row r="1234" spans="1:14" x14ac:dyDescent="0.2">
      <c r="A1234" t="s">
        <v>1788</v>
      </c>
      <c r="B1234" s="1" t="s">
        <v>1756</v>
      </c>
      <c r="C1234" t="s">
        <v>14</v>
      </c>
      <c r="D1234" t="s">
        <v>747</v>
      </c>
      <c r="E1234">
        <v>23</v>
      </c>
      <c r="F1234" t="s">
        <v>1605</v>
      </c>
      <c r="G1234">
        <v>2022</v>
      </c>
      <c r="H1234" t="s">
        <v>1230</v>
      </c>
      <c r="I1234" t="s">
        <v>28</v>
      </c>
      <c r="J1234">
        <v>799</v>
      </c>
      <c r="K1234">
        <v>205</v>
      </c>
      <c r="L1234">
        <f t="shared" si="332"/>
        <v>594</v>
      </c>
      <c r="M1234">
        <v>240</v>
      </c>
      <c r="N1234">
        <f t="shared" si="333"/>
        <v>354</v>
      </c>
    </row>
    <row r="1235" spans="1:14" x14ac:dyDescent="0.2">
      <c r="A1235" t="s">
        <v>1789</v>
      </c>
      <c r="B1235" s="1" t="s">
        <v>1756</v>
      </c>
      <c r="C1235" t="s">
        <v>14</v>
      </c>
      <c r="D1235" t="s">
        <v>81</v>
      </c>
      <c r="E1235">
        <v>23</v>
      </c>
      <c r="F1235" t="s">
        <v>1605</v>
      </c>
      <c r="G1235">
        <v>2022</v>
      </c>
      <c r="H1235" t="s">
        <v>104</v>
      </c>
      <c r="I1235" t="s">
        <v>62</v>
      </c>
      <c r="J1235">
        <v>849</v>
      </c>
      <c r="K1235">
        <v>250</v>
      </c>
      <c r="L1235">
        <f t="shared" si="332"/>
        <v>599</v>
      </c>
      <c r="M1235">
        <v>240</v>
      </c>
      <c r="N1235">
        <f t="shared" si="333"/>
        <v>359</v>
      </c>
    </row>
    <row r="1236" spans="1:14" x14ac:dyDescent="0.2">
      <c r="A1236" t="s">
        <v>1723</v>
      </c>
      <c r="B1236" s="1" t="s">
        <v>1711</v>
      </c>
      <c r="C1236" t="s">
        <v>106</v>
      </c>
      <c r="D1236" t="s">
        <v>1486</v>
      </c>
      <c r="E1236">
        <v>17</v>
      </c>
      <c r="F1236" t="s">
        <v>1605</v>
      </c>
      <c r="G1236">
        <v>2022</v>
      </c>
      <c r="H1236" t="s">
        <v>1724</v>
      </c>
      <c r="I1236" t="s">
        <v>376</v>
      </c>
      <c r="J1236">
        <v>-999</v>
      </c>
      <c r="K1236">
        <v>395</v>
      </c>
      <c r="L1236">
        <f>J1236+K1236</f>
        <v>-604</v>
      </c>
      <c r="M1236">
        <v>240</v>
      </c>
      <c r="N1236">
        <f>L1236+M1236</f>
        <v>-364</v>
      </c>
    </row>
    <row r="1237" spans="1:14" x14ac:dyDescent="0.2">
      <c r="A1237" t="s">
        <v>1791</v>
      </c>
      <c r="B1237" s="1" t="s">
        <v>1790</v>
      </c>
      <c r="C1237" t="s">
        <v>43</v>
      </c>
      <c r="D1237" t="s">
        <v>1486</v>
      </c>
      <c r="E1237">
        <v>26</v>
      </c>
      <c r="F1237" t="s">
        <v>1605</v>
      </c>
      <c r="G1237">
        <v>2022</v>
      </c>
      <c r="H1237" t="s">
        <v>1245</v>
      </c>
      <c r="I1237" t="s">
        <v>502</v>
      </c>
      <c r="J1237">
        <v>0</v>
      </c>
      <c r="K1237">
        <v>0</v>
      </c>
      <c r="L1237">
        <v>0</v>
      </c>
      <c r="M1237">
        <v>0</v>
      </c>
      <c r="N1237">
        <v>0</v>
      </c>
    </row>
    <row r="1238" spans="1:14" x14ac:dyDescent="0.2">
      <c r="A1238" t="s">
        <v>1662</v>
      </c>
      <c r="B1238" s="1" t="s">
        <v>1658</v>
      </c>
      <c r="C1238" t="s">
        <v>106</v>
      </c>
      <c r="D1238" t="s">
        <v>1663</v>
      </c>
      <c r="E1238">
        <v>9</v>
      </c>
      <c r="F1238" t="s">
        <v>1605</v>
      </c>
      <c r="G1238">
        <v>2022</v>
      </c>
      <c r="H1238" t="s">
        <v>157</v>
      </c>
      <c r="I1238" t="s">
        <v>97</v>
      </c>
      <c r="J1238">
        <v>-999</v>
      </c>
      <c r="K1238">
        <v>395</v>
      </c>
      <c r="L1238">
        <f>J1238+K1238</f>
        <v>-604</v>
      </c>
      <c r="M1238">
        <v>240</v>
      </c>
      <c r="N1238">
        <f>L1238+M1238</f>
        <v>-364</v>
      </c>
    </row>
    <row r="1239" spans="1:14" x14ac:dyDescent="0.2">
      <c r="A1239" t="s">
        <v>1793</v>
      </c>
      <c r="B1239" s="1" t="s">
        <v>1792</v>
      </c>
      <c r="C1239" t="s">
        <v>14</v>
      </c>
      <c r="D1239" t="s">
        <v>1089</v>
      </c>
      <c r="E1239">
        <v>24</v>
      </c>
      <c r="F1239" t="s">
        <v>1605</v>
      </c>
      <c r="G1239">
        <v>2022</v>
      </c>
      <c r="H1239" t="s">
        <v>150</v>
      </c>
      <c r="I1239" t="s">
        <v>62</v>
      </c>
      <c r="J1239">
        <v>799</v>
      </c>
      <c r="K1239">
        <v>205</v>
      </c>
      <c r="L1239">
        <f t="shared" ref="L1239:L1258" si="334">J1239-K1239</f>
        <v>594</v>
      </c>
      <c r="M1239">
        <v>240</v>
      </c>
      <c r="N1239">
        <f t="shared" ref="N1239:N1258" si="335">L1239-M1239</f>
        <v>354</v>
      </c>
    </row>
    <row r="1240" spans="1:14" x14ac:dyDescent="0.2">
      <c r="A1240" t="s">
        <v>1795</v>
      </c>
      <c r="B1240" s="1" t="s">
        <v>1794</v>
      </c>
      <c r="C1240" t="s">
        <v>14</v>
      </c>
      <c r="D1240" t="s">
        <v>1780</v>
      </c>
      <c r="E1240">
        <v>25</v>
      </c>
      <c r="F1240" t="s">
        <v>1605</v>
      </c>
      <c r="G1240">
        <v>2022</v>
      </c>
      <c r="H1240" t="s">
        <v>84</v>
      </c>
      <c r="I1240" t="s">
        <v>85</v>
      </c>
      <c r="J1240">
        <v>799</v>
      </c>
      <c r="K1240">
        <v>205</v>
      </c>
      <c r="L1240">
        <f t="shared" si="334"/>
        <v>594</v>
      </c>
      <c r="M1240">
        <v>240</v>
      </c>
      <c r="N1240">
        <f t="shared" si="335"/>
        <v>354</v>
      </c>
    </row>
    <row r="1241" spans="1:14" x14ac:dyDescent="0.2">
      <c r="A1241" t="s">
        <v>1796</v>
      </c>
      <c r="B1241" s="1" t="s">
        <v>1792</v>
      </c>
      <c r="C1241" t="s">
        <v>14</v>
      </c>
      <c r="D1241" t="s">
        <v>834</v>
      </c>
      <c r="E1241">
        <v>24</v>
      </c>
      <c r="F1241" t="s">
        <v>1605</v>
      </c>
      <c r="G1241">
        <v>2022</v>
      </c>
      <c r="H1241" t="s">
        <v>157</v>
      </c>
      <c r="I1241" t="s">
        <v>97</v>
      </c>
      <c r="J1241">
        <v>849</v>
      </c>
      <c r="K1241">
        <v>250</v>
      </c>
      <c r="L1241">
        <f t="shared" si="334"/>
        <v>599</v>
      </c>
      <c r="M1241">
        <v>240</v>
      </c>
      <c r="N1241">
        <f t="shared" si="335"/>
        <v>359</v>
      </c>
    </row>
    <row r="1242" spans="1:14" x14ac:dyDescent="0.2">
      <c r="A1242" t="s">
        <v>1797</v>
      </c>
      <c r="B1242" s="1" t="s">
        <v>1792</v>
      </c>
      <c r="C1242" t="s">
        <v>14</v>
      </c>
      <c r="D1242" t="s">
        <v>425</v>
      </c>
      <c r="E1242">
        <v>24</v>
      </c>
      <c r="F1242" t="s">
        <v>1605</v>
      </c>
      <c r="G1242">
        <v>2022</v>
      </c>
      <c r="H1242" t="s">
        <v>1798</v>
      </c>
      <c r="I1242" t="s">
        <v>250</v>
      </c>
      <c r="J1242">
        <v>799</v>
      </c>
      <c r="K1242">
        <v>205</v>
      </c>
      <c r="L1242">
        <f t="shared" si="334"/>
        <v>594</v>
      </c>
      <c r="M1242">
        <v>240</v>
      </c>
      <c r="N1242">
        <f t="shared" si="335"/>
        <v>354</v>
      </c>
    </row>
    <row r="1243" spans="1:14" x14ac:dyDescent="0.2">
      <c r="A1243" t="s">
        <v>1799</v>
      </c>
      <c r="B1243" s="1" t="s">
        <v>1794</v>
      </c>
      <c r="C1243" t="s">
        <v>14</v>
      </c>
      <c r="D1243" t="s">
        <v>1076</v>
      </c>
      <c r="E1243">
        <v>25</v>
      </c>
      <c r="F1243" t="s">
        <v>1605</v>
      </c>
      <c r="G1243">
        <v>2022</v>
      </c>
      <c r="H1243" t="s">
        <v>1800</v>
      </c>
      <c r="I1243" t="s">
        <v>122</v>
      </c>
      <c r="J1243">
        <v>849</v>
      </c>
      <c r="K1243">
        <v>250</v>
      </c>
      <c r="L1243">
        <f t="shared" si="334"/>
        <v>599</v>
      </c>
      <c r="M1243">
        <v>240</v>
      </c>
      <c r="N1243">
        <f t="shared" si="335"/>
        <v>359</v>
      </c>
    </row>
    <row r="1244" spans="1:14" x14ac:dyDescent="0.2">
      <c r="A1244" t="s">
        <v>1801</v>
      </c>
      <c r="B1244" s="1" t="s">
        <v>1792</v>
      </c>
      <c r="C1244" t="s">
        <v>14</v>
      </c>
      <c r="D1244" t="s">
        <v>133</v>
      </c>
      <c r="E1244">
        <v>24</v>
      </c>
      <c r="F1244" t="s">
        <v>1605</v>
      </c>
      <c r="G1244">
        <v>2022</v>
      </c>
      <c r="H1244" t="s">
        <v>1802</v>
      </c>
      <c r="I1244" t="s">
        <v>32</v>
      </c>
      <c r="J1244">
        <v>799</v>
      </c>
      <c r="K1244">
        <v>205</v>
      </c>
      <c r="L1244">
        <f t="shared" si="334"/>
        <v>594</v>
      </c>
      <c r="M1244">
        <v>240</v>
      </c>
      <c r="N1244">
        <f t="shared" si="335"/>
        <v>354</v>
      </c>
    </row>
    <row r="1245" spans="1:14" x14ac:dyDescent="0.2">
      <c r="A1245" t="s">
        <v>1803</v>
      </c>
      <c r="B1245" s="1" t="s">
        <v>1792</v>
      </c>
      <c r="C1245" t="s">
        <v>14</v>
      </c>
      <c r="D1245" t="s">
        <v>169</v>
      </c>
      <c r="E1245">
        <v>24</v>
      </c>
      <c r="F1245" t="s">
        <v>1605</v>
      </c>
      <c r="G1245">
        <v>2022</v>
      </c>
      <c r="H1245" t="s">
        <v>246</v>
      </c>
      <c r="I1245" t="s">
        <v>58</v>
      </c>
      <c r="J1245">
        <v>799</v>
      </c>
      <c r="K1245">
        <v>205</v>
      </c>
      <c r="L1245">
        <f t="shared" si="334"/>
        <v>594</v>
      </c>
      <c r="M1245">
        <v>240</v>
      </c>
      <c r="N1245">
        <f t="shared" si="335"/>
        <v>354</v>
      </c>
    </row>
    <row r="1246" spans="1:14" x14ac:dyDescent="0.2">
      <c r="A1246" t="s">
        <v>1804</v>
      </c>
      <c r="B1246" s="1" t="s">
        <v>1794</v>
      </c>
      <c r="C1246" t="s">
        <v>14</v>
      </c>
      <c r="D1246" t="s">
        <v>1805</v>
      </c>
      <c r="E1246">
        <v>25</v>
      </c>
      <c r="F1246" t="s">
        <v>1605</v>
      </c>
      <c r="G1246">
        <v>2022</v>
      </c>
      <c r="H1246" t="s">
        <v>157</v>
      </c>
      <c r="I1246" t="s">
        <v>97</v>
      </c>
      <c r="J1246">
        <v>849</v>
      </c>
      <c r="K1246">
        <v>250</v>
      </c>
      <c r="L1246">
        <f t="shared" si="334"/>
        <v>599</v>
      </c>
      <c r="M1246">
        <v>240</v>
      </c>
      <c r="N1246">
        <f t="shared" si="335"/>
        <v>359</v>
      </c>
    </row>
    <row r="1247" spans="1:14" x14ac:dyDescent="0.2">
      <c r="A1247" t="s">
        <v>1806</v>
      </c>
      <c r="B1247" s="1" t="s">
        <v>1794</v>
      </c>
      <c r="C1247" t="s">
        <v>14</v>
      </c>
      <c r="D1247" t="s">
        <v>809</v>
      </c>
      <c r="E1247">
        <v>25</v>
      </c>
      <c r="F1247" t="s">
        <v>1605</v>
      </c>
      <c r="G1247">
        <v>2022</v>
      </c>
      <c r="H1247" t="s">
        <v>1807</v>
      </c>
      <c r="I1247" t="s">
        <v>160</v>
      </c>
      <c r="J1247">
        <v>999</v>
      </c>
      <c r="K1247">
        <v>325</v>
      </c>
      <c r="L1247">
        <f t="shared" si="334"/>
        <v>674</v>
      </c>
      <c r="M1247">
        <v>240</v>
      </c>
      <c r="N1247">
        <f t="shared" si="335"/>
        <v>434</v>
      </c>
    </row>
    <row r="1248" spans="1:14" x14ac:dyDescent="0.2">
      <c r="A1248" t="s">
        <v>1806</v>
      </c>
      <c r="B1248" s="1" t="s">
        <v>1794</v>
      </c>
      <c r="C1248" t="s">
        <v>14</v>
      </c>
      <c r="D1248" t="s">
        <v>895</v>
      </c>
      <c r="E1248">
        <v>25</v>
      </c>
      <c r="F1248" t="s">
        <v>1605</v>
      </c>
      <c r="G1248">
        <v>2022</v>
      </c>
      <c r="H1248" t="s">
        <v>1807</v>
      </c>
      <c r="I1248" t="s">
        <v>160</v>
      </c>
      <c r="J1248">
        <v>849</v>
      </c>
      <c r="K1248">
        <v>250</v>
      </c>
      <c r="L1248">
        <f t="shared" si="334"/>
        <v>599</v>
      </c>
      <c r="M1248">
        <v>240</v>
      </c>
      <c r="N1248">
        <f t="shared" si="335"/>
        <v>359</v>
      </c>
    </row>
    <row r="1249" spans="1:14" x14ac:dyDescent="0.2">
      <c r="A1249" t="s">
        <v>1808</v>
      </c>
      <c r="B1249" s="1" t="s">
        <v>1792</v>
      </c>
      <c r="C1249" t="s">
        <v>14</v>
      </c>
      <c r="D1249" t="s">
        <v>1809</v>
      </c>
      <c r="E1249">
        <v>24</v>
      </c>
      <c r="F1249" t="s">
        <v>1605</v>
      </c>
      <c r="G1249">
        <v>2022</v>
      </c>
      <c r="H1249" t="s">
        <v>101</v>
      </c>
      <c r="I1249" t="s">
        <v>62</v>
      </c>
      <c r="J1249">
        <v>799</v>
      </c>
      <c r="K1249">
        <v>205</v>
      </c>
      <c r="L1249">
        <f t="shared" si="334"/>
        <v>594</v>
      </c>
      <c r="M1249">
        <v>240</v>
      </c>
      <c r="N1249">
        <f t="shared" si="335"/>
        <v>354</v>
      </c>
    </row>
    <row r="1250" spans="1:14" x14ac:dyDescent="0.2">
      <c r="A1250" t="s">
        <v>1810</v>
      </c>
      <c r="B1250" s="1" t="s">
        <v>1792</v>
      </c>
      <c r="C1250" t="s">
        <v>14</v>
      </c>
      <c r="D1250" t="s">
        <v>128</v>
      </c>
      <c r="E1250">
        <v>24</v>
      </c>
      <c r="F1250" t="s">
        <v>1605</v>
      </c>
      <c r="G1250">
        <v>2022</v>
      </c>
      <c r="H1250" t="s">
        <v>1811</v>
      </c>
      <c r="I1250" t="s">
        <v>85</v>
      </c>
      <c r="J1250">
        <v>849</v>
      </c>
      <c r="K1250">
        <v>250</v>
      </c>
      <c r="L1250">
        <f t="shared" si="334"/>
        <v>599</v>
      </c>
      <c r="M1250">
        <v>240</v>
      </c>
      <c r="N1250">
        <f t="shared" si="335"/>
        <v>359</v>
      </c>
    </row>
    <row r="1251" spans="1:14" x14ac:dyDescent="0.2">
      <c r="A1251" t="s">
        <v>1812</v>
      </c>
      <c r="B1251" s="1" t="s">
        <v>1794</v>
      </c>
      <c r="C1251" t="s">
        <v>14</v>
      </c>
      <c r="D1251" t="s">
        <v>81</v>
      </c>
      <c r="E1251">
        <v>25</v>
      </c>
      <c r="F1251" t="s">
        <v>1605</v>
      </c>
      <c r="G1251">
        <v>2022</v>
      </c>
      <c r="H1251" t="s">
        <v>567</v>
      </c>
      <c r="I1251" t="s">
        <v>23</v>
      </c>
      <c r="J1251">
        <v>849</v>
      </c>
      <c r="K1251">
        <v>250</v>
      </c>
      <c r="L1251">
        <f t="shared" si="334"/>
        <v>599</v>
      </c>
      <c r="M1251">
        <v>240</v>
      </c>
      <c r="N1251">
        <f t="shared" si="335"/>
        <v>359</v>
      </c>
    </row>
    <row r="1252" spans="1:14" x14ac:dyDescent="0.2">
      <c r="A1252" t="s">
        <v>1813</v>
      </c>
      <c r="B1252" s="1" t="s">
        <v>1792</v>
      </c>
      <c r="C1252" t="s">
        <v>14</v>
      </c>
      <c r="D1252" t="s">
        <v>81</v>
      </c>
      <c r="E1252">
        <v>24</v>
      </c>
      <c r="F1252" t="s">
        <v>1605</v>
      </c>
      <c r="G1252">
        <v>2022</v>
      </c>
      <c r="H1252" t="s">
        <v>641</v>
      </c>
      <c r="I1252" t="s">
        <v>122</v>
      </c>
      <c r="J1252">
        <v>849</v>
      </c>
      <c r="K1252">
        <v>250</v>
      </c>
      <c r="L1252">
        <f t="shared" si="334"/>
        <v>599</v>
      </c>
      <c r="M1252">
        <v>240</v>
      </c>
      <c r="N1252">
        <f t="shared" si="335"/>
        <v>359</v>
      </c>
    </row>
    <row r="1253" spans="1:14" x14ac:dyDescent="0.2">
      <c r="A1253" t="s">
        <v>1814</v>
      </c>
      <c r="B1253" s="1" t="s">
        <v>1792</v>
      </c>
      <c r="C1253" t="s">
        <v>14</v>
      </c>
      <c r="D1253" t="s">
        <v>504</v>
      </c>
      <c r="E1253">
        <v>24</v>
      </c>
      <c r="F1253" t="s">
        <v>1605</v>
      </c>
      <c r="G1253">
        <v>2022</v>
      </c>
      <c r="H1253" t="s">
        <v>49</v>
      </c>
      <c r="I1253" t="s">
        <v>32</v>
      </c>
      <c r="J1253">
        <v>899</v>
      </c>
      <c r="K1253">
        <v>295</v>
      </c>
      <c r="L1253">
        <f t="shared" si="334"/>
        <v>604</v>
      </c>
      <c r="M1253">
        <v>240</v>
      </c>
      <c r="N1253">
        <f t="shared" si="335"/>
        <v>364</v>
      </c>
    </row>
    <row r="1254" spans="1:14" x14ac:dyDescent="0.2">
      <c r="A1254" t="s">
        <v>1815</v>
      </c>
      <c r="B1254" s="1" t="s">
        <v>1794</v>
      </c>
      <c r="C1254" t="s">
        <v>14</v>
      </c>
      <c r="D1254" t="s">
        <v>452</v>
      </c>
      <c r="E1254">
        <v>25</v>
      </c>
      <c r="F1254" t="s">
        <v>1605</v>
      </c>
      <c r="G1254">
        <v>2022</v>
      </c>
      <c r="H1254" t="s">
        <v>170</v>
      </c>
      <c r="I1254" t="s">
        <v>171</v>
      </c>
      <c r="J1254">
        <v>799</v>
      </c>
      <c r="K1254">
        <v>205</v>
      </c>
      <c r="L1254">
        <f t="shared" si="334"/>
        <v>594</v>
      </c>
      <c r="M1254">
        <v>240</v>
      </c>
      <c r="N1254">
        <f t="shared" si="335"/>
        <v>354</v>
      </c>
    </row>
    <row r="1255" spans="1:14" x14ac:dyDescent="0.2">
      <c r="A1255" t="s">
        <v>1816</v>
      </c>
      <c r="B1255" s="1" t="s">
        <v>1792</v>
      </c>
      <c r="C1255" t="s">
        <v>14</v>
      </c>
      <c r="D1255" t="s">
        <v>133</v>
      </c>
      <c r="E1255">
        <v>24</v>
      </c>
      <c r="F1255" t="s">
        <v>1605</v>
      </c>
      <c r="G1255">
        <v>2022</v>
      </c>
      <c r="H1255" t="s">
        <v>1817</v>
      </c>
      <c r="I1255" t="s">
        <v>253</v>
      </c>
      <c r="J1255">
        <v>799</v>
      </c>
      <c r="K1255">
        <v>205</v>
      </c>
      <c r="L1255">
        <f t="shared" si="334"/>
        <v>594</v>
      </c>
      <c r="M1255">
        <v>240</v>
      </c>
      <c r="N1255">
        <f t="shared" si="335"/>
        <v>354</v>
      </c>
    </row>
    <row r="1256" spans="1:14" x14ac:dyDescent="0.2">
      <c r="A1256" t="s">
        <v>1818</v>
      </c>
      <c r="B1256" s="1" t="s">
        <v>1794</v>
      </c>
      <c r="C1256" t="s">
        <v>14</v>
      </c>
      <c r="D1256" t="s">
        <v>81</v>
      </c>
      <c r="E1256">
        <v>25</v>
      </c>
      <c r="F1256" t="s">
        <v>1605</v>
      </c>
      <c r="G1256">
        <v>2022</v>
      </c>
      <c r="H1256" t="s">
        <v>1819</v>
      </c>
      <c r="I1256" t="s">
        <v>85</v>
      </c>
      <c r="J1256">
        <v>849</v>
      </c>
      <c r="K1256">
        <v>250</v>
      </c>
      <c r="L1256">
        <f t="shared" si="334"/>
        <v>599</v>
      </c>
      <c r="M1256">
        <v>240</v>
      </c>
      <c r="N1256">
        <f t="shared" si="335"/>
        <v>359</v>
      </c>
    </row>
    <row r="1257" spans="1:14" x14ac:dyDescent="0.2">
      <c r="A1257" t="s">
        <v>1820</v>
      </c>
      <c r="B1257" s="1" t="s">
        <v>1792</v>
      </c>
      <c r="C1257" t="s">
        <v>14</v>
      </c>
      <c r="D1257" t="s">
        <v>573</v>
      </c>
      <c r="E1257">
        <v>24</v>
      </c>
      <c r="F1257" t="s">
        <v>1605</v>
      </c>
      <c r="G1257">
        <v>2022</v>
      </c>
      <c r="H1257" t="s">
        <v>101</v>
      </c>
      <c r="I1257" t="s">
        <v>62</v>
      </c>
      <c r="J1257">
        <v>899</v>
      </c>
      <c r="K1257">
        <v>295</v>
      </c>
      <c r="L1257">
        <f t="shared" si="334"/>
        <v>604</v>
      </c>
      <c r="M1257">
        <v>240</v>
      </c>
      <c r="N1257">
        <f t="shared" si="335"/>
        <v>364</v>
      </c>
    </row>
    <row r="1258" spans="1:14" x14ac:dyDescent="0.2">
      <c r="A1258" t="s">
        <v>1821</v>
      </c>
      <c r="B1258" s="1" t="s">
        <v>1792</v>
      </c>
      <c r="C1258" t="s">
        <v>14</v>
      </c>
      <c r="D1258" t="s">
        <v>1076</v>
      </c>
      <c r="E1258">
        <v>24</v>
      </c>
      <c r="F1258" t="s">
        <v>1605</v>
      </c>
      <c r="G1258">
        <v>2022</v>
      </c>
      <c r="H1258" t="s">
        <v>246</v>
      </c>
      <c r="I1258" t="s">
        <v>58</v>
      </c>
      <c r="J1258">
        <v>849</v>
      </c>
      <c r="K1258">
        <v>250</v>
      </c>
      <c r="L1258">
        <f t="shared" si="334"/>
        <v>599</v>
      </c>
      <c r="M1258">
        <v>240</v>
      </c>
      <c r="N1258">
        <f t="shared" si="335"/>
        <v>359</v>
      </c>
    </row>
    <row r="1259" spans="1:14" x14ac:dyDescent="0.2">
      <c r="A1259" t="s">
        <v>1823</v>
      </c>
      <c r="B1259" s="1" t="s">
        <v>1822</v>
      </c>
      <c r="C1259" t="s">
        <v>43</v>
      </c>
      <c r="D1259" t="s">
        <v>504</v>
      </c>
      <c r="E1259">
        <v>27</v>
      </c>
      <c r="F1259" t="s">
        <v>1605</v>
      </c>
      <c r="G1259">
        <v>2022</v>
      </c>
      <c r="H1259" t="s">
        <v>170</v>
      </c>
      <c r="I1259" t="s">
        <v>171</v>
      </c>
      <c r="J1259">
        <v>0</v>
      </c>
      <c r="K1259">
        <v>0</v>
      </c>
      <c r="L1259">
        <v>0</v>
      </c>
      <c r="M1259">
        <v>0</v>
      </c>
      <c r="N1259">
        <v>0</v>
      </c>
    </row>
    <row r="1260" spans="1:14" x14ac:dyDescent="0.2">
      <c r="A1260" t="s">
        <v>1722</v>
      </c>
      <c r="B1260" s="1" t="s">
        <v>1707</v>
      </c>
      <c r="C1260" t="s">
        <v>106</v>
      </c>
      <c r="D1260" t="s">
        <v>895</v>
      </c>
      <c r="E1260">
        <v>18</v>
      </c>
      <c r="F1260" t="s">
        <v>1605</v>
      </c>
      <c r="G1260">
        <v>2022</v>
      </c>
      <c r="H1260" t="s">
        <v>1284</v>
      </c>
      <c r="I1260" t="s">
        <v>85</v>
      </c>
      <c r="J1260">
        <v>-849</v>
      </c>
      <c r="K1260">
        <v>345</v>
      </c>
      <c r="L1260">
        <f>J1260+K1260</f>
        <v>-504</v>
      </c>
      <c r="M1260">
        <v>240</v>
      </c>
      <c r="N1260">
        <f>L1260+M1260</f>
        <v>-264</v>
      </c>
    </row>
    <row r="1261" spans="1:14" x14ac:dyDescent="0.2">
      <c r="A1261" t="s">
        <v>1824</v>
      </c>
      <c r="B1261" s="1" t="s">
        <v>1790</v>
      </c>
      <c r="C1261" t="s">
        <v>14</v>
      </c>
      <c r="D1261" t="s">
        <v>1825</v>
      </c>
      <c r="E1261">
        <v>26</v>
      </c>
      <c r="F1261" t="s">
        <v>1605</v>
      </c>
      <c r="G1261">
        <v>2022</v>
      </c>
      <c r="H1261" t="s">
        <v>449</v>
      </c>
      <c r="I1261" t="s">
        <v>97</v>
      </c>
      <c r="J1261">
        <v>849</v>
      </c>
      <c r="K1261">
        <v>250</v>
      </c>
      <c r="L1261">
        <f t="shared" ref="L1261:L1275" si="336">J1261-K1261</f>
        <v>599</v>
      </c>
      <c r="M1261">
        <v>240</v>
      </c>
      <c r="N1261">
        <f t="shared" ref="N1261:N1275" si="337">L1261-M1261</f>
        <v>359</v>
      </c>
    </row>
    <row r="1262" spans="1:14" x14ac:dyDescent="0.2">
      <c r="A1262" t="s">
        <v>1826</v>
      </c>
      <c r="B1262" s="1" t="s">
        <v>1790</v>
      </c>
      <c r="C1262" t="s">
        <v>14</v>
      </c>
      <c r="D1262" t="s">
        <v>1215</v>
      </c>
      <c r="E1262">
        <v>26</v>
      </c>
      <c r="F1262" t="s">
        <v>1605</v>
      </c>
      <c r="G1262">
        <v>2022</v>
      </c>
      <c r="H1262" t="s">
        <v>1827</v>
      </c>
      <c r="I1262" t="s">
        <v>122</v>
      </c>
      <c r="J1262">
        <v>799</v>
      </c>
      <c r="K1262">
        <v>205</v>
      </c>
      <c r="L1262">
        <f t="shared" si="336"/>
        <v>594</v>
      </c>
      <c r="M1262">
        <v>240</v>
      </c>
      <c r="N1262">
        <f t="shared" si="337"/>
        <v>354</v>
      </c>
    </row>
    <row r="1263" spans="1:14" x14ac:dyDescent="0.2">
      <c r="A1263" t="s">
        <v>1828</v>
      </c>
      <c r="B1263" s="1" t="s">
        <v>1790</v>
      </c>
      <c r="C1263" t="s">
        <v>14</v>
      </c>
      <c r="D1263" t="s">
        <v>1218</v>
      </c>
      <c r="E1263">
        <v>26</v>
      </c>
      <c r="F1263" t="s">
        <v>1605</v>
      </c>
      <c r="G1263">
        <v>2022</v>
      </c>
      <c r="H1263" t="s">
        <v>1829</v>
      </c>
      <c r="I1263" t="s">
        <v>58</v>
      </c>
      <c r="J1263">
        <v>799</v>
      </c>
      <c r="K1263">
        <v>205</v>
      </c>
      <c r="L1263">
        <f t="shared" si="336"/>
        <v>594</v>
      </c>
      <c r="M1263">
        <v>240</v>
      </c>
      <c r="N1263">
        <f t="shared" si="337"/>
        <v>354</v>
      </c>
    </row>
    <row r="1264" spans="1:14" x14ac:dyDescent="0.2">
      <c r="A1264" t="s">
        <v>1830</v>
      </c>
      <c r="B1264" s="1" t="s">
        <v>1794</v>
      </c>
      <c r="C1264" t="s">
        <v>14</v>
      </c>
      <c r="D1264" t="s">
        <v>81</v>
      </c>
      <c r="E1264">
        <v>25</v>
      </c>
      <c r="F1264" t="s">
        <v>1605</v>
      </c>
      <c r="G1264">
        <v>2022</v>
      </c>
      <c r="H1264" t="s">
        <v>1831</v>
      </c>
      <c r="I1264" t="s">
        <v>32</v>
      </c>
      <c r="J1264">
        <v>849</v>
      </c>
      <c r="K1264">
        <v>250</v>
      </c>
      <c r="L1264">
        <f t="shared" si="336"/>
        <v>599</v>
      </c>
      <c r="M1264">
        <v>240</v>
      </c>
      <c r="N1264">
        <f t="shared" si="337"/>
        <v>359</v>
      </c>
    </row>
    <row r="1265" spans="1:14" x14ac:dyDescent="0.2">
      <c r="A1265" t="s">
        <v>1791</v>
      </c>
      <c r="B1265" s="1" t="s">
        <v>1790</v>
      </c>
      <c r="C1265" t="s">
        <v>14</v>
      </c>
      <c r="D1265" t="s">
        <v>1486</v>
      </c>
      <c r="E1265">
        <v>26</v>
      </c>
      <c r="F1265" t="s">
        <v>1605</v>
      </c>
      <c r="G1265">
        <v>2022</v>
      </c>
      <c r="H1265" t="s">
        <v>1245</v>
      </c>
      <c r="I1265" t="s">
        <v>502</v>
      </c>
      <c r="J1265">
        <v>999</v>
      </c>
      <c r="K1265">
        <v>325</v>
      </c>
      <c r="L1265">
        <f t="shared" si="336"/>
        <v>674</v>
      </c>
      <c r="M1265">
        <v>240</v>
      </c>
      <c r="N1265">
        <f t="shared" si="337"/>
        <v>434</v>
      </c>
    </row>
    <row r="1266" spans="1:14" x14ac:dyDescent="0.2">
      <c r="A1266" t="s">
        <v>1832</v>
      </c>
      <c r="B1266" s="1" t="s">
        <v>1794</v>
      </c>
      <c r="C1266" t="s">
        <v>14</v>
      </c>
      <c r="D1266" t="s">
        <v>169</v>
      </c>
      <c r="E1266">
        <v>25</v>
      </c>
      <c r="F1266" t="s">
        <v>1605</v>
      </c>
      <c r="G1266">
        <v>2022</v>
      </c>
      <c r="H1266" t="s">
        <v>249</v>
      </c>
      <c r="I1266" t="s">
        <v>250</v>
      </c>
      <c r="J1266">
        <v>799</v>
      </c>
      <c r="K1266">
        <v>205</v>
      </c>
      <c r="L1266">
        <f t="shared" si="336"/>
        <v>594</v>
      </c>
      <c r="M1266">
        <v>240</v>
      </c>
      <c r="N1266">
        <f t="shared" si="337"/>
        <v>354</v>
      </c>
    </row>
    <row r="1267" spans="1:14" x14ac:dyDescent="0.2">
      <c r="A1267" t="s">
        <v>1833</v>
      </c>
      <c r="B1267" s="1" t="s">
        <v>1790</v>
      </c>
      <c r="C1267" t="s">
        <v>14</v>
      </c>
      <c r="D1267" t="s">
        <v>1834</v>
      </c>
      <c r="E1267">
        <v>26</v>
      </c>
      <c r="F1267" t="s">
        <v>1605</v>
      </c>
      <c r="G1267">
        <v>2022</v>
      </c>
      <c r="H1267" t="s">
        <v>104</v>
      </c>
      <c r="I1267" t="s">
        <v>62</v>
      </c>
      <c r="J1267">
        <v>849</v>
      </c>
      <c r="K1267">
        <v>250</v>
      </c>
      <c r="L1267">
        <f t="shared" si="336"/>
        <v>599</v>
      </c>
      <c r="M1267">
        <v>240</v>
      </c>
      <c r="N1267">
        <f t="shared" si="337"/>
        <v>359</v>
      </c>
    </row>
    <row r="1268" spans="1:14" x14ac:dyDescent="0.2">
      <c r="A1268" t="s">
        <v>1835</v>
      </c>
      <c r="B1268" s="1" t="s">
        <v>1790</v>
      </c>
      <c r="C1268" t="s">
        <v>14</v>
      </c>
      <c r="D1268" t="s">
        <v>81</v>
      </c>
      <c r="E1268">
        <v>26</v>
      </c>
      <c r="F1268" t="s">
        <v>1605</v>
      </c>
      <c r="G1268">
        <v>2022</v>
      </c>
      <c r="H1268" t="s">
        <v>104</v>
      </c>
      <c r="I1268" t="s">
        <v>62</v>
      </c>
      <c r="J1268">
        <v>849</v>
      </c>
      <c r="K1268">
        <v>250</v>
      </c>
      <c r="L1268">
        <f t="shared" si="336"/>
        <v>599</v>
      </c>
      <c r="M1268">
        <v>240</v>
      </c>
      <c r="N1268">
        <f t="shared" si="337"/>
        <v>359</v>
      </c>
    </row>
    <row r="1269" spans="1:14" x14ac:dyDescent="0.2">
      <c r="A1269" t="s">
        <v>1836</v>
      </c>
      <c r="B1269" s="1" t="s">
        <v>1794</v>
      </c>
      <c r="C1269" t="s">
        <v>14</v>
      </c>
      <c r="D1269" t="s">
        <v>1780</v>
      </c>
      <c r="E1269">
        <v>25</v>
      </c>
      <c r="F1269" t="s">
        <v>1605</v>
      </c>
      <c r="G1269">
        <v>2022</v>
      </c>
      <c r="H1269" t="s">
        <v>1148</v>
      </c>
      <c r="I1269" t="s">
        <v>32</v>
      </c>
      <c r="J1269">
        <v>799</v>
      </c>
      <c r="K1269">
        <v>205</v>
      </c>
      <c r="L1269">
        <f t="shared" si="336"/>
        <v>594</v>
      </c>
      <c r="M1269">
        <v>240</v>
      </c>
      <c r="N1269">
        <f t="shared" si="337"/>
        <v>354</v>
      </c>
    </row>
    <row r="1270" spans="1:14" x14ac:dyDescent="0.2">
      <c r="A1270" t="s">
        <v>1837</v>
      </c>
      <c r="B1270" s="1" t="s">
        <v>1790</v>
      </c>
      <c r="C1270" t="s">
        <v>14</v>
      </c>
      <c r="D1270" t="s">
        <v>81</v>
      </c>
      <c r="E1270">
        <v>26</v>
      </c>
      <c r="F1270" t="s">
        <v>1605</v>
      </c>
      <c r="G1270">
        <v>2022</v>
      </c>
      <c r="H1270" t="s">
        <v>157</v>
      </c>
      <c r="I1270" t="s">
        <v>97</v>
      </c>
      <c r="J1270">
        <v>849</v>
      </c>
      <c r="K1270">
        <v>250</v>
      </c>
      <c r="L1270">
        <f t="shared" si="336"/>
        <v>599</v>
      </c>
      <c r="M1270">
        <v>240</v>
      </c>
      <c r="N1270">
        <f t="shared" si="337"/>
        <v>359</v>
      </c>
    </row>
    <row r="1271" spans="1:14" x14ac:dyDescent="0.2">
      <c r="A1271" t="s">
        <v>1838</v>
      </c>
      <c r="B1271" s="1" t="s">
        <v>1790</v>
      </c>
      <c r="C1271" t="s">
        <v>14</v>
      </c>
      <c r="D1271" t="s">
        <v>81</v>
      </c>
      <c r="E1271">
        <v>26</v>
      </c>
      <c r="F1271" t="s">
        <v>1605</v>
      </c>
      <c r="G1271">
        <v>2022</v>
      </c>
      <c r="H1271" t="s">
        <v>1839</v>
      </c>
      <c r="I1271" t="s">
        <v>122</v>
      </c>
      <c r="J1271">
        <v>849</v>
      </c>
      <c r="K1271">
        <v>250</v>
      </c>
      <c r="L1271">
        <f t="shared" si="336"/>
        <v>599</v>
      </c>
      <c r="M1271">
        <v>240</v>
      </c>
      <c r="N1271">
        <f t="shared" si="337"/>
        <v>359</v>
      </c>
    </row>
    <row r="1272" spans="1:14" x14ac:dyDescent="0.2">
      <c r="A1272" t="s">
        <v>1840</v>
      </c>
      <c r="B1272" s="1" t="s">
        <v>1794</v>
      </c>
      <c r="C1272" t="s">
        <v>14</v>
      </c>
      <c r="D1272" t="s">
        <v>490</v>
      </c>
      <c r="E1272">
        <v>25</v>
      </c>
      <c r="F1272" t="s">
        <v>1605</v>
      </c>
      <c r="G1272">
        <v>2022</v>
      </c>
      <c r="H1272" t="s">
        <v>359</v>
      </c>
      <c r="I1272" t="s">
        <v>85</v>
      </c>
      <c r="J1272">
        <v>899</v>
      </c>
      <c r="K1272">
        <v>295</v>
      </c>
      <c r="L1272">
        <f t="shared" si="336"/>
        <v>604</v>
      </c>
      <c r="M1272">
        <v>240</v>
      </c>
      <c r="N1272">
        <f t="shared" si="337"/>
        <v>364</v>
      </c>
    </row>
    <row r="1273" spans="1:14" x14ac:dyDescent="0.2">
      <c r="A1273" t="s">
        <v>1841</v>
      </c>
      <c r="B1273" s="1" t="s">
        <v>1790</v>
      </c>
      <c r="C1273" t="s">
        <v>14</v>
      </c>
      <c r="D1273" t="s">
        <v>1842</v>
      </c>
      <c r="E1273">
        <v>26</v>
      </c>
      <c r="F1273" t="s">
        <v>1605</v>
      </c>
      <c r="G1273">
        <v>2022</v>
      </c>
      <c r="H1273" t="s">
        <v>864</v>
      </c>
      <c r="I1273" t="s">
        <v>250</v>
      </c>
      <c r="J1273">
        <v>799</v>
      </c>
      <c r="K1273">
        <v>205</v>
      </c>
      <c r="L1273">
        <f t="shared" si="336"/>
        <v>594</v>
      </c>
      <c r="M1273">
        <v>240</v>
      </c>
      <c r="N1273">
        <f t="shared" si="337"/>
        <v>354</v>
      </c>
    </row>
    <row r="1274" spans="1:14" x14ac:dyDescent="0.2">
      <c r="A1274" t="s">
        <v>1843</v>
      </c>
      <c r="B1274" s="1" t="s">
        <v>1790</v>
      </c>
      <c r="C1274" t="s">
        <v>14</v>
      </c>
      <c r="D1274" t="s">
        <v>792</v>
      </c>
      <c r="E1274">
        <v>26</v>
      </c>
      <c r="F1274" t="s">
        <v>1605</v>
      </c>
      <c r="G1274">
        <v>2022</v>
      </c>
      <c r="H1274" t="s">
        <v>170</v>
      </c>
      <c r="I1274" t="s">
        <v>171</v>
      </c>
      <c r="J1274">
        <v>849</v>
      </c>
      <c r="K1274">
        <v>250</v>
      </c>
      <c r="L1274">
        <f t="shared" si="336"/>
        <v>599</v>
      </c>
      <c r="M1274">
        <v>240</v>
      </c>
      <c r="N1274">
        <f t="shared" si="337"/>
        <v>359</v>
      </c>
    </row>
    <row r="1275" spans="1:14" x14ac:dyDescent="0.2">
      <c r="A1275" t="s">
        <v>1844</v>
      </c>
      <c r="B1275" s="1" t="s">
        <v>1794</v>
      </c>
      <c r="C1275" t="s">
        <v>14</v>
      </c>
      <c r="D1275" t="s">
        <v>1089</v>
      </c>
      <c r="E1275">
        <v>25</v>
      </c>
      <c r="F1275" t="s">
        <v>1605</v>
      </c>
      <c r="G1275">
        <v>2022</v>
      </c>
      <c r="H1275" t="s">
        <v>246</v>
      </c>
      <c r="I1275" t="s">
        <v>58</v>
      </c>
      <c r="J1275">
        <v>799</v>
      </c>
      <c r="K1275">
        <v>205</v>
      </c>
      <c r="L1275">
        <f t="shared" si="336"/>
        <v>594</v>
      </c>
      <c r="M1275">
        <v>240</v>
      </c>
      <c r="N1275">
        <f t="shared" si="337"/>
        <v>354</v>
      </c>
    </row>
    <row r="1276" spans="1:14" x14ac:dyDescent="0.2">
      <c r="A1276" t="s">
        <v>1750</v>
      </c>
      <c r="B1276" s="1" t="s">
        <v>1745</v>
      </c>
      <c r="C1276" t="s">
        <v>106</v>
      </c>
      <c r="D1276" t="s">
        <v>812</v>
      </c>
      <c r="E1276">
        <v>21</v>
      </c>
      <c r="F1276" t="s">
        <v>1605</v>
      </c>
      <c r="G1276">
        <v>2022</v>
      </c>
      <c r="H1276" t="s">
        <v>1751</v>
      </c>
      <c r="I1276" t="s">
        <v>212</v>
      </c>
      <c r="J1276">
        <v>-999</v>
      </c>
      <c r="K1276">
        <v>395</v>
      </c>
      <c r="L1276">
        <f t="shared" ref="L1276:L1278" si="338">J1276+K1276</f>
        <v>-604</v>
      </c>
      <c r="M1276">
        <v>240</v>
      </c>
      <c r="N1276">
        <f t="shared" ref="N1276:N1278" si="339">L1276+M1276</f>
        <v>-364</v>
      </c>
    </row>
    <row r="1277" spans="1:14" x14ac:dyDescent="0.2">
      <c r="A1277" t="s">
        <v>1768</v>
      </c>
      <c r="B1277" s="1" t="s">
        <v>1748</v>
      </c>
      <c r="C1277" t="s">
        <v>106</v>
      </c>
      <c r="D1277" t="s">
        <v>901</v>
      </c>
      <c r="E1277">
        <v>22</v>
      </c>
      <c r="F1277" t="s">
        <v>1605</v>
      </c>
      <c r="G1277">
        <v>2022</v>
      </c>
      <c r="H1277" t="s">
        <v>1282</v>
      </c>
      <c r="I1277" t="s">
        <v>502</v>
      </c>
      <c r="J1277">
        <v>-799</v>
      </c>
      <c r="K1277">
        <v>320</v>
      </c>
      <c r="L1277">
        <f t="shared" si="338"/>
        <v>-479</v>
      </c>
      <c r="M1277">
        <v>240</v>
      </c>
      <c r="N1277">
        <f t="shared" si="339"/>
        <v>-239</v>
      </c>
    </row>
    <row r="1278" spans="1:14" x14ac:dyDescent="0.2">
      <c r="A1278" t="s">
        <v>1784</v>
      </c>
      <c r="B1278" s="1" t="s">
        <v>1756</v>
      </c>
      <c r="C1278" t="s">
        <v>106</v>
      </c>
      <c r="D1278" t="s">
        <v>133</v>
      </c>
      <c r="E1278">
        <v>23</v>
      </c>
      <c r="F1278" t="s">
        <v>1605</v>
      </c>
      <c r="G1278">
        <v>2022</v>
      </c>
      <c r="H1278" t="s">
        <v>1785</v>
      </c>
      <c r="I1278" t="s">
        <v>28</v>
      </c>
      <c r="J1278">
        <v>-799</v>
      </c>
      <c r="K1278">
        <v>320</v>
      </c>
      <c r="L1278">
        <f t="shared" si="338"/>
        <v>-479</v>
      </c>
      <c r="M1278">
        <v>240</v>
      </c>
      <c r="N1278">
        <f t="shared" si="339"/>
        <v>-239</v>
      </c>
    </row>
    <row r="1279" spans="1:14" x14ac:dyDescent="0.2">
      <c r="A1279" t="s">
        <v>1845</v>
      </c>
      <c r="B1279" s="1" t="s">
        <v>1822</v>
      </c>
      <c r="C1279" t="s">
        <v>43</v>
      </c>
      <c r="D1279" t="s">
        <v>81</v>
      </c>
      <c r="E1279">
        <v>27</v>
      </c>
      <c r="F1279" t="s">
        <v>1605</v>
      </c>
      <c r="G1279">
        <v>2022</v>
      </c>
      <c r="H1279" t="s">
        <v>104</v>
      </c>
      <c r="I1279" t="s">
        <v>62</v>
      </c>
      <c r="J1279">
        <v>0</v>
      </c>
      <c r="K1279">
        <v>0</v>
      </c>
      <c r="L1279">
        <v>0</v>
      </c>
      <c r="M1279">
        <v>0</v>
      </c>
      <c r="N1279">
        <v>0</v>
      </c>
    </row>
    <row r="1280" spans="1:14" x14ac:dyDescent="0.2">
      <c r="A1280" t="s">
        <v>1846</v>
      </c>
      <c r="B1280" s="1" t="s">
        <v>1822</v>
      </c>
      <c r="C1280" t="s">
        <v>14</v>
      </c>
      <c r="D1280" t="s">
        <v>840</v>
      </c>
      <c r="E1280">
        <v>27</v>
      </c>
      <c r="F1280" t="s">
        <v>1605</v>
      </c>
      <c r="G1280">
        <v>2022</v>
      </c>
      <c r="H1280" t="s">
        <v>215</v>
      </c>
      <c r="I1280" t="s">
        <v>135</v>
      </c>
      <c r="J1280">
        <v>999</v>
      </c>
      <c r="K1280">
        <v>325</v>
      </c>
      <c r="L1280">
        <f t="shared" ref="L1280:L1285" si="340">J1280-K1280</f>
        <v>674</v>
      </c>
      <c r="M1280">
        <v>240</v>
      </c>
      <c r="N1280">
        <f t="shared" ref="N1280:N1285" si="341">L1280-M1280</f>
        <v>434</v>
      </c>
    </row>
    <row r="1281" spans="1:14" x14ac:dyDescent="0.2">
      <c r="A1281" t="s">
        <v>1823</v>
      </c>
      <c r="B1281" s="1" t="s">
        <v>1822</v>
      </c>
      <c r="C1281" t="s">
        <v>14</v>
      </c>
      <c r="D1281" t="s">
        <v>504</v>
      </c>
      <c r="E1281">
        <v>27</v>
      </c>
      <c r="F1281" t="s">
        <v>1605</v>
      </c>
      <c r="G1281">
        <v>2022</v>
      </c>
      <c r="H1281" t="s">
        <v>170</v>
      </c>
      <c r="I1281" t="s">
        <v>171</v>
      </c>
      <c r="J1281">
        <v>899</v>
      </c>
      <c r="K1281">
        <v>295</v>
      </c>
      <c r="L1281">
        <f t="shared" si="340"/>
        <v>604</v>
      </c>
      <c r="M1281">
        <v>240</v>
      </c>
      <c r="N1281">
        <f t="shared" si="341"/>
        <v>364</v>
      </c>
    </row>
    <row r="1282" spans="1:14" x14ac:dyDescent="0.2">
      <c r="A1282" t="s">
        <v>1847</v>
      </c>
      <c r="B1282" s="1" t="s">
        <v>1790</v>
      </c>
      <c r="C1282" t="s">
        <v>14</v>
      </c>
      <c r="D1282" t="s">
        <v>308</v>
      </c>
      <c r="E1282">
        <v>26</v>
      </c>
      <c r="F1282" t="s">
        <v>1605</v>
      </c>
      <c r="G1282">
        <v>2022</v>
      </c>
      <c r="H1282" t="s">
        <v>235</v>
      </c>
      <c r="I1282" t="s">
        <v>62</v>
      </c>
      <c r="J1282">
        <v>899</v>
      </c>
      <c r="K1282">
        <v>295</v>
      </c>
      <c r="L1282">
        <f t="shared" si="340"/>
        <v>604</v>
      </c>
      <c r="M1282">
        <v>240</v>
      </c>
      <c r="N1282">
        <f t="shared" si="341"/>
        <v>364</v>
      </c>
    </row>
    <row r="1283" spans="1:14" x14ac:dyDescent="0.2">
      <c r="A1283" t="s">
        <v>1848</v>
      </c>
      <c r="B1283" s="1" t="s">
        <v>1822</v>
      </c>
      <c r="C1283" t="s">
        <v>14</v>
      </c>
      <c r="D1283" t="s">
        <v>81</v>
      </c>
      <c r="E1283">
        <v>27</v>
      </c>
      <c r="F1283" t="s">
        <v>1605</v>
      </c>
      <c r="G1283">
        <v>2022</v>
      </c>
      <c r="H1283" t="s">
        <v>1849</v>
      </c>
      <c r="I1283" t="s">
        <v>62</v>
      </c>
      <c r="J1283">
        <v>849</v>
      </c>
      <c r="K1283">
        <v>250</v>
      </c>
      <c r="L1283">
        <f t="shared" si="340"/>
        <v>599</v>
      </c>
      <c r="M1283">
        <v>240</v>
      </c>
      <c r="N1283">
        <f t="shared" si="341"/>
        <v>359</v>
      </c>
    </row>
    <row r="1284" spans="1:14" x14ac:dyDescent="0.2">
      <c r="A1284" t="s">
        <v>1850</v>
      </c>
      <c r="B1284" s="1" t="s">
        <v>1822</v>
      </c>
      <c r="C1284" t="s">
        <v>14</v>
      </c>
      <c r="D1284" t="s">
        <v>81</v>
      </c>
      <c r="E1284">
        <v>27</v>
      </c>
      <c r="F1284" t="s">
        <v>1605</v>
      </c>
      <c r="G1284">
        <v>2022</v>
      </c>
      <c r="H1284" t="s">
        <v>641</v>
      </c>
      <c r="I1284" t="s">
        <v>122</v>
      </c>
      <c r="J1284">
        <v>849</v>
      </c>
      <c r="K1284">
        <v>250</v>
      </c>
      <c r="L1284">
        <f t="shared" si="340"/>
        <v>599</v>
      </c>
      <c r="M1284">
        <v>240</v>
      </c>
      <c r="N1284">
        <f t="shared" si="341"/>
        <v>359</v>
      </c>
    </row>
    <row r="1285" spans="1:14" x14ac:dyDescent="0.2">
      <c r="A1285" t="s">
        <v>1851</v>
      </c>
      <c r="B1285" s="1" t="s">
        <v>1822</v>
      </c>
      <c r="C1285" t="s">
        <v>14</v>
      </c>
      <c r="D1285" t="s">
        <v>81</v>
      </c>
      <c r="E1285">
        <v>27</v>
      </c>
      <c r="F1285" t="s">
        <v>1605</v>
      </c>
      <c r="G1285">
        <v>2022</v>
      </c>
      <c r="H1285" t="s">
        <v>157</v>
      </c>
      <c r="I1285" t="s">
        <v>97</v>
      </c>
      <c r="J1285">
        <v>849</v>
      </c>
      <c r="K1285">
        <v>250</v>
      </c>
      <c r="L1285">
        <f t="shared" si="340"/>
        <v>599</v>
      </c>
      <c r="M1285">
        <v>240</v>
      </c>
      <c r="N1285">
        <f t="shared" si="341"/>
        <v>359</v>
      </c>
    </row>
    <row r="1286" spans="1:14" x14ac:dyDescent="0.2">
      <c r="A1286" t="s">
        <v>1764</v>
      </c>
      <c r="B1286" s="1" t="s">
        <v>1748</v>
      </c>
      <c r="C1286" t="s">
        <v>106</v>
      </c>
      <c r="D1286" t="s">
        <v>798</v>
      </c>
      <c r="E1286">
        <v>22</v>
      </c>
      <c r="F1286" t="s">
        <v>1605</v>
      </c>
      <c r="G1286">
        <v>2022</v>
      </c>
      <c r="H1286" t="s">
        <v>1765</v>
      </c>
      <c r="I1286" t="s">
        <v>212</v>
      </c>
      <c r="J1286">
        <v>-799</v>
      </c>
      <c r="K1286">
        <v>320</v>
      </c>
      <c r="L1286">
        <f>J1286+K1286</f>
        <v>-479</v>
      </c>
      <c r="M1286">
        <v>240</v>
      </c>
      <c r="N1286">
        <f>L1286+M1286</f>
        <v>-239</v>
      </c>
    </row>
    <row r="1287" spans="1:14" x14ac:dyDescent="0.2">
      <c r="A1287" t="s">
        <v>1853</v>
      </c>
      <c r="B1287" s="1" t="s">
        <v>1852</v>
      </c>
      <c r="C1287" t="s">
        <v>14</v>
      </c>
      <c r="D1287" t="s">
        <v>834</v>
      </c>
      <c r="E1287">
        <v>28</v>
      </c>
      <c r="F1287" t="s">
        <v>1605</v>
      </c>
      <c r="G1287">
        <v>2022</v>
      </c>
      <c r="H1287" t="s">
        <v>1854</v>
      </c>
      <c r="I1287" t="s">
        <v>135</v>
      </c>
      <c r="J1287">
        <v>849</v>
      </c>
      <c r="K1287">
        <v>250</v>
      </c>
      <c r="L1287">
        <f t="shared" ref="L1287:L1296" si="342">J1287-K1287</f>
        <v>599</v>
      </c>
      <c r="M1287">
        <v>240</v>
      </c>
      <c r="N1287">
        <f t="shared" ref="N1287:N1296" si="343">L1287-M1287</f>
        <v>359</v>
      </c>
    </row>
    <row r="1288" spans="1:14" x14ac:dyDescent="0.2">
      <c r="A1288" t="s">
        <v>1855</v>
      </c>
      <c r="B1288" s="1" t="s">
        <v>1852</v>
      </c>
      <c r="C1288" t="s">
        <v>14</v>
      </c>
      <c r="D1288" t="s">
        <v>895</v>
      </c>
      <c r="E1288">
        <v>28</v>
      </c>
      <c r="F1288" t="s">
        <v>1605</v>
      </c>
      <c r="G1288">
        <v>2022</v>
      </c>
      <c r="H1288" t="s">
        <v>104</v>
      </c>
      <c r="I1288" t="s">
        <v>62</v>
      </c>
      <c r="J1288">
        <v>849</v>
      </c>
      <c r="K1288">
        <v>250</v>
      </c>
      <c r="L1288">
        <f t="shared" si="342"/>
        <v>599</v>
      </c>
      <c r="M1288">
        <v>240</v>
      </c>
      <c r="N1288">
        <f t="shared" si="343"/>
        <v>359</v>
      </c>
    </row>
    <row r="1289" spans="1:14" x14ac:dyDescent="0.2">
      <c r="A1289" t="s">
        <v>1856</v>
      </c>
      <c r="B1289" s="1" t="s">
        <v>1852</v>
      </c>
      <c r="C1289" t="s">
        <v>14</v>
      </c>
      <c r="D1289" t="s">
        <v>420</v>
      </c>
      <c r="E1289">
        <v>28</v>
      </c>
      <c r="F1289" t="s">
        <v>1605</v>
      </c>
      <c r="G1289">
        <v>2022</v>
      </c>
      <c r="H1289" t="s">
        <v>1857</v>
      </c>
      <c r="I1289" t="s">
        <v>135</v>
      </c>
      <c r="J1289">
        <v>899</v>
      </c>
      <c r="K1289">
        <v>295</v>
      </c>
      <c r="L1289">
        <f t="shared" si="342"/>
        <v>604</v>
      </c>
      <c r="M1289">
        <v>240</v>
      </c>
      <c r="N1289">
        <f t="shared" si="343"/>
        <v>364</v>
      </c>
    </row>
    <row r="1290" spans="1:14" x14ac:dyDescent="0.2">
      <c r="A1290" t="s">
        <v>1858</v>
      </c>
      <c r="B1290" s="1" t="s">
        <v>1852</v>
      </c>
      <c r="C1290" t="s">
        <v>14</v>
      </c>
      <c r="D1290" t="s">
        <v>834</v>
      </c>
      <c r="E1290">
        <v>28</v>
      </c>
      <c r="F1290" t="s">
        <v>1605</v>
      </c>
      <c r="G1290">
        <v>2022</v>
      </c>
      <c r="H1290" t="s">
        <v>157</v>
      </c>
      <c r="I1290" t="s">
        <v>97</v>
      </c>
      <c r="J1290">
        <v>849</v>
      </c>
      <c r="K1290">
        <v>250</v>
      </c>
      <c r="L1290">
        <f t="shared" si="342"/>
        <v>599</v>
      </c>
      <c r="M1290">
        <v>240</v>
      </c>
      <c r="N1290">
        <f t="shared" si="343"/>
        <v>359</v>
      </c>
    </row>
    <row r="1291" spans="1:14" x14ac:dyDescent="0.2">
      <c r="A1291" t="s">
        <v>1859</v>
      </c>
      <c r="B1291" s="1" t="s">
        <v>1852</v>
      </c>
      <c r="C1291" t="s">
        <v>14</v>
      </c>
      <c r="D1291" t="s">
        <v>379</v>
      </c>
      <c r="E1291">
        <v>28</v>
      </c>
      <c r="F1291" t="s">
        <v>1605</v>
      </c>
      <c r="G1291">
        <v>2022</v>
      </c>
      <c r="H1291" t="s">
        <v>1230</v>
      </c>
      <c r="I1291" t="s">
        <v>28</v>
      </c>
      <c r="J1291">
        <v>799</v>
      </c>
      <c r="K1291">
        <v>205</v>
      </c>
      <c r="L1291">
        <f t="shared" si="342"/>
        <v>594</v>
      </c>
      <c r="M1291">
        <v>240</v>
      </c>
      <c r="N1291">
        <f t="shared" si="343"/>
        <v>354</v>
      </c>
    </row>
    <row r="1292" spans="1:14" x14ac:dyDescent="0.2">
      <c r="A1292" t="s">
        <v>1860</v>
      </c>
      <c r="B1292" s="1" t="s">
        <v>1790</v>
      </c>
      <c r="C1292" t="s">
        <v>14</v>
      </c>
      <c r="D1292" t="s">
        <v>445</v>
      </c>
      <c r="E1292">
        <v>26</v>
      </c>
      <c r="F1292" t="s">
        <v>1605</v>
      </c>
      <c r="G1292">
        <v>2022</v>
      </c>
      <c r="H1292" t="s">
        <v>1861</v>
      </c>
      <c r="I1292" t="s">
        <v>212</v>
      </c>
      <c r="J1292">
        <v>899</v>
      </c>
      <c r="K1292">
        <v>295</v>
      </c>
      <c r="L1292">
        <f t="shared" si="342"/>
        <v>604</v>
      </c>
      <c r="M1292">
        <v>240</v>
      </c>
      <c r="N1292">
        <f t="shared" si="343"/>
        <v>364</v>
      </c>
    </row>
    <row r="1293" spans="1:14" x14ac:dyDescent="0.2">
      <c r="A1293" t="s">
        <v>1862</v>
      </c>
      <c r="B1293" s="1" t="s">
        <v>1822</v>
      </c>
      <c r="C1293" t="s">
        <v>14</v>
      </c>
      <c r="D1293" t="s">
        <v>1863</v>
      </c>
      <c r="E1293">
        <v>27</v>
      </c>
      <c r="F1293" t="s">
        <v>1605</v>
      </c>
      <c r="G1293">
        <v>2022</v>
      </c>
      <c r="H1293" t="s">
        <v>1864</v>
      </c>
      <c r="I1293" t="s">
        <v>253</v>
      </c>
      <c r="J1293">
        <v>849</v>
      </c>
      <c r="K1293">
        <v>250</v>
      </c>
      <c r="L1293">
        <f t="shared" si="342"/>
        <v>599</v>
      </c>
      <c r="M1293">
        <v>240</v>
      </c>
      <c r="N1293">
        <f t="shared" si="343"/>
        <v>359</v>
      </c>
    </row>
    <row r="1294" spans="1:14" x14ac:dyDescent="0.2">
      <c r="A1294" t="s">
        <v>1865</v>
      </c>
      <c r="B1294" s="1" t="s">
        <v>1822</v>
      </c>
      <c r="C1294" t="s">
        <v>14</v>
      </c>
      <c r="D1294" t="s">
        <v>834</v>
      </c>
      <c r="E1294">
        <v>27</v>
      </c>
      <c r="F1294" t="s">
        <v>1605</v>
      </c>
      <c r="G1294">
        <v>2022</v>
      </c>
      <c r="H1294" t="s">
        <v>1866</v>
      </c>
      <c r="I1294" t="s">
        <v>455</v>
      </c>
      <c r="J1294">
        <v>849</v>
      </c>
      <c r="K1294">
        <v>250</v>
      </c>
      <c r="L1294">
        <f t="shared" si="342"/>
        <v>599</v>
      </c>
      <c r="M1294">
        <v>240</v>
      </c>
      <c r="N1294">
        <f t="shared" si="343"/>
        <v>359</v>
      </c>
    </row>
    <row r="1295" spans="1:14" x14ac:dyDescent="0.2">
      <c r="A1295" t="s">
        <v>1867</v>
      </c>
      <c r="B1295" s="1" t="s">
        <v>1822</v>
      </c>
      <c r="C1295" t="s">
        <v>14</v>
      </c>
      <c r="D1295" t="s">
        <v>81</v>
      </c>
      <c r="E1295">
        <v>27</v>
      </c>
      <c r="F1295" t="s">
        <v>1605</v>
      </c>
      <c r="G1295">
        <v>2022</v>
      </c>
      <c r="H1295" t="s">
        <v>170</v>
      </c>
      <c r="I1295" t="s">
        <v>171</v>
      </c>
      <c r="J1295">
        <v>849</v>
      </c>
      <c r="K1295">
        <v>250</v>
      </c>
      <c r="L1295">
        <f t="shared" si="342"/>
        <v>599</v>
      </c>
      <c r="M1295">
        <v>240</v>
      </c>
      <c r="N1295">
        <f t="shared" si="343"/>
        <v>359</v>
      </c>
    </row>
    <row r="1296" spans="1:14" x14ac:dyDescent="0.2">
      <c r="A1296" t="s">
        <v>1868</v>
      </c>
      <c r="B1296" s="1" t="s">
        <v>1852</v>
      </c>
      <c r="C1296" t="s">
        <v>14</v>
      </c>
      <c r="D1296" t="s">
        <v>747</v>
      </c>
      <c r="E1296">
        <v>28</v>
      </c>
      <c r="F1296" t="s">
        <v>1605</v>
      </c>
      <c r="G1296">
        <v>2022</v>
      </c>
      <c r="H1296" t="s">
        <v>49</v>
      </c>
      <c r="I1296" t="s">
        <v>32</v>
      </c>
      <c r="J1296">
        <v>799</v>
      </c>
      <c r="K1296">
        <v>205</v>
      </c>
      <c r="L1296">
        <f t="shared" si="342"/>
        <v>594</v>
      </c>
      <c r="M1296">
        <v>240</v>
      </c>
      <c r="N1296">
        <f t="shared" si="343"/>
        <v>354</v>
      </c>
    </row>
    <row r="1297" spans="1:14" x14ac:dyDescent="0.2">
      <c r="A1297" t="s">
        <v>1740</v>
      </c>
      <c r="B1297" s="1" t="s">
        <v>1734</v>
      </c>
      <c r="C1297" t="s">
        <v>106</v>
      </c>
      <c r="D1297" t="s">
        <v>982</v>
      </c>
      <c r="E1297">
        <v>20</v>
      </c>
      <c r="F1297" t="s">
        <v>1605</v>
      </c>
      <c r="G1297">
        <v>2022</v>
      </c>
      <c r="H1297" t="s">
        <v>1741</v>
      </c>
      <c r="I1297" t="s">
        <v>1742</v>
      </c>
      <c r="J1297">
        <v>-799</v>
      </c>
      <c r="K1297">
        <v>320</v>
      </c>
      <c r="L1297">
        <f t="shared" ref="L1297:L1298" si="344">J1297+K1297</f>
        <v>-479</v>
      </c>
      <c r="M1297">
        <v>240</v>
      </c>
      <c r="N1297">
        <f t="shared" ref="N1297:N1298" si="345">L1297+M1297</f>
        <v>-239</v>
      </c>
    </row>
    <row r="1298" spans="1:14" x14ac:dyDescent="0.2">
      <c r="A1298" t="s">
        <v>1812</v>
      </c>
      <c r="B1298" s="1" t="s">
        <v>1794</v>
      </c>
      <c r="C1298" t="s">
        <v>106</v>
      </c>
      <c r="D1298" t="s">
        <v>81</v>
      </c>
      <c r="E1298">
        <v>25</v>
      </c>
      <c r="F1298" t="s">
        <v>1605</v>
      </c>
      <c r="G1298">
        <v>2022</v>
      </c>
      <c r="H1298" t="s">
        <v>567</v>
      </c>
      <c r="I1298" t="s">
        <v>23</v>
      </c>
      <c r="J1298">
        <v>-849</v>
      </c>
      <c r="K1298">
        <v>345</v>
      </c>
      <c r="L1298">
        <f t="shared" si="344"/>
        <v>-504</v>
      </c>
      <c r="M1298">
        <v>240</v>
      </c>
      <c r="N1298">
        <f t="shared" si="345"/>
        <v>-264</v>
      </c>
    </row>
    <row r="1299" spans="1:14" x14ac:dyDescent="0.2">
      <c r="A1299" t="s">
        <v>1870</v>
      </c>
      <c r="B1299" s="1" t="s">
        <v>1869</v>
      </c>
      <c r="C1299" t="s">
        <v>43</v>
      </c>
      <c r="D1299" t="s">
        <v>380</v>
      </c>
      <c r="E1299">
        <v>30</v>
      </c>
      <c r="F1299" t="s">
        <v>1605</v>
      </c>
      <c r="G1299">
        <v>2022</v>
      </c>
      <c r="H1299" t="s">
        <v>84</v>
      </c>
      <c r="I1299" t="s">
        <v>85</v>
      </c>
      <c r="J1299">
        <v>0</v>
      </c>
      <c r="K1299">
        <v>0</v>
      </c>
      <c r="L1299">
        <v>0</v>
      </c>
      <c r="M1299">
        <v>0</v>
      </c>
      <c r="N1299">
        <v>0</v>
      </c>
    </row>
    <row r="1300" spans="1:14" x14ac:dyDescent="0.2">
      <c r="A1300" t="s">
        <v>1871</v>
      </c>
      <c r="B1300" s="1" t="s">
        <v>1869</v>
      </c>
      <c r="C1300" t="s">
        <v>43</v>
      </c>
      <c r="D1300" t="s">
        <v>81</v>
      </c>
      <c r="E1300">
        <v>30</v>
      </c>
      <c r="F1300" t="s">
        <v>1605</v>
      </c>
      <c r="G1300">
        <v>2022</v>
      </c>
      <c r="H1300" t="s">
        <v>235</v>
      </c>
      <c r="I1300" t="s">
        <v>62</v>
      </c>
      <c r="J1300">
        <v>0</v>
      </c>
      <c r="K1300">
        <v>0</v>
      </c>
      <c r="L1300">
        <v>0</v>
      </c>
      <c r="M1300">
        <v>0</v>
      </c>
      <c r="N1300">
        <v>0</v>
      </c>
    </row>
    <row r="1301" spans="1:14" x14ac:dyDescent="0.2">
      <c r="A1301" t="s">
        <v>1843</v>
      </c>
      <c r="B1301" s="1" t="s">
        <v>1790</v>
      </c>
      <c r="C1301" t="s">
        <v>106</v>
      </c>
      <c r="D1301" t="s">
        <v>792</v>
      </c>
      <c r="E1301">
        <v>26</v>
      </c>
      <c r="F1301" t="s">
        <v>1605</v>
      </c>
      <c r="G1301">
        <v>2022</v>
      </c>
      <c r="H1301" t="s">
        <v>170</v>
      </c>
      <c r="I1301" t="s">
        <v>171</v>
      </c>
      <c r="J1301">
        <v>-849</v>
      </c>
      <c r="K1301">
        <v>345</v>
      </c>
      <c r="L1301">
        <f>J1301+K1301</f>
        <v>-504</v>
      </c>
      <c r="M1301">
        <v>240</v>
      </c>
      <c r="N1301">
        <f>L1301+M1301</f>
        <v>-264</v>
      </c>
    </row>
    <row r="1302" spans="1:14" x14ac:dyDescent="0.2">
      <c r="A1302" t="s">
        <v>1873</v>
      </c>
      <c r="B1302" s="1" t="s">
        <v>1872</v>
      </c>
      <c r="C1302" t="s">
        <v>14</v>
      </c>
      <c r="D1302" t="s">
        <v>81</v>
      </c>
      <c r="E1302">
        <v>29</v>
      </c>
      <c r="F1302" t="s">
        <v>1605</v>
      </c>
      <c r="G1302">
        <v>2022</v>
      </c>
      <c r="H1302" t="s">
        <v>84</v>
      </c>
      <c r="I1302" t="s">
        <v>85</v>
      </c>
      <c r="J1302">
        <v>849</v>
      </c>
      <c r="K1302">
        <v>250</v>
      </c>
      <c r="L1302">
        <f t="shared" ref="L1302:L1314" si="346">J1302-K1302</f>
        <v>599</v>
      </c>
      <c r="M1302">
        <v>240</v>
      </c>
      <c r="N1302">
        <f t="shared" ref="N1302:N1314" si="347">L1302-M1302</f>
        <v>359</v>
      </c>
    </row>
    <row r="1303" spans="1:14" x14ac:dyDescent="0.2">
      <c r="A1303" t="s">
        <v>1874</v>
      </c>
      <c r="B1303" s="1" t="s">
        <v>1872</v>
      </c>
      <c r="C1303" t="s">
        <v>14</v>
      </c>
      <c r="D1303" t="s">
        <v>425</v>
      </c>
      <c r="E1303">
        <v>29</v>
      </c>
      <c r="F1303" t="s">
        <v>1605</v>
      </c>
      <c r="G1303">
        <v>2022</v>
      </c>
      <c r="H1303" t="s">
        <v>49</v>
      </c>
      <c r="I1303" t="s">
        <v>32</v>
      </c>
      <c r="J1303">
        <v>799</v>
      </c>
      <c r="K1303">
        <v>205</v>
      </c>
      <c r="L1303">
        <f t="shared" si="346"/>
        <v>594</v>
      </c>
      <c r="M1303">
        <v>240</v>
      </c>
      <c r="N1303">
        <f t="shared" si="347"/>
        <v>354</v>
      </c>
    </row>
    <row r="1304" spans="1:14" x14ac:dyDescent="0.2">
      <c r="A1304" t="s">
        <v>1875</v>
      </c>
      <c r="B1304" s="1" t="s">
        <v>1872</v>
      </c>
      <c r="C1304" t="s">
        <v>14</v>
      </c>
      <c r="D1304" t="s">
        <v>940</v>
      </c>
      <c r="E1304">
        <v>29</v>
      </c>
      <c r="F1304" t="s">
        <v>1605</v>
      </c>
      <c r="G1304">
        <v>2022</v>
      </c>
      <c r="H1304" t="s">
        <v>1876</v>
      </c>
      <c r="I1304" t="s">
        <v>250</v>
      </c>
      <c r="J1304">
        <v>799</v>
      </c>
      <c r="K1304">
        <v>205</v>
      </c>
      <c r="L1304">
        <f t="shared" si="346"/>
        <v>594</v>
      </c>
      <c r="M1304">
        <v>240</v>
      </c>
      <c r="N1304">
        <f t="shared" si="347"/>
        <v>354</v>
      </c>
    </row>
    <row r="1305" spans="1:14" x14ac:dyDescent="0.2">
      <c r="A1305" t="s">
        <v>1877</v>
      </c>
      <c r="B1305" s="1" t="s">
        <v>1852</v>
      </c>
      <c r="C1305" t="s">
        <v>14</v>
      </c>
      <c r="D1305" t="s">
        <v>81</v>
      </c>
      <c r="E1305">
        <v>28</v>
      </c>
      <c r="F1305" t="s">
        <v>1605</v>
      </c>
      <c r="G1305">
        <v>2022</v>
      </c>
      <c r="H1305" t="s">
        <v>351</v>
      </c>
      <c r="I1305" t="s">
        <v>85</v>
      </c>
      <c r="J1305">
        <v>849</v>
      </c>
      <c r="K1305">
        <v>250</v>
      </c>
      <c r="L1305">
        <f t="shared" si="346"/>
        <v>599</v>
      </c>
      <c r="M1305">
        <v>240</v>
      </c>
      <c r="N1305">
        <f t="shared" si="347"/>
        <v>359</v>
      </c>
    </row>
    <row r="1306" spans="1:14" x14ac:dyDescent="0.2">
      <c r="A1306" t="s">
        <v>1878</v>
      </c>
      <c r="B1306" s="1" t="s">
        <v>1872</v>
      </c>
      <c r="C1306" t="s">
        <v>14</v>
      </c>
      <c r="D1306" t="s">
        <v>890</v>
      </c>
      <c r="E1306">
        <v>29</v>
      </c>
      <c r="F1306" t="s">
        <v>1605</v>
      </c>
      <c r="G1306">
        <v>2022</v>
      </c>
      <c r="H1306" t="s">
        <v>84</v>
      </c>
      <c r="I1306" t="s">
        <v>85</v>
      </c>
      <c r="J1306">
        <v>849</v>
      </c>
      <c r="K1306">
        <v>250</v>
      </c>
      <c r="L1306">
        <f t="shared" si="346"/>
        <v>599</v>
      </c>
      <c r="M1306">
        <v>240</v>
      </c>
      <c r="N1306">
        <f t="shared" si="347"/>
        <v>359</v>
      </c>
    </row>
    <row r="1307" spans="1:14" x14ac:dyDescent="0.2">
      <c r="A1307" t="s">
        <v>1879</v>
      </c>
      <c r="B1307" s="1" t="s">
        <v>1872</v>
      </c>
      <c r="C1307" t="s">
        <v>14</v>
      </c>
      <c r="D1307" t="s">
        <v>881</v>
      </c>
      <c r="E1307">
        <v>29</v>
      </c>
      <c r="F1307" t="s">
        <v>1605</v>
      </c>
      <c r="G1307">
        <v>2022</v>
      </c>
      <c r="H1307" t="s">
        <v>49</v>
      </c>
      <c r="I1307" t="s">
        <v>32</v>
      </c>
      <c r="J1307">
        <v>799</v>
      </c>
      <c r="K1307">
        <v>205</v>
      </c>
      <c r="L1307">
        <f t="shared" si="346"/>
        <v>594</v>
      </c>
      <c r="M1307">
        <v>240</v>
      </c>
      <c r="N1307">
        <f t="shared" si="347"/>
        <v>354</v>
      </c>
    </row>
    <row r="1308" spans="1:14" x14ac:dyDescent="0.2">
      <c r="A1308" t="s">
        <v>1880</v>
      </c>
      <c r="B1308" s="1" t="s">
        <v>1872</v>
      </c>
      <c r="C1308" t="s">
        <v>14</v>
      </c>
      <c r="D1308" t="s">
        <v>1416</v>
      </c>
      <c r="E1308">
        <v>29</v>
      </c>
      <c r="F1308" t="s">
        <v>1605</v>
      </c>
      <c r="G1308">
        <v>2022</v>
      </c>
      <c r="H1308" t="s">
        <v>235</v>
      </c>
      <c r="I1308" t="s">
        <v>62</v>
      </c>
      <c r="J1308">
        <v>799</v>
      </c>
      <c r="K1308">
        <v>205</v>
      </c>
      <c r="L1308">
        <f t="shared" si="346"/>
        <v>594</v>
      </c>
      <c r="M1308">
        <v>240</v>
      </c>
      <c r="N1308">
        <f t="shared" si="347"/>
        <v>354</v>
      </c>
    </row>
    <row r="1309" spans="1:14" x14ac:dyDescent="0.2">
      <c r="A1309" t="s">
        <v>1881</v>
      </c>
      <c r="B1309" s="1" t="s">
        <v>1852</v>
      </c>
      <c r="C1309" t="s">
        <v>14</v>
      </c>
      <c r="D1309" t="s">
        <v>1882</v>
      </c>
      <c r="E1309">
        <v>28</v>
      </c>
      <c r="F1309" t="s">
        <v>1605</v>
      </c>
      <c r="G1309">
        <v>2022</v>
      </c>
      <c r="H1309" t="s">
        <v>1883</v>
      </c>
      <c r="I1309" t="s">
        <v>58</v>
      </c>
      <c r="J1309">
        <v>799</v>
      </c>
      <c r="K1309">
        <v>205</v>
      </c>
      <c r="L1309">
        <f t="shared" si="346"/>
        <v>594</v>
      </c>
      <c r="M1309">
        <v>240</v>
      </c>
      <c r="N1309">
        <f t="shared" si="347"/>
        <v>354</v>
      </c>
    </row>
    <row r="1310" spans="1:14" x14ac:dyDescent="0.2">
      <c r="A1310" t="s">
        <v>1884</v>
      </c>
      <c r="B1310" s="1" t="s">
        <v>1872</v>
      </c>
      <c r="C1310" t="s">
        <v>14</v>
      </c>
      <c r="D1310" t="s">
        <v>452</v>
      </c>
      <c r="E1310">
        <v>29</v>
      </c>
      <c r="F1310" t="s">
        <v>1605</v>
      </c>
      <c r="G1310">
        <v>2022</v>
      </c>
      <c r="H1310" t="s">
        <v>1885</v>
      </c>
      <c r="I1310" t="s">
        <v>62</v>
      </c>
      <c r="J1310">
        <v>799</v>
      </c>
      <c r="K1310">
        <v>205</v>
      </c>
      <c r="L1310">
        <f t="shared" si="346"/>
        <v>594</v>
      </c>
      <c r="M1310">
        <v>240</v>
      </c>
      <c r="N1310">
        <f t="shared" si="347"/>
        <v>354</v>
      </c>
    </row>
    <row r="1311" spans="1:14" x14ac:dyDescent="0.2">
      <c r="A1311" t="s">
        <v>1886</v>
      </c>
      <c r="B1311" s="1" t="s">
        <v>1872</v>
      </c>
      <c r="C1311" t="s">
        <v>14</v>
      </c>
      <c r="D1311" t="s">
        <v>487</v>
      </c>
      <c r="E1311">
        <v>29</v>
      </c>
      <c r="F1311" t="s">
        <v>1605</v>
      </c>
      <c r="G1311">
        <v>2022</v>
      </c>
      <c r="H1311" t="s">
        <v>215</v>
      </c>
      <c r="I1311" t="s">
        <v>135</v>
      </c>
      <c r="J1311">
        <v>799</v>
      </c>
      <c r="K1311">
        <v>205</v>
      </c>
      <c r="L1311">
        <f t="shared" si="346"/>
        <v>594</v>
      </c>
      <c r="M1311">
        <v>240</v>
      </c>
      <c r="N1311">
        <f t="shared" si="347"/>
        <v>354</v>
      </c>
    </row>
    <row r="1312" spans="1:14" x14ac:dyDescent="0.2">
      <c r="A1312" t="s">
        <v>1887</v>
      </c>
      <c r="B1312" s="1" t="s">
        <v>1872</v>
      </c>
      <c r="C1312" t="s">
        <v>14</v>
      </c>
      <c r="D1312" t="s">
        <v>379</v>
      </c>
      <c r="E1312">
        <v>29</v>
      </c>
      <c r="F1312" t="s">
        <v>1605</v>
      </c>
      <c r="G1312">
        <v>2022</v>
      </c>
      <c r="H1312" t="s">
        <v>838</v>
      </c>
      <c r="I1312" t="s">
        <v>253</v>
      </c>
      <c r="J1312">
        <v>799</v>
      </c>
      <c r="K1312">
        <v>205</v>
      </c>
      <c r="L1312">
        <f t="shared" si="346"/>
        <v>594</v>
      </c>
      <c r="M1312">
        <v>240</v>
      </c>
      <c r="N1312">
        <f t="shared" si="347"/>
        <v>354</v>
      </c>
    </row>
    <row r="1313" spans="1:14" x14ac:dyDescent="0.2">
      <c r="A1313" t="s">
        <v>1888</v>
      </c>
      <c r="B1313" s="1" t="s">
        <v>1852</v>
      </c>
      <c r="C1313" t="s">
        <v>14</v>
      </c>
      <c r="D1313" t="s">
        <v>81</v>
      </c>
      <c r="E1313">
        <v>28</v>
      </c>
      <c r="F1313" t="s">
        <v>1605</v>
      </c>
      <c r="G1313">
        <v>2022</v>
      </c>
      <c r="H1313" t="s">
        <v>215</v>
      </c>
      <c r="I1313" t="s">
        <v>135</v>
      </c>
      <c r="J1313">
        <v>849</v>
      </c>
      <c r="K1313">
        <v>250</v>
      </c>
      <c r="L1313">
        <f t="shared" si="346"/>
        <v>599</v>
      </c>
      <c r="M1313">
        <v>240</v>
      </c>
      <c r="N1313">
        <f t="shared" si="347"/>
        <v>359</v>
      </c>
    </row>
    <row r="1314" spans="1:14" x14ac:dyDescent="0.2">
      <c r="A1314" t="s">
        <v>1889</v>
      </c>
      <c r="B1314" s="1" t="s">
        <v>1852</v>
      </c>
      <c r="C1314" t="s">
        <v>14</v>
      </c>
      <c r="D1314" t="s">
        <v>689</v>
      </c>
      <c r="E1314">
        <v>28</v>
      </c>
      <c r="F1314" t="s">
        <v>1605</v>
      </c>
      <c r="G1314">
        <v>2022</v>
      </c>
      <c r="H1314" t="s">
        <v>173</v>
      </c>
      <c r="I1314" t="s">
        <v>62</v>
      </c>
      <c r="J1314">
        <v>799</v>
      </c>
      <c r="K1314">
        <v>205</v>
      </c>
      <c r="L1314">
        <f t="shared" si="346"/>
        <v>594</v>
      </c>
      <c r="M1314">
        <v>240</v>
      </c>
      <c r="N1314">
        <f t="shared" si="347"/>
        <v>354</v>
      </c>
    </row>
    <row r="1315" spans="1:14" x14ac:dyDescent="0.2">
      <c r="A1315" t="s">
        <v>1890</v>
      </c>
      <c r="B1315" s="1" t="s">
        <v>1869</v>
      </c>
      <c r="C1315" t="s">
        <v>43</v>
      </c>
      <c r="D1315" t="s">
        <v>452</v>
      </c>
      <c r="E1315">
        <v>30</v>
      </c>
      <c r="F1315" t="s">
        <v>1605</v>
      </c>
      <c r="G1315">
        <v>2022</v>
      </c>
      <c r="H1315" t="s">
        <v>1891</v>
      </c>
      <c r="I1315" t="s">
        <v>122</v>
      </c>
      <c r="J1315">
        <v>0</v>
      </c>
      <c r="K1315">
        <v>0</v>
      </c>
      <c r="L1315">
        <v>0</v>
      </c>
      <c r="M1315">
        <v>0</v>
      </c>
      <c r="N1315">
        <v>0</v>
      </c>
    </row>
    <row r="1316" spans="1:14" x14ac:dyDescent="0.2">
      <c r="A1316" t="s">
        <v>1892</v>
      </c>
      <c r="B1316" s="1" t="s">
        <v>1872</v>
      </c>
      <c r="C1316" t="s">
        <v>20</v>
      </c>
      <c r="D1316" t="s">
        <v>573</v>
      </c>
      <c r="E1316">
        <v>29</v>
      </c>
      <c r="F1316" t="s">
        <v>1605</v>
      </c>
      <c r="G1316">
        <v>2022</v>
      </c>
      <c r="H1316" t="s">
        <v>49</v>
      </c>
      <c r="I1316" t="s">
        <v>32</v>
      </c>
      <c r="J1316">
        <v>0</v>
      </c>
      <c r="K1316">
        <v>0</v>
      </c>
      <c r="L1316">
        <v>0</v>
      </c>
      <c r="M1316">
        <v>0</v>
      </c>
      <c r="N1316">
        <v>0</v>
      </c>
    </row>
    <row r="1317" spans="1:14" x14ac:dyDescent="0.2">
      <c r="A1317" t="s">
        <v>1893</v>
      </c>
      <c r="B1317" s="1" t="s">
        <v>1869</v>
      </c>
      <c r="C1317" t="s">
        <v>14</v>
      </c>
      <c r="D1317" t="s">
        <v>895</v>
      </c>
      <c r="E1317">
        <v>30</v>
      </c>
      <c r="F1317" t="s">
        <v>1605</v>
      </c>
      <c r="G1317">
        <v>2022</v>
      </c>
      <c r="H1317" t="s">
        <v>1894</v>
      </c>
      <c r="I1317" t="s">
        <v>85</v>
      </c>
      <c r="J1317">
        <v>849</v>
      </c>
      <c r="K1317">
        <v>250</v>
      </c>
      <c r="L1317">
        <f t="shared" ref="L1317:L1323" si="348">J1317-K1317</f>
        <v>599</v>
      </c>
      <c r="M1317">
        <v>240</v>
      </c>
      <c r="N1317">
        <f t="shared" ref="N1317:N1323" si="349">L1317-M1317</f>
        <v>359</v>
      </c>
    </row>
    <row r="1318" spans="1:14" x14ac:dyDescent="0.2">
      <c r="A1318" t="s">
        <v>1895</v>
      </c>
      <c r="B1318" s="1" t="s">
        <v>1852</v>
      </c>
      <c r="C1318" t="s">
        <v>14</v>
      </c>
      <c r="D1318" t="s">
        <v>1010</v>
      </c>
      <c r="E1318">
        <v>28</v>
      </c>
      <c r="F1318" t="s">
        <v>1605</v>
      </c>
      <c r="G1318">
        <v>2022</v>
      </c>
      <c r="H1318" t="s">
        <v>398</v>
      </c>
      <c r="I1318" t="s">
        <v>399</v>
      </c>
      <c r="J1318">
        <v>799</v>
      </c>
      <c r="K1318">
        <v>205</v>
      </c>
      <c r="L1318">
        <f t="shared" si="348"/>
        <v>594</v>
      </c>
      <c r="M1318">
        <v>240</v>
      </c>
      <c r="N1318">
        <f t="shared" si="349"/>
        <v>354</v>
      </c>
    </row>
    <row r="1319" spans="1:14" x14ac:dyDescent="0.2">
      <c r="A1319" t="s">
        <v>1870</v>
      </c>
      <c r="B1319" s="1" t="s">
        <v>1869</v>
      </c>
      <c r="C1319" t="s">
        <v>14</v>
      </c>
      <c r="D1319" t="s">
        <v>380</v>
      </c>
      <c r="E1319">
        <v>30</v>
      </c>
      <c r="F1319" t="s">
        <v>1605</v>
      </c>
      <c r="G1319">
        <v>2022</v>
      </c>
      <c r="H1319" t="s">
        <v>84</v>
      </c>
      <c r="I1319" t="s">
        <v>85</v>
      </c>
      <c r="J1319">
        <v>849</v>
      </c>
      <c r="K1319">
        <v>250</v>
      </c>
      <c r="L1319">
        <f t="shared" si="348"/>
        <v>599</v>
      </c>
      <c r="M1319">
        <v>240</v>
      </c>
      <c r="N1319">
        <f t="shared" si="349"/>
        <v>359</v>
      </c>
    </row>
    <row r="1320" spans="1:14" x14ac:dyDescent="0.2">
      <c r="A1320" t="s">
        <v>1896</v>
      </c>
      <c r="B1320" s="1" t="s">
        <v>1872</v>
      </c>
      <c r="C1320" t="s">
        <v>14</v>
      </c>
      <c r="D1320" t="s">
        <v>81</v>
      </c>
      <c r="E1320">
        <v>29</v>
      </c>
      <c r="F1320" t="s">
        <v>1605</v>
      </c>
      <c r="G1320">
        <v>2022</v>
      </c>
      <c r="H1320" t="s">
        <v>84</v>
      </c>
      <c r="I1320" t="s">
        <v>85</v>
      </c>
      <c r="J1320">
        <v>849</v>
      </c>
      <c r="K1320">
        <v>250</v>
      </c>
      <c r="L1320">
        <f t="shared" si="348"/>
        <v>599</v>
      </c>
      <c r="M1320">
        <v>240</v>
      </c>
      <c r="N1320">
        <f t="shared" si="349"/>
        <v>359</v>
      </c>
    </row>
    <row r="1321" spans="1:14" x14ac:dyDescent="0.2">
      <c r="A1321" t="s">
        <v>1897</v>
      </c>
      <c r="B1321" s="1" t="s">
        <v>1872</v>
      </c>
      <c r="C1321" t="s">
        <v>14</v>
      </c>
      <c r="D1321" t="s">
        <v>834</v>
      </c>
      <c r="E1321">
        <v>29</v>
      </c>
      <c r="F1321" t="s">
        <v>1605</v>
      </c>
      <c r="G1321">
        <v>2022</v>
      </c>
      <c r="H1321" t="s">
        <v>235</v>
      </c>
      <c r="I1321" t="s">
        <v>62</v>
      </c>
      <c r="J1321">
        <v>849</v>
      </c>
      <c r="K1321">
        <v>250</v>
      </c>
      <c r="L1321">
        <f t="shared" si="348"/>
        <v>599</v>
      </c>
      <c r="M1321">
        <v>240</v>
      </c>
      <c r="N1321">
        <f t="shared" si="349"/>
        <v>359</v>
      </c>
    </row>
    <row r="1322" spans="1:14" x14ac:dyDescent="0.2">
      <c r="A1322" t="s">
        <v>1898</v>
      </c>
      <c r="B1322" s="1" t="s">
        <v>1869</v>
      </c>
      <c r="C1322" t="s">
        <v>14</v>
      </c>
      <c r="D1322" t="s">
        <v>308</v>
      </c>
      <c r="E1322">
        <v>30</v>
      </c>
      <c r="F1322" t="s">
        <v>1605</v>
      </c>
      <c r="G1322">
        <v>2022</v>
      </c>
      <c r="H1322" t="s">
        <v>235</v>
      </c>
      <c r="I1322" t="s">
        <v>62</v>
      </c>
      <c r="J1322">
        <v>899</v>
      </c>
      <c r="K1322">
        <v>295</v>
      </c>
      <c r="L1322">
        <f t="shared" si="348"/>
        <v>604</v>
      </c>
      <c r="M1322">
        <v>240</v>
      </c>
      <c r="N1322">
        <f t="shared" si="349"/>
        <v>364</v>
      </c>
    </row>
    <row r="1323" spans="1:14" x14ac:dyDescent="0.2">
      <c r="A1323" t="s">
        <v>1871</v>
      </c>
      <c r="B1323" s="1" t="s">
        <v>1869</v>
      </c>
      <c r="C1323" t="s">
        <v>14</v>
      </c>
      <c r="D1323" t="s">
        <v>81</v>
      </c>
      <c r="E1323">
        <v>30</v>
      </c>
      <c r="F1323" t="s">
        <v>1605</v>
      </c>
      <c r="G1323">
        <v>2022</v>
      </c>
      <c r="H1323" t="s">
        <v>235</v>
      </c>
      <c r="I1323" t="s">
        <v>62</v>
      </c>
      <c r="J1323">
        <v>849</v>
      </c>
      <c r="K1323">
        <v>250</v>
      </c>
      <c r="L1323">
        <f t="shared" si="348"/>
        <v>599</v>
      </c>
      <c r="M1323">
        <v>240</v>
      </c>
      <c r="N1323">
        <f t="shared" si="349"/>
        <v>359</v>
      </c>
    </row>
    <row r="1324" spans="1:14" x14ac:dyDescent="0.2">
      <c r="A1324" t="s">
        <v>1900</v>
      </c>
      <c r="B1324" s="1" t="s">
        <v>1899</v>
      </c>
      <c r="C1324" t="s">
        <v>43</v>
      </c>
      <c r="D1324" t="s">
        <v>957</v>
      </c>
      <c r="E1324">
        <v>1</v>
      </c>
      <c r="F1324" t="s">
        <v>1901</v>
      </c>
      <c r="G1324">
        <v>2022</v>
      </c>
      <c r="H1324" t="s">
        <v>157</v>
      </c>
      <c r="I1324" t="s">
        <v>97</v>
      </c>
      <c r="J1324">
        <v>0</v>
      </c>
      <c r="K1324">
        <v>0</v>
      </c>
      <c r="L1324">
        <v>0</v>
      </c>
      <c r="M1324">
        <v>0</v>
      </c>
      <c r="N1324">
        <v>0</v>
      </c>
    </row>
    <row r="1325" spans="1:14" x14ac:dyDescent="0.2">
      <c r="A1325" t="s">
        <v>1902</v>
      </c>
      <c r="B1325" s="1" t="s">
        <v>1899</v>
      </c>
      <c r="C1325" t="s">
        <v>43</v>
      </c>
      <c r="D1325" t="s">
        <v>1539</v>
      </c>
      <c r="E1325">
        <v>1</v>
      </c>
      <c r="F1325" t="s">
        <v>1901</v>
      </c>
      <c r="G1325">
        <v>2022</v>
      </c>
      <c r="H1325" t="s">
        <v>235</v>
      </c>
      <c r="I1325" t="s">
        <v>62</v>
      </c>
      <c r="J1325">
        <v>0</v>
      </c>
      <c r="K1325">
        <v>0</v>
      </c>
      <c r="L1325">
        <v>0</v>
      </c>
      <c r="M1325">
        <v>0</v>
      </c>
      <c r="N1325">
        <v>0</v>
      </c>
    </row>
    <row r="1326" spans="1:14" x14ac:dyDescent="0.2">
      <c r="A1326" t="s">
        <v>1904</v>
      </c>
      <c r="B1326" s="1" t="s">
        <v>1903</v>
      </c>
      <c r="C1326" t="s">
        <v>43</v>
      </c>
      <c r="D1326" t="s">
        <v>133</v>
      </c>
      <c r="E1326">
        <v>2</v>
      </c>
      <c r="F1326" t="s">
        <v>1901</v>
      </c>
      <c r="G1326">
        <v>2022</v>
      </c>
      <c r="H1326" t="s">
        <v>104</v>
      </c>
      <c r="I1326" t="s">
        <v>62</v>
      </c>
      <c r="J1326">
        <v>0</v>
      </c>
      <c r="K1326">
        <v>0</v>
      </c>
      <c r="L1326">
        <v>0</v>
      </c>
      <c r="M1326">
        <v>0</v>
      </c>
      <c r="N1326">
        <v>0</v>
      </c>
    </row>
    <row r="1327" spans="1:14" x14ac:dyDescent="0.2">
      <c r="A1327" t="s">
        <v>1905</v>
      </c>
      <c r="B1327" s="1" t="s">
        <v>1899</v>
      </c>
      <c r="C1327" t="s">
        <v>43</v>
      </c>
      <c r="D1327" t="s">
        <v>81</v>
      </c>
      <c r="E1327">
        <v>1</v>
      </c>
      <c r="F1327" t="s">
        <v>1901</v>
      </c>
      <c r="G1327">
        <v>2022</v>
      </c>
      <c r="H1327" t="s">
        <v>1906</v>
      </c>
      <c r="I1327" t="s">
        <v>23</v>
      </c>
      <c r="J1327">
        <v>0</v>
      </c>
      <c r="K1327">
        <v>0</v>
      </c>
      <c r="L1327">
        <v>0</v>
      </c>
      <c r="M1327">
        <v>0</v>
      </c>
      <c r="N1327">
        <v>0</v>
      </c>
    </row>
    <row r="1328" spans="1:14" x14ac:dyDescent="0.2">
      <c r="A1328" t="s">
        <v>1907</v>
      </c>
      <c r="B1328" s="1" t="s">
        <v>1899</v>
      </c>
      <c r="C1328" t="s">
        <v>14</v>
      </c>
      <c r="D1328" t="s">
        <v>81</v>
      </c>
      <c r="E1328">
        <v>1</v>
      </c>
      <c r="F1328" t="s">
        <v>1901</v>
      </c>
      <c r="G1328">
        <v>2022</v>
      </c>
      <c r="H1328" t="s">
        <v>567</v>
      </c>
      <c r="I1328" t="s">
        <v>23</v>
      </c>
      <c r="J1328">
        <v>849</v>
      </c>
      <c r="K1328">
        <v>250</v>
      </c>
      <c r="L1328">
        <f t="shared" ref="L1328:L1332" si="350">J1328-K1328</f>
        <v>599</v>
      </c>
      <c r="M1328">
        <v>240</v>
      </c>
      <c r="N1328">
        <f t="shared" ref="N1328:N1332" si="351">L1328-M1328</f>
        <v>359</v>
      </c>
    </row>
    <row r="1329" spans="1:14" x14ac:dyDescent="0.2">
      <c r="A1329" t="s">
        <v>1908</v>
      </c>
      <c r="B1329" s="1" t="s">
        <v>1899</v>
      </c>
      <c r="C1329" t="s">
        <v>14</v>
      </c>
      <c r="D1329" t="s">
        <v>982</v>
      </c>
      <c r="E1329">
        <v>1</v>
      </c>
      <c r="F1329" t="s">
        <v>1901</v>
      </c>
      <c r="G1329">
        <v>2022</v>
      </c>
      <c r="H1329" t="s">
        <v>215</v>
      </c>
      <c r="I1329" t="s">
        <v>135</v>
      </c>
      <c r="J1329">
        <v>799</v>
      </c>
      <c r="K1329">
        <v>205</v>
      </c>
      <c r="L1329">
        <f t="shared" si="350"/>
        <v>594</v>
      </c>
      <c r="M1329">
        <v>240</v>
      </c>
      <c r="N1329">
        <f t="shared" si="351"/>
        <v>354</v>
      </c>
    </row>
    <row r="1330" spans="1:14" x14ac:dyDescent="0.2">
      <c r="A1330" t="s">
        <v>1909</v>
      </c>
      <c r="B1330" s="1" t="s">
        <v>1899</v>
      </c>
      <c r="C1330" t="s">
        <v>14</v>
      </c>
      <c r="D1330" t="s">
        <v>379</v>
      </c>
      <c r="E1330">
        <v>1</v>
      </c>
      <c r="F1330" t="s">
        <v>1901</v>
      </c>
      <c r="G1330">
        <v>2022</v>
      </c>
      <c r="H1330" t="s">
        <v>965</v>
      </c>
      <c r="I1330" t="s">
        <v>122</v>
      </c>
      <c r="J1330">
        <v>799</v>
      </c>
      <c r="K1330">
        <v>205</v>
      </c>
      <c r="L1330">
        <f t="shared" si="350"/>
        <v>594</v>
      </c>
      <c r="M1330">
        <v>240</v>
      </c>
      <c r="N1330">
        <f t="shared" si="351"/>
        <v>354</v>
      </c>
    </row>
    <row r="1331" spans="1:14" x14ac:dyDescent="0.2">
      <c r="A1331" t="s">
        <v>1900</v>
      </c>
      <c r="B1331" s="1" t="s">
        <v>1899</v>
      </c>
      <c r="C1331" t="s">
        <v>14</v>
      </c>
      <c r="D1331" t="s">
        <v>957</v>
      </c>
      <c r="E1331">
        <v>1</v>
      </c>
      <c r="F1331" t="s">
        <v>1901</v>
      </c>
      <c r="G1331">
        <v>2022</v>
      </c>
      <c r="H1331" t="s">
        <v>157</v>
      </c>
      <c r="I1331" t="s">
        <v>97</v>
      </c>
      <c r="J1331">
        <v>799</v>
      </c>
      <c r="K1331">
        <v>205</v>
      </c>
      <c r="L1331">
        <f t="shared" si="350"/>
        <v>594</v>
      </c>
      <c r="M1331">
        <v>240</v>
      </c>
      <c r="N1331">
        <f t="shared" si="351"/>
        <v>354</v>
      </c>
    </row>
    <row r="1332" spans="1:14" x14ac:dyDescent="0.2">
      <c r="A1332" t="s">
        <v>1910</v>
      </c>
      <c r="B1332" s="1" t="s">
        <v>1899</v>
      </c>
      <c r="C1332" t="s">
        <v>14</v>
      </c>
      <c r="D1332" t="s">
        <v>452</v>
      </c>
      <c r="E1332">
        <v>1</v>
      </c>
      <c r="F1332" t="s">
        <v>1901</v>
      </c>
      <c r="G1332">
        <v>2022</v>
      </c>
      <c r="H1332" t="s">
        <v>1152</v>
      </c>
      <c r="I1332" t="s">
        <v>250</v>
      </c>
      <c r="J1332">
        <v>799</v>
      </c>
      <c r="K1332">
        <v>205</v>
      </c>
      <c r="L1332">
        <f t="shared" si="350"/>
        <v>594</v>
      </c>
      <c r="M1332">
        <v>240</v>
      </c>
      <c r="N1332">
        <f t="shared" si="351"/>
        <v>354</v>
      </c>
    </row>
    <row r="1333" spans="1:14" x14ac:dyDescent="0.2">
      <c r="A1333" t="s">
        <v>1911</v>
      </c>
      <c r="B1333" s="1" t="s">
        <v>1899</v>
      </c>
      <c r="C1333" t="s">
        <v>20</v>
      </c>
      <c r="D1333" t="s">
        <v>1780</v>
      </c>
      <c r="E1333">
        <v>1</v>
      </c>
      <c r="F1333" t="s">
        <v>1901</v>
      </c>
      <c r="G1333">
        <v>2022</v>
      </c>
      <c r="H1333" t="s">
        <v>1148</v>
      </c>
      <c r="I1333" t="s">
        <v>32</v>
      </c>
      <c r="J1333">
        <v>0</v>
      </c>
      <c r="K1333">
        <v>0</v>
      </c>
      <c r="L1333">
        <v>0</v>
      </c>
      <c r="M1333">
        <v>0</v>
      </c>
      <c r="N1333">
        <v>0</v>
      </c>
    </row>
    <row r="1334" spans="1:14" x14ac:dyDescent="0.2">
      <c r="A1334" t="s">
        <v>1912</v>
      </c>
      <c r="B1334" s="1" t="s">
        <v>1903</v>
      </c>
      <c r="C1334" t="s">
        <v>14</v>
      </c>
      <c r="D1334" t="s">
        <v>1089</v>
      </c>
      <c r="E1334">
        <v>2</v>
      </c>
      <c r="F1334" t="s">
        <v>1901</v>
      </c>
      <c r="G1334">
        <v>2022</v>
      </c>
      <c r="H1334" t="s">
        <v>1885</v>
      </c>
      <c r="I1334" t="s">
        <v>62</v>
      </c>
      <c r="J1334">
        <v>799</v>
      </c>
      <c r="K1334">
        <v>205</v>
      </c>
      <c r="L1334">
        <f t="shared" ref="L1334:L1338" si="352">J1334-K1334</f>
        <v>594</v>
      </c>
      <c r="M1334">
        <v>240</v>
      </c>
      <c r="N1334">
        <f t="shared" ref="N1334:N1338" si="353">L1334-M1334</f>
        <v>354</v>
      </c>
    </row>
    <row r="1335" spans="1:14" x14ac:dyDescent="0.2">
      <c r="A1335" t="s">
        <v>1913</v>
      </c>
      <c r="B1335" s="1" t="s">
        <v>1899</v>
      </c>
      <c r="C1335" t="s">
        <v>14</v>
      </c>
      <c r="D1335" t="s">
        <v>133</v>
      </c>
      <c r="E1335">
        <v>1</v>
      </c>
      <c r="F1335" t="s">
        <v>1901</v>
      </c>
      <c r="G1335">
        <v>2022</v>
      </c>
      <c r="H1335" t="s">
        <v>162</v>
      </c>
      <c r="I1335" t="s">
        <v>163</v>
      </c>
      <c r="J1335">
        <v>799</v>
      </c>
      <c r="K1335">
        <v>205</v>
      </c>
      <c r="L1335">
        <f t="shared" si="352"/>
        <v>594</v>
      </c>
      <c r="M1335">
        <v>240</v>
      </c>
      <c r="N1335">
        <f t="shared" si="353"/>
        <v>354</v>
      </c>
    </row>
    <row r="1336" spans="1:14" x14ac:dyDescent="0.2">
      <c r="A1336" t="s">
        <v>1914</v>
      </c>
      <c r="B1336" s="1" t="s">
        <v>1903</v>
      </c>
      <c r="C1336" t="s">
        <v>14</v>
      </c>
      <c r="D1336" t="s">
        <v>1915</v>
      </c>
      <c r="E1336">
        <v>2</v>
      </c>
      <c r="F1336" t="s">
        <v>1901</v>
      </c>
      <c r="G1336">
        <v>2022</v>
      </c>
      <c r="H1336" t="s">
        <v>1916</v>
      </c>
      <c r="I1336" t="s">
        <v>62</v>
      </c>
      <c r="J1336">
        <v>799</v>
      </c>
      <c r="K1336">
        <v>205</v>
      </c>
      <c r="L1336">
        <f t="shared" si="352"/>
        <v>594</v>
      </c>
      <c r="M1336">
        <v>240</v>
      </c>
      <c r="N1336">
        <f t="shared" si="353"/>
        <v>354</v>
      </c>
    </row>
    <row r="1337" spans="1:14" x14ac:dyDescent="0.2">
      <c r="A1337" t="s">
        <v>1902</v>
      </c>
      <c r="B1337" s="1" t="s">
        <v>1899</v>
      </c>
      <c r="C1337" t="s">
        <v>14</v>
      </c>
      <c r="D1337" t="s">
        <v>1539</v>
      </c>
      <c r="E1337">
        <v>1</v>
      </c>
      <c r="F1337" t="s">
        <v>1901</v>
      </c>
      <c r="G1337">
        <v>2022</v>
      </c>
      <c r="H1337" t="s">
        <v>235</v>
      </c>
      <c r="I1337" t="s">
        <v>62</v>
      </c>
      <c r="J1337">
        <v>799</v>
      </c>
      <c r="K1337">
        <v>205</v>
      </c>
      <c r="L1337">
        <f t="shared" si="352"/>
        <v>594</v>
      </c>
      <c r="M1337">
        <v>240</v>
      </c>
      <c r="N1337">
        <f t="shared" si="353"/>
        <v>354</v>
      </c>
    </row>
    <row r="1338" spans="1:14" x14ac:dyDescent="0.2">
      <c r="A1338" t="s">
        <v>1917</v>
      </c>
      <c r="B1338" s="1" t="s">
        <v>1903</v>
      </c>
      <c r="C1338" t="s">
        <v>14</v>
      </c>
      <c r="D1338" t="s">
        <v>81</v>
      </c>
      <c r="E1338">
        <v>2</v>
      </c>
      <c r="F1338" t="s">
        <v>1901</v>
      </c>
      <c r="G1338">
        <v>2022</v>
      </c>
      <c r="H1338" t="s">
        <v>1918</v>
      </c>
      <c r="I1338" t="s">
        <v>866</v>
      </c>
      <c r="J1338">
        <v>849</v>
      </c>
      <c r="K1338">
        <v>250</v>
      </c>
      <c r="L1338">
        <f t="shared" si="352"/>
        <v>599</v>
      </c>
      <c r="M1338">
        <v>240</v>
      </c>
      <c r="N1338">
        <f t="shared" si="353"/>
        <v>359</v>
      </c>
    </row>
    <row r="1339" spans="1:14" x14ac:dyDescent="0.2">
      <c r="A1339" t="s">
        <v>1919</v>
      </c>
      <c r="B1339" s="1" t="s">
        <v>1903</v>
      </c>
      <c r="C1339" t="s">
        <v>20</v>
      </c>
      <c r="D1339" t="s">
        <v>380</v>
      </c>
      <c r="E1339">
        <v>2</v>
      </c>
      <c r="F1339" t="s">
        <v>1901</v>
      </c>
      <c r="G1339">
        <v>2022</v>
      </c>
      <c r="H1339" t="s">
        <v>249</v>
      </c>
      <c r="I1339" t="s">
        <v>250</v>
      </c>
      <c r="J1339">
        <v>0</v>
      </c>
      <c r="K1339">
        <v>0</v>
      </c>
      <c r="L1339">
        <v>0</v>
      </c>
      <c r="M1339">
        <v>0</v>
      </c>
      <c r="N1339">
        <v>0</v>
      </c>
    </row>
    <row r="1340" spans="1:14" x14ac:dyDescent="0.2">
      <c r="A1340" t="s">
        <v>1920</v>
      </c>
      <c r="B1340" s="1" t="s">
        <v>1899</v>
      </c>
      <c r="C1340" t="s">
        <v>14</v>
      </c>
      <c r="D1340" t="s">
        <v>490</v>
      </c>
      <c r="E1340">
        <v>1</v>
      </c>
      <c r="F1340" t="s">
        <v>1901</v>
      </c>
      <c r="G1340">
        <v>2022</v>
      </c>
      <c r="H1340" t="s">
        <v>1921</v>
      </c>
      <c r="I1340" t="s">
        <v>58</v>
      </c>
      <c r="J1340">
        <v>899</v>
      </c>
      <c r="K1340">
        <v>295</v>
      </c>
      <c r="L1340">
        <f t="shared" ref="L1340:L1345" si="354">J1340-K1340</f>
        <v>604</v>
      </c>
      <c r="M1340">
        <v>240</v>
      </c>
      <c r="N1340">
        <f t="shared" ref="N1340:N1345" si="355">L1340-M1340</f>
        <v>364</v>
      </c>
    </row>
    <row r="1341" spans="1:14" x14ac:dyDescent="0.2">
      <c r="A1341" t="s">
        <v>1923</v>
      </c>
      <c r="B1341" s="1" t="s">
        <v>1922</v>
      </c>
      <c r="C1341" t="s">
        <v>14</v>
      </c>
      <c r="D1341" t="s">
        <v>133</v>
      </c>
      <c r="E1341">
        <v>3</v>
      </c>
      <c r="F1341" t="s">
        <v>1901</v>
      </c>
      <c r="G1341">
        <v>2022</v>
      </c>
      <c r="H1341" t="s">
        <v>1924</v>
      </c>
      <c r="I1341" t="s">
        <v>23</v>
      </c>
      <c r="J1341">
        <v>799</v>
      </c>
      <c r="K1341">
        <v>205</v>
      </c>
      <c r="L1341">
        <f t="shared" si="354"/>
        <v>594</v>
      </c>
      <c r="M1341">
        <v>240</v>
      </c>
      <c r="N1341">
        <f t="shared" si="355"/>
        <v>354</v>
      </c>
    </row>
    <row r="1342" spans="1:14" x14ac:dyDescent="0.2">
      <c r="A1342" t="s">
        <v>1925</v>
      </c>
      <c r="B1342" s="1" t="s">
        <v>1922</v>
      </c>
      <c r="C1342" t="s">
        <v>14</v>
      </c>
      <c r="D1342" t="s">
        <v>665</v>
      </c>
      <c r="E1342">
        <v>3</v>
      </c>
      <c r="F1342" t="s">
        <v>1901</v>
      </c>
      <c r="G1342">
        <v>2022</v>
      </c>
      <c r="H1342" t="s">
        <v>579</v>
      </c>
      <c r="I1342" t="s">
        <v>62</v>
      </c>
      <c r="J1342">
        <v>799</v>
      </c>
      <c r="K1342">
        <v>205</v>
      </c>
      <c r="L1342">
        <f t="shared" si="354"/>
        <v>594</v>
      </c>
      <c r="M1342">
        <v>240</v>
      </c>
      <c r="N1342">
        <f t="shared" si="355"/>
        <v>354</v>
      </c>
    </row>
    <row r="1343" spans="1:14" x14ac:dyDescent="0.2">
      <c r="A1343" t="s">
        <v>1904</v>
      </c>
      <c r="B1343" s="1" t="s">
        <v>1903</v>
      </c>
      <c r="C1343" t="s">
        <v>14</v>
      </c>
      <c r="D1343" t="s">
        <v>133</v>
      </c>
      <c r="E1343">
        <v>2</v>
      </c>
      <c r="F1343" t="s">
        <v>1901</v>
      </c>
      <c r="G1343">
        <v>2022</v>
      </c>
      <c r="H1343" t="s">
        <v>104</v>
      </c>
      <c r="I1343" t="s">
        <v>62</v>
      </c>
      <c r="J1343">
        <v>799</v>
      </c>
      <c r="K1343">
        <v>205</v>
      </c>
      <c r="L1343">
        <f t="shared" si="354"/>
        <v>594</v>
      </c>
      <c r="M1343">
        <v>240</v>
      </c>
      <c r="N1343">
        <f t="shared" si="355"/>
        <v>354</v>
      </c>
    </row>
    <row r="1344" spans="1:14" x14ac:dyDescent="0.2">
      <c r="A1344" t="s">
        <v>1926</v>
      </c>
      <c r="B1344" s="1" t="s">
        <v>1903</v>
      </c>
      <c r="C1344" t="s">
        <v>14</v>
      </c>
      <c r="D1344" t="s">
        <v>420</v>
      </c>
      <c r="E1344">
        <v>2</v>
      </c>
      <c r="F1344" t="s">
        <v>1901</v>
      </c>
      <c r="G1344">
        <v>2022</v>
      </c>
      <c r="H1344" t="s">
        <v>173</v>
      </c>
      <c r="I1344" t="s">
        <v>62</v>
      </c>
      <c r="J1344">
        <v>899</v>
      </c>
      <c r="K1344">
        <v>295</v>
      </c>
      <c r="L1344">
        <f t="shared" si="354"/>
        <v>604</v>
      </c>
      <c r="M1344">
        <v>240</v>
      </c>
      <c r="N1344">
        <f t="shared" si="355"/>
        <v>364</v>
      </c>
    </row>
    <row r="1345" spans="1:14" x14ac:dyDescent="0.2">
      <c r="A1345" t="s">
        <v>1927</v>
      </c>
      <c r="B1345" s="1" t="s">
        <v>1903</v>
      </c>
      <c r="C1345" t="s">
        <v>14</v>
      </c>
      <c r="D1345" t="s">
        <v>504</v>
      </c>
      <c r="E1345">
        <v>2</v>
      </c>
      <c r="F1345" t="s">
        <v>1901</v>
      </c>
      <c r="G1345">
        <v>2022</v>
      </c>
      <c r="H1345" t="s">
        <v>190</v>
      </c>
      <c r="I1345" t="s">
        <v>23</v>
      </c>
      <c r="J1345">
        <v>899</v>
      </c>
      <c r="K1345">
        <v>295</v>
      </c>
      <c r="L1345">
        <f t="shared" si="354"/>
        <v>604</v>
      </c>
      <c r="M1345">
        <v>240</v>
      </c>
      <c r="N1345">
        <f t="shared" si="355"/>
        <v>364</v>
      </c>
    </row>
    <row r="1346" spans="1:14" x14ac:dyDescent="0.2">
      <c r="A1346" t="s">
        <v>1929</v>
      </c>
      <c r="B1346" s="1" t="s">
        <v>1928</v>
      </c>
      <c r="C1346" t="s">
        <v>43</v>
      </c>
      <c r="D1346" t="s">
        <v>1780</v>
      </c>
      <c r="E1346">
        <v>5</v>
      </c>
      <c r="F1346" t="s">
        <v>1901</v>
      </c>
      <c r="G1346">
        <v>2022</v>
      </c>
      <c r="H1346" t="s">
        <v>1245</v>
      </c>
      <c r="I1346" t="s">
        <v>502</v>
      </c>
      <c r="J1346">
        <v>0</v>
      </c>
      <c r="K1346">
        <v>0</v>
      </c>
      <c r="L1346">
        <v>0</v>
      </c>
      <c r="M1346">
        <v>0</v>
      </c>
      <c r="N1346">
        <v>0</v>
      </c>
    </row>
    <row r="1347" spans="1:14" x14ac:dyDescent="0.2">
      <c r="A1347" t="s">
        <v>1931</v>
      </c>
      <c r="B1347" s="1" t="s">
        <v>1930</v>
      </c>
      <c r="C1347" t="s">
        <v>43</v>
      </c>
      <c r="D1347" t="s">
        <v>895</v>
      </c>
      <c r="E1347">
        <v>6</v>
      </c>
      <c r="F1347" t="s">
        <v>1901</v>
      </c>
      <c r="G1347">
        <v>2022</v>
      </c>
      <c r="H1347" t="s">
        <v>1932</v>
      </c>
      <c r="I1347" t="s">
        <v>135</v>
      </c>
      <c r="J1347">
        <v>0</v>
      </c>
      <c r="K1347">
        <v>0</v>
      </c>
      <c r="L1347">
        <v>0</v>
      </c>
      <c r="M1347">
        <v>0</v>
      </c>
      <c r="N1347">
        <v>0</v>
      </c>
    </row>
    <row r="1348" spans="1:14" x14ac:dyDescent="0.2">
      <c r="A1348" t="s">
        <v>1934</v>
      </c>
      <c r="B1348" s="1" t="s">
        <v>1933</v>
      </c>
      <c r="C1348" t="s">
        <v>14</v>
      </c>
      <c r="D1348" t="s">
        <v>1338</v>
      </c>
      <c r="E1348">
        <v>4</v>
      </c>
      <c r="F1348" t="s">
        <v>1901</v>
      </c>
      <c r="G1348">
        <v>2022</v>
      </c>
      <c r="H1348" t="s">
        <v>170</v>
      </c>
      <c r="I1348" t="s">
        <v>171</v>
      </c>
      <c r="J1348">
        <v>799</v>
      </c>
      <c r="K1348">
        <v>205</v>
      </c>
      <c r="L1348">
        <f t="shared" ref="L1348:L1358" si="356">J1348-K1348</f>
        <v>594</v>
      </c>
      <c r="M1348">
        <v>240</v>
      </c>
      <c r="N1348">
        <f t="shared" ref="N1348:N1358" si="357">L1348-M1348</f>
        <v>354</v>
      </c>
    </row>
    <row r="1349" spans="1:14" x14ac:dyDescent="0.2">
      <c r="A1349" t="s">
        <v>1935</v>
      </c>
      <c r="B1349" s="1" t="s">
        <v>1933</v>
      </c>
      <c r="C1349" t="s">
        <v>14</v>
      </c>
      <c r="D1349" t="s">
        <v>169</v>
      </c>
      <c r="E1349">
        <v>4</v>
      </c>
      <c r="F1349" t="s">
        <v>1901</v>
      </c>
      <c r="G1349">
        <v>2022</v>
      </c>
      <c r="H1349" t="s">
        <v>183</v>
      </c>
      <c r="I1349" t="s">
        <v>62</v>
      </c>
      <c r="J1349">
        <v>799</v>
      </c>
      <c r="K1349">
        <v>205</v>
      </c>
      <c r="L1349">
        <f t="shared" si="356"/>
        <v>594</v>
      </c>
      <c r="M1349">
        <v>240</v>
      </c>
      <c r="N1349">
        <f t="shared" si="357"/>
        <v>354</v>
      </c>
    </row>
    <row r="1350" spans="1:14" x14ac:dyDescent="0.2">
      <c r="A1350" t="s">
        <v>1936</v>
      </c>
      <c r="B1350" s="1" t="s">
        <v>1933</v>
      </c>
      <c r="C1350" t="s">
        <v>14</v>
      </c>
      <c r="D1350" t="s">
        <v>1937</v>
      </c>
      <c r="E1350">
        <v>4</v>
      </c>
      <c r="F1350" t="s">
        <v>1901</v>
      </c>
      <c r="G1350">
        <v>2022</v>
      </c>
      <c r="H1350" t="s">
        <v>104</v>
      </c>
      <c r="I1350" t="s">
        <v>62</v>
      </c>
      <c r="J1350">
        <v>799</v>
      </c>
      <c r="K1350">
        <v>205</v>
      </c>
      <c r="L1350">
        <f t="shared" si="356"/>
        <v>594</v>
      </c>
      <c r="M1350">
        <v>240</v>
      </c>
      <c r="N1350">
        <f t="shared" si="357"/>
        <v>354</v>
      </c>
    </row>
    <row r="1351" spans="1:14" x14ac:dyDescent="0.2">
      <c r="A1351" t="s">
        <v>1936</v>
      </c>
      <c r="B1351" s="1" t="s">
        <v>1933</v>
      </c>
      <c r="C1351" t="s">
        <v>14</v>
      </c>
      <c r="D1351" t="s">
        <v>1338</v>
      </c>
      <c r="E1351">
        <v>4</v>
      </c>
      <c r="F1351" t="s">
        <v>1901</v>
      </c>
      <c r="G1351">
        <v>2022</v>
      </c>
      <c r="H1351" t="s">
        <v>104</v>
      </c>
      <c r="I1351" t="s">
        <v>62</v>
      </c>
      <c r="J1351">
        <v>799</v>
      </c>
      <c r="K1351">
        <v>205</v>
      </c>
      <c r="L1351">
        <f t="shared" si="356"/>
        <v>594</v>
      </c>
      <c r="M1351">
        <v>240</v>
      </c>
      <c r="N1351">
        <f t="shared" si="357"/>
        <v>354</v>
      </c>
    </row>
    <row r="1352" spans="1:14" x14ac:dyDescent="0.2">
      <c r="A1352" t="s">
        <v>1938</v>
      </c>
      <c r="B1352" s="1" t="s">
        <v>1922</v>
      </c>
      <c r="C1352" t="s">
        <v>14</v>
      </c>
      <c r="D1352" t="s">
        <v>1915</v>
      </c>
      <c r="E1352">
        <v>3</v>
      </c>
      <c r="F1352" t="s">
        <v>1901</v>
      </c>
      <c r="G1352">
        <v>2022</v>
      </c>
      <c r="H1352" t="s">
        <v>1939</v>
      </c>
      <c r="I1352" t="s">
        <v>28</v>
      </c>
      <c r="J1352">
        <v>799</v>
      </c>
      <c r="K1352">
        <v>205</v>
      </c>
      <c r="L1352">
        <f t="shared" si="356"/>
        <v>594</v>
      </c>
      <c r="M1352">
        <v>240</v>
      </c>
      <c r="N1352">
        <f t="shared" si="357"/>
        <v>354</v>
      </c>
    </row>
    <row r="1353" spans="1:14" x14ac:dyDescent="0.2">
      <c r="A1353" t="s">
        <v>1940</v>
      </c>
      <c r="B1353" s="1" t="s">
        <v>1922</v>
      </c>
      <c r="C1353" t="s">
        <v>14</v>
      </c>
      <c r="D1353" t="s">
        <v>1076</v>
      </c>
      <c r="E1353">
        <v>3</v>
      </c>
      <c r="F1353" t="s">
        <v>1901</v>
      </c>
      <c r="G1353">
        <v>2022</v>
      </c>
      <c r="H1353" t="s">
        <v>1276</v>
      </c>
      <c r="I1353" t="s">
        <v>85</v>
      </c>
      <c r="J1353">
        <v>849</v>
      </c>
      <c r="K1353">
        <v>250</v>
      </c>
      <c r="L1353">
        <f t="shared" si="356"/>
        <v>599</v>
      </c>
      <c r="M1353">
        <v>240</v>
      </c>
      <c r="N1353">
        <f t="shared" si="357"/>
        <v>359</v>
      </c>
    </row>
    <row r="1354" spans="1:14" x14ac:dyDescent="0.2">
      <c r="A1354" t="s">
        <v>1940</v>
      </c>
      <c r="B1354" s="1" t="s">
        <v>1922</v>
      </c>
      <c r="C1354" t="s">
        <v>14</v>
      </c>
      <c r="D1354" t="s">
        <v>81</v>
      </c>
      <c r="E1354">
        <v>3</v>
      </c>
      <c r="F1354" t="s">
        <v>1901</v>
      </c>
      <c r="G1354">
        <v>2022</v>
      </c>
      <c r="H1354" t="s">
        <v>1276</v>
      </c>
      <c r="I1354" t="s">
        <v>85</v>
      </c>
      <c r="J1354">
        <v>849</v>
      </c>
      <c r="K1354">
        <v>250</v>
      </c>
      <c r="L1354">
        <f t="shared" si="356"/>
        <v>599</v>
      </c>
      <c r="M1354">
        <v>240</v>
      </c>
      <c r="N1354">
        <f t="shared" si="357"/>
        <v>359</v>
      </c>
    </row>
    <row r="1355" spans="1:14" x14ac:dyDescent="0.2">
      <c r="A1355" t="s">
        <v>1941</v>
      </c>
      <c r="B1355" s="1" t="s">
        <v>1933</v>
      </c>
      <c r="C1355" t="s">
        <v>14</v>
      </c>
      <c r="D1355" t="s">
        <v>989</v>
      </c>
      <c r="E1355">
        <v>4</v>
      </c>
      <c r="F1355" t="s">
        <v>1901</v>
      </c>
      <c r="G1355">
        <v>2022</v>
      </c>
      <c r="H1355" t="s">
        <v>1942</v>
      </c>
      <c r="I1355" t="s">
        <v>32</v>
      </c>
      <c r="J1355">
        <v>799</v>
      </c>
      <c r="K1355">
        <v>205</v>
      </c>
      <c r="L1355">
        <f t="shared" si="356"/>
        <v>594</v>
      </c>
      <c r="M1355">
        <v>240</v>
      </c>
      <c r="N1355">
        <f t="shared" si="357"/>
        <v>354</v>
      </c>
    </row>
    <row r="1356" spans="1:14" x14ac:dyDescent="0.2">
      <c r="A1356" t="s">
        <v>1943</v>
      </c>
      <c r="B1356" s="1" t="s">
        <v>1933</v>
      </c>
      <c r="C1356" t="s">
        <v>14</v>
      </c>
      <c r="D1356" t="s">
        <v>1105</v>
      </c>
      <c r="E1356">
        <v>4</v>
      </c>
      <c r="F1356" t="s">
        <v>1901</v>
      </c>
      <c r="G1356">
        <v>2022</v>
      </c>
      <c r="H1356" t="s">
        <v>1944</v>
      </c>
      <c r="I1356" t="s">
        <v>85</v>
      </c>
      <c r="J1356">
        <v>849</v>
      </c>
      <c r="K1356">
        <v>250</v>
      </c>
      <c r="L1356">
        <f t="shared" si="356"/>
        <v>599</v>
      </c>
      <c r="M1356">
        <v>240</v>
      </c>
      <c r="N1356">
        <f t="shared" si="357"/>
        <v>359</v>
      </c>
    </row>
    <row r="1357" spans="1:14" x14ac:dyDescent="0.2">
      <c r="A1357" t="s">
        <v>1945</v>
      </c>
      <c r="B1357" s="1" t="s">
        <v>1933</v>
      </c>
      <c r="C1357" t="s">
        <v>14</v>
      </c>
      <c r="D1357" t="s">
        <v>425</v>
      </c>
      <c r="E1357">
        <v>4</v>
      </c>
      <c r="F1357" t="s">
        <v>1901</v>
      </c>
      <c r="G1357">
        <v>2022</v>
      </c>
      <c r="H1357" t="s">
        <v>1798</v>
      </c>
      <c r="I1357" t="s">
        <v>250</v>
      </c>
      <c r="J1357">
        <v>799</v>
      </c>
      <c r="K1357">
        <v>205</v>
      </c>
      <c r="L1357">
        <f t="shared" si="356"/>
        <v>594</v>
      </c>
      <c r="M1357">
        <v>240</v>
      </c>
      <c r="N1357">
        <f t="shared" si="357"/>
        <v>354</v>
      </c>
    </row>
    <row r="1358" spans="1:14" x14ac:dyDescent="0.2">
      <c r="A1358" t="s">
        <v>1946</v>
      </c>
      <c r="B1358" s="1" t="s">
        <v>1933</v>
      </c>
      <c r="C1358" t="s">
        <v>14</v>
      </c>
      <c r="D1358" t="s">
        <v>1448</v>
      </c>
      <c r="E1358">
        <v>4</v>
      </c>
      <c r="F1358" t="s">
        <v>1901</v>
      </c>
      <c r="G1358">
        <v>2022</v>
      </c>
      <c r="H1358" t="s">
        <v>1947</v>
      </c>
      <c r="I1358" t="s">
        <v>212</v>
      </c>
      <c r="J1358">
        <v>849</v>
      </c>
      <c r="K1358">
        <v>250</v>
      </c>
      <c r="L1358">
        <f t="shared" si="356"/>
        <v>599</v>
      </c>
      <c r="M1358">
        <v>240</v>
      </c>
      <c r="N1358">
        <f t="shared" si="357"/>
        <v>359</v>
      </c>
    </row>
    <row r="1359" spans="1:14" x14ac:dyDescent="0.2">
      <c r="A1359" t="s">
        <v>1907</v>
      </c>
      <c r="B1359" s="1" t="s">
        <v>1899</v>
      </c>
      <c r="C1359" t="s">
        <v>106</v>
      </c>
      <c r="D1359" t="s">
        <v>81</v>
      </c>
      <c r="E1359">
        <v>1</v>
      </c>
      <c r="F1359" t="s">
        <v>1901</v>
      </c>
      <c r="G1359">
        <v>2022</v>
      </c>
      <c r="H1359" t="s">
        <v>567</v>
      </c>
      <c r="I1359" t="s">
        <v>23</v>
      </c>
      <c r="J1359">
        <v>-849</v>
      </c>
      <c r="K1359">
        <v>345</v>
      </c>
      <c r="L1359">
        <f>J1359+K1359</f>
        <v>-504</v>
      </c>
      <c r="M1359">
        <v>240</v>
      </c>
      <c r="N1359">
        <f>L1359+M1359</f>
        <v>-264</v>
      </c>
    </row>
    <row r="1360" spans="1:14" x14ac:dyDescent="0.2">
      <c r="A1360" t="s">
        <v>1948</v>
      </c>
      <c r="B1360" s="1" t="s">
        <v>1930</v>
      </c>
      <c r="C1360" t="s">
        <v>43</v>
      </c>
      <c r="D1360" t="s">
        <v>1448</v>
      </c>
      <c r="E1360">
        <v>6</v>
      </c>
      <c r="F1360" t="s">
        <v>1901</v>
      </c>
      <c r="G1360">
        <v>2022</v>
      </c>
      <c r="H1360" t="s">
        <v>84</v>
      </c>
      <c r="I1360" t="s">
        <v>85</v>
      </c>
      <c r="J1360">
        <v>0</v>
      </c>
      <c r="K1360">
        <v>0</v>
      </c>
      <c r="L1360">
        <v>0</v>
      </c>
      <c r="M1360">
        <v>0</v>
      </c>
      <c r="N1360">
        <v>0</v>
      </c>
    </row>
    <row r="1361" spans="1:14" x14ac:dyDescent="0.2">
      <c r="A1361" t="s">
        <v>1914</v>
      </c>
      <c r="B1361" s="1" t="s">
        <v>1903</v>
      </c>
      <c r="C1361" t="s">
        <v>106</v>
      </c>
      <c r="D1361" t="s">
        <v>1915</v>
      </c>
      <c r="E1361">
        <v>2</v>
      </c>
      <c r="F1361" t="s">
        <v>1901</v>
      </c>
      <c r="G1361">
        <v>2022</v>
      </c>
      <c r="H1361" t="s">
        <v>1916</v>
      </c>
      <c r="I1361" t="s">
        <v>62</v>
      </c>
      <c r="J1361">
        <v>-799</v>
      </c>
      <c r="K1361">
        <v>320</v>
      </c>
      <c r="L1361">
        <f>J1361+K1361</f>
        <v>-479</v>
      </c>
      <c r="M1361">
        <v>240</v>
      </c>
      <c r="N1361">
        <f>L1361+M1361</f>
        <v>-239</v>
      </c>
    </row>
    <row r="1362" spans="1:14" x14ac:dyDescent="0.2">
      <c r="A1362" t="s">
        <v>1949</v>
      </c>
      <c r="B1362" s="1" t="s">
        <v>1928</v>
      </c>
      <c r="C1362" t="s">
        <v>14</v>
      </c>
      <c r="D1362" t="s">
        <v>448</v>
      </c>
      <c r="E1362">
        <v>5</v>
      </c>
      <c r="F1362" t="s">
        <v>1901</v>
      </c>
      <c r="G1362">
        <v>2022</v>
      </c>
      <c r="H1362" t="s">
        <v>1950</v>
      </c>
      <c r="I1362" t="s">
        <v>23</v>
      </c>
      <c r="J1362">
        <v>899</v>
      </c>
      <c r="K1362">
        <v>295</v>
      </c>
      <c r="L1362">
        <f t="shared" ref="L1362:L1379" si="358">J1362-K1362</f>
        <v>604</v>
      </c>
      <c r="M1362">
        <v>240</v>
      </c>
      <c r="N1362">
        <f t="shared" ref="N1362:N1379" si="359">L1362-M1362</f>
        <v>364</v>
      </c>
    </row>
    <row r="1363" spans="1:14" x14ac:dyDescent="0.2">
      <c r="A1363" t="s">
        <v>1951</v>
      </c>
      <c r="B1363" s="1" t="s">
        <v>1928</v>
      </c>
      <c r="C1363" t="s">
        <v>14</v>
      </c>
      <c r="D1363" t="s">
        <v>445</v>
      </c>
      <c r="E1363">
        <v>5</v>
      </c>
      <c r="F1363" t="s">
        <v>1901</v>
      </c>
      <c r="G1363">
        <v>2022</v>
      </c>
      <c r="H1363" t="s">
        <v>1952</v>
      </c>
      <c r="I1363" t="s">
        <v>212</v>
      </c>
      <c r="J1363">
        <v>899</v>
      </c>
      <c r="K1363">
        <v>295</v>
      </c>
      <c r="L1363">
        <f t="shared" si="358"/>
        <v>604</v>
      </c>
      <c r="M1363">
        <v>240</v>
      </c>
      <c r="N1363">
        <f t="shared" si="359"/>
        <v>364</v>
      </c>
    </row>
    <row r="1364" spans="1:14" x14ac:dyDescent="0.2">
      <c r="A1364" t="s">
        <v>1953</v>
      </c>
      <c r="B1364" s="1" t="s">
        <v>1928</v>
      </c>
      <c r="C1364" t="s">
        <v>14</v>
      </c>
      <c r="D1364" t="s">
        <v>379</v>
      </c>
      <c r="E1364">
        <v>5</v>
      </c>
      <c r="F1364" t="s">
        <v>1901</v>
      </c>
      <c r="G1364">
        <v>2022</v>
      </c>
      <c r="H1364" t="s">
        <v>68</v>
      </c>
      <c r="I1364" t="s">
        <v>62</v>
      </c>
      <c r="J1364">
        <v>799</v>
      </c>
      <c r="K1364">
        <v>205</v>
      </c>
      <c r="L1364">
        <f t="shared" si="358"/>
        <v>594</v>
      </c>
      <c r="M1364">
        <v>240</v>
      </c>
      <c r="N1364">
        <f t="shared" si="359"/>
        <v>354</v>
      </c>
    </row>
    <row r="1365" spans="1:14" x14ac:dyDescent="0.2">
      <c r="A1365" t="s">
        <v>1954</v>
      </c>
      <c r="B1365" s="1" t="s">
        <v>1928</v>
      </c>
      <c r="C1365" t="s">
        <v>14</v>
      </c>
      <c r="D1365" t="s">
        <v>133</v>
      </c>
      <c r="E1365">
        <v>5</v>
      </c>
      <c r="F1365" t="s">
        <v>1901</v>
      </c>
      <c r="G1365">
        <v>2022</v>
      </c>
      <c r="H1365" t="s">
        <v>170</v>
      </c>
      <c r="I1365" t="s">
        <v>171</v>
      </c>
      <c r="J1365">
        <v>799</v>
      </c>
      <c r="K1365">
        <v>205</v>
      </c>
      <c r="L1365">
        <f t="shared" si="358"/>
        <v>594</v>
      </c>
      <c r="M1365">
        <v>240</v>
      </c>
      <c r="N1365">
        <f t="shared" si="359"/>
        <v>354</v>
      </c>
    </row>
    <row r="1366" spans="1:14" x14ac:dyDescent="0.2">
      <c r="A1366" t="s">
        <v>1955</v>
      </c>
      <c r="B1366" s="1" t="s">
        <v>1928</v>
      </c>
      <c r="C1366" t="s">
        <v>14</v>
      </c>
      <c r="D1366" t="s">
        <v>834</v>
      </c>
      <c r="E1366">
        <v>5</v>
      </c>
      <c r="F1366" t="s">
        <v>1901</v>
      </c>
      <c r="G1366">
        <v>2022</v>
      </c>
      <c r="H1366" t="s">
        <v>807</v>
      </c>
      <c r="I1366" t="s">
        <v>28</v>
      </c>
      <c r="J1366">
        <v>849</v>
      </c>
      <c r="K1366">
        <v>250</v>
      </c>
      <c r="L1366">
        <f t="shared" si="358"/>
        <v>599</v>
      </c>
      <c r="M1366">
        <v>240</v>
      </c>
      <c r="N1366">
        <f t="shared" si="359"/>
        <v>359</v>
      </c>
    </row>
    <row r="1367" spans="1:14" x14ac:dyDescent="0.2">
      <c r="A1367" t="s">
        <v>1956</v>
      </c>
      <c r="B1367" s="1" t="s">
        <v>1928</v>
      </c>
      <c r="C1367" t="s">
        <v>14</v>
      </c>
      <c r="D1367" t="s">
        <v>1805</v>
      </c>
      <c r="E1367">
        <v>5</v>
      </c>
      <c r="F1367" t="s">
        <v>1901</v>
      </c>
      <c r="G1367">
        <v>2022</v>
      </c>
      <c r="H1367" t="s">
        <v>235</v>
      </c>
      <c r="I1367" t="s">
        <v>62</v>
      </c>
      <c r="J1367">
        <v>849</v>
      </c>
      <c r="K1367">
        <v>250</v>
      </c>
      <c r="L1367">
        <f t="shared" si="358"/>
        <v>599</v>
      </c>
      <c r="M1367">
        <v>240</v>
      </c>
      <c r="N1367">
        <f t="shared" si="359"/>
        <v>359</v>
      </c>
    </row>
    <row r="1368" spans="1:14" x14ac:dyDescent="0.2">
      <c r="A1368" t="s">
        <v>1929</v>
      </c>
      <c r="B1368" s="1" t="s">
        <v>1928</v>
      </c>
      <c r="C1368" t="s">
        <v>14</v>
      </c>
      <c r="D1368" t="s">
        <v>1780</v>
      </c>
      <c r="E1368">
        <v>5</v>
      </c>
      <c r="F1368" t="s">
        <v>1901</v>
      </c>
      <c r="G1368">
        <v>2022</v>
      </c>
      <c r="H1368" t="s">
        <v>1245</v>
      </c>
      <c r="I1368" t="s">
        <v>502</v>
      </c>
      <c r="J1368">
        <v>799</v>
      </c>
      <c r="K1368">
        <v>205</v>
      </c>
      <c r="L1368">
        <f t="shared" si="358"/>
        <v>594</v>
      </c>
      <c r="M1368">
        <v>240</v>
      </c>
      <c r="N1368">
        <f t="shared" si="359"/>
        <v>354</v>
      </c>
    </row>
    <row r="1369" spans="1:14" x14ac:dyDescent="0.2">
      <c r="A1369" t="s">
        <v>1957</v>
      </c>
      <c r="B1369" s="1" t="s">
        <v>1928</v>
      </c>
      <c r="C1369" t="s">
        <v>14</v>
      </c>
      <c r="D1369" t="s">
        <v>1937</v>
      </c>
      <c r="E1369">
        <v>5</v>
      </c>
      <c r="F1369" t="s">
        <v>1901</v>
      </c>
      <c r="G1369">
        <v>2022</v>
      </c>
      <c r="H1369" t="s">
        <v>104</v>
      </c>
      <c r="I1369" t="s">
        <v>62</v>
      </c>
      <c r="J1369">
        <v>799</v>
      </c>
      <c r="K1369">
        <v>205</v>
      </c>
      <c r="L1369">
        <f t="shared" si="358"/>
        <v>594</v>
      </c>
      <c r="M1369">
        <v>240</v>
      </c>
      <c r="N1369">
        <f t="shared" si="359"/>
        <v>354</v>
      </c>
    </row>
    <row r="1370" spans="1:14" x14ac:dyDescent="0.2">
      <c r="A1370" t="s">
        <v>1958</v>
      </c>
      <c r="B1370" s="1" t="s">
        <v>1928</v>
      </c>
      <c r="C1370" t="s">
        <v>14</v>
      </c>
      <c r="D1370" t="s">
        <v>169</v>
      </c>
      <c r="E1370">
        <v>5</v>
      </c>
      <c r="F1370" t="s">
        <v>1901</v>
      </c>
      <c r="G1370">
        <v>2022</v>
      </c>
      <c r="H1370" t="s">
        <v>1959</v>
      </c>
      <c r="I1370" t="s">
        <v>85</v>
      </c>
      <c r="J1370">
        <v>799</v>
      </c>
      <c r="K1370">
        <v>205</v>
      </c>
      <c r="L1370">
        <f t="shared" si="358"/>
        <v>594</v>
      </c>
      <c r="M1370">
        <v>240</v>
      </c>
      <c r="N1370">
        <f t="shared" si="359"/>
        <v>354</v>
      </c>
    </row>
    <row r="1371" spans="1:14" x14ac:dyDescent="0.2">
      <c r="A1371" t="s">
        <v>1961</v>
      </c>
      <c r="B1371" s="1" t="s">
        <v>1960</v>
      </c>
      <c r="C1371" t="s">
        <v>14</v>
      </c>
      <c r="D1371" t="s">
        <v>1105</v>
      </c>
      <c r="E1371">
        <v>7</v>
      </c>
      <c r="F1371" t="s">
        <v>1901</v>
      </c>
      <c r="G1371">
        <v>2022</v>
      </c>
      <c r="H1371" t="s">
        <v>84</v>
      </c>
      <c r="I1371" t="s">
        <v>85</v>
      </c>
      <c r="J1371">
        <v>849</v>
      </c>
      <c r="K1371">
        <v>250</v>
      </c>
      <c r="L1371">
        <f t="shared" si="358"/>
        <v>599</v>
      </c>
      <c r="M1371">
        <v>240</v>
      </c>
      <c r="N1371">
        <f t="shared" si="359"/>
        <v>359</v>
      </c>
    </row>
    <row r="1372" spans="1:14" x14ac:dyDescent="0.2">
      <c r="A1372" t="s">
        <v>1962</v>
      </c>
      <c r="B1372" s="1" t="s">
        <v>1930</v>
      </c>
      <c r="C1372" t="s">
        <v>14</v>
      </c>
      <c r="D1372" t="s">
        <v>425</v>
      </c>
      <c r="E1372">
        <v>6</v>
      </c>
      <c r="F1372" t="s">
        <v>1901</v>
      </c>
      <c r="G1372">
        <v>2022</v>
      </c>
      <c r="H1372" t="s">
        <v>246</v>
      </c>
      <c r="I1372" t="s">
        <v>58</v>
      </c>
      <c r="J1372">
        <v>799</v>
      </c>
      <c r="K1372">
        <v>205</v>
      </c>
      <c r="L1372">
        <f t="shared" si="358"/>
        <v>594</v>
      </c>
      <c r="M1372">
        <v>240</v>
      </c>
      <c r="N1372">
        <f t="shared" si="359"/>
        <v>354</v>
      </c>
    </row>
    <row r="1373" spans="1:14" x14ac:dyDescent="0.2">
      <c r="A1373" t="s">
        <v>1963</v>
      </c>
      <c r="B1373" s="1" t="s">
        <v>1930</v>
      </c>
      <c r="C1373" t="s">
        <v>14</v>
      </c>
      <c r="D1373" t="s">
        <v>452</v>
      </c>
      <c r="E1373">
        <v>6</v>
      </c>
      <c r="F1373" t="s">
        <v>1901</v>
      </c>
      <c r="G1373">
        <v>2022</v>
      </c>
      <c r="H1373" t="s">
        <v>1408</v>
      </c>
      <c r="I1373" t="s">
        <v>23</v>
      </c>
      <c r="J1373">
        <v>799</v>
      </c>
      <c r="K1373">
        <v>205</v>
      </c>
      <c r="L1373">
        <f t="shared" si="358"/>
        <v>594</v>
      </c>
      <c r="M1373">
        <v>240</v>
      </c>
      <c r="N1373">
        <f t="shared" si="359"/>
        <v>354</v>
      </c>
    </row>
    <row r="1374" spans="1:14" x14ac:dyDescent="0.2">
      <c r="A1374" t="s">
        <v>1964</v>
      </c>
      <c r="B1374" s="1" t="s">
        <v>1960</v>
      </c>
      <c r="C1374" t="s">
        <v>14</v>
      </c>
      <c r="D1374" t="s">
        <v>490</v>
      </c>
      <c r="E1374">
        <v>7</v>
      </c>
      <c r="F1374" t="s">
        <v>1901</v>
      </c>
      <c r="G1374">
        <v>2022</v>
      </c>
      <c r="H1374" t="s">
        <v>1417</v>
      </c>
      <c r="I1374" t="s">
        <v>37</v>
      </c>
      <c r="J1374">
        <v>899</v>
      </c>
      <c r="K1374">
        <v>295</v>
      </c>
      <c r="L1374">
        <f t="shared" si="358"/>
        <v>604</v>
      </c>
      <c r="M1374">
        <v>240</v>
      </c>
      <c r="N1374">
        <f t="shared" si="359"/>
        <v>364</v>
      </c>
    </row>
    <row r="1375" spans="1:14" x14ac:dyDescent="0.2">
      <c r="A1375" t="s">
        <v>1965</v>
      </c>
      <c r="B1375" s="1" t="s">
        <v>1930</v>
      </c>
      <c r="C1375" t="s">
        <v>14</v>
      </c>
      <c r="D1375" t="s">
        <v>1511</v>
      </c>
      <c r="E1375">
        <v>6</v>
      </c>
      <c r="F1375" t="s">
        <v>1901</v>
      </c>
      <c r="G1375">
        <v>2022</v>
      </c>
      <c r="H1375" t="s">
        <v>1966</v>
      </c>
      <c r="I1375" t="s">
        <v>32</v>
      </c>
      <c r="J1375">
        <v>799</v>
      </c>
      <c r="K1375">
        <v>205</v>
      </c>
      <c r="L1375">
        <f t="shared" si="358"/>
        <v>594</v>
      </c>
      <c r="M1375">
        <v>240</v>
      </c>
      <c r="N1375">
        <f t="shared" si="359"/>
        <v>354</v>
      </c>
    </row>
    <row r="1376" spans="1:14" x14ac:dyDescent="0.2">
      <c r="A1376" t="s">
        <v>1931</v>
      </c>
      <c r="B1376" s="1" t="s">
        <v>1930</v>
      </c>
      <c r="C1376" t="s">
        <v>14</v>
      </c>
      <c r="D1376" t="s">
        <v>895</v>
      </c>
      <c r="E1376">
        <v>6</v>
      </c>
      <c r="F1376" t="s">
        <v>1901</v>
      </c>
      <c r="G1376">
        <v>2022</v>
      </c>
      <c r="H1376" t="s">
        <v>1932</v>
      </c>
      <c r="I1376" t="s">
        <v>135</v>
      </c>
      <c r="J1376">
        <v>849</v>
      </c>
      <c r="K1376">
        <v>250</v>
      </c>
      <c r="L1376">
        <f t="shared" si="358"/>
        <v>599</v>
      </c>
      <c r="M1376">
        <v>240</v>
      </c>
      <c r="N1376">
        <f t="shared" si="359"/>
        <v>359</v>
      </c>
    </row>
    <row r="1377" spans="1:14" x14ac:dyDescent="0.2">
      <c r="A1377" t="s">
        <v>1967</v>
      </c>
      <c r="B1377" s="1" t="s">
        <v>1930</v>
      </c>
      <c r="C1377" t="s">
        <v>14</v>
      </c>
      <c r="D1377" t="s">
        <v>1089</v>
      </c>
      <c r="E1377">
        <v>6</v>
      </c>
      <c r="F1377" t="s">
        <v>1901</v>
      </c>
      <c r="G1377">
        <v>2022</v>
      </c>
      <c r="H1377" t="s">
        <v>104</v>
      </c>
      <c r="I1377" t="s">
        <v>62</v>
      </c>
      <c r="J1377">
        <v>799</v>
      </c>
      <c r="K1377">
        <v>205</v>
      </c>
      <c r="L1377">
        <f t="shared" si="358"/>
        <v>594</v>
      </c>
      <c r="M1377">
        <v>240</v>
      </c>
      <c r="N1377">
        <f t="shared" si="359"/>
        <v>354</v>
      </c>
    </row>
    <row r="1378" spans="1:14" x14ac:dyDescent="0.2">
      <c r="A1378" t="s">
        <v>1968</v>
      </c>
      <c r="B1378" s="1" t="s">
        <v>1930</v>
      </c>
      <c r="C1378" t="s">
        <v>14</v>
      </c>
      <c r="D1378" t="s">
        <v>1671</v>
      </c>
      <c r="E1378">
        <v>6</v>
      </c>
      <c r="F1378" t="s">
        <v>1901</v>
      </c>
      <c r="G1378">
        <v>2022</v>
      </c>
      <c r="H1378" t="s">
        <v>1969</v>
      </c>
      <c r="I1378" t="s">
        <v>163</v>
      </c>
      <c r="J1378">
        <v>799</v>
      </c>
      <c r="K1378">
        <v>205</v>
      </c>
      <c r="L1378">
        <f t="shared" si="358"/>
        <v>594</v>
      </c>
      <c r="M1378">
        <v>240</v>
      </c>
      <c r="N1378">
        <f t="shared" si="359"/>
        <v>354</v>
      </c>
    </row>
    <row r="1379" spans="1:14" x14ac:dyDescent="0.2">
      <c r="A1379" t="s">
        <v>1970</v>
      </c>
      <c r="B1379" s="1" t="s">
        <v>1930</v>
      </c>
      <c r="C1379" t="s">
        <v>14</v>
      </c>
      <c r="D1379" t="s">
        <v>1971</v>
      </c>
      <c r="E1379">
        <v>6</v>
      </c>
      <c r="F1379" t="s">
        <v>1901</v>
      </c>
      <c r="G1379">
        <v>2022</v>
      </c>
      <c r="H1379" t="s">
        <v>235</v>
      </c>
      <c r="I1379" t="s">
        <v>62</v>
      </c>
      <c r="J1379">
        <v>849</v>
      </c>
      <c r="K1379">
        <v>250</v>
      </c>
      <c r="L1379">
        <f t="shared" si="358"/>
        <v>599</v>
      </c>
      <c r="M1379">
        <v>240</v>
      </c>
      <c r="N1379">
        <f t="shared" si="359"/>
        <v>359</v>
      </c>
    </row>
    <row r="1380" spans="1:14" x14ac:dyDescent="0.2">
      <c r="A1380" t="s">
        <v>1973</v>
      </c>
      <c r="B1380" s="1" t="s">
        <v>1972</v>
      </c>
      <c r="C1380" t="s">
        <v>43</v>
      </c>
      <c r="D1380" t="s">
        <v>1338</v>
      </c>
      <c r="E1380">
        <v>8</v>
      </c>
      <c r="F1380" t="s">
        <v>1901</v>
      </c>
      <c r="G1380">
        <v>2022</v>
      </c>
      <c r="H1380" t="s">
        <v>170</v>
      </c>
      <c r="I1380" t="s">
        <v>171</v>
      </c>
      <c r="J1380">
        <v>0</v>
      </c>
      <c r="K1380">
        <v>0</v>
      </c>
      <c r="L1380">
        <v>0</v>
      </c>
      <c r="M1380">
        <v>0</v>
      </c>
      <c r="N1380">
        <v>0</v>
      </c>
    </row>
    <row r="1381" spans="1:14" x14ac:dyDescent="0.2">
      <c r="A1381" t="s">
        <v>1910</v>
      </c>
      <c r="B1381" s="1" t="s">
        <v>1899</v>
      </c>
      <c r="C1381" t="s">
        <v>106</v>
      </c>
      <c r="D1381" t="s">
        <v>452</v>
      </c>
      <c r="E1381">
        <v>1</v>
      </c>
      <c r="F1381" t="s">
        <v>1901</v>
      </c>
      <c r="G1381">
        <v>2022</v>
      </c>
      <c r="H1381" t="s">
        <v>1152</v>
      </c>
      <c r="I1381" t="s">
        <v>250</v>
      </c>
      <c r="J1381">
        <v>-799</v>
      </c>
      <c r="K1381">
        <v>320</v>
      </c>
      <c r="L1381">
        <f>J1381+K1381</f>
        <v>-479</v>
      </c>
      <c r="M1381">
        <v>240</v>
      </c>
      <c r="N1381">
        <f>L1381+M1381</f>
        <v>-239</v>
      </c>
    </row>
    <row r="1382" spans="1:14" x14ac:dyDescent="0.2">
      <c r="A1382" t="s">
        <v>1974</v>
      </c>
      <c r="B1382" s="1" t="s">
        <v>1960</v>
      </c>
      <c r="C1382" t="s">
        <v>14</v>
      </c>
      <c r="D1382" t="s">
        <v>863</v>
      </c>
      <c r="E1382">
        <v>7</v>
      </c>
      <c r="F1382" t="s">
        <v>1901</v>
      </c>
      <c r="G1382">
        <v>2022</v>
      </c>
      <c r="H1382" t="s">
        <v>1975</v>
      </c>
      <c r="I1382" t="s">
        <v>19</v>
      </c>
      <c r="J1382">
        <v>799</v>
      </c>
      <c r="K1382">
        <v>205</v>
      </c>
      <c r="L1382">
        <f t="shared" ref="L1382:L1388" si="360">J1382-K1382</f>
        <v>594</v>
      </c>
      <c r="M1382">
        <v>240</v>
      </c>
      <c r="N1382">
        <f t="shared" ref="N1382:N1388" si="361">L1382-M1382</f>
        <v>354</v>
      </c>
    </row>
    <row r="1383" spans="1:14" x14ac:dyDescent="0.2">
      <c r="A1383" t="s">
        <v>1976</v>
      </c>
      <c r="B1383" s="1" t="s">
        <v>1972</v>
      </c>
      <c r="C1383" t="s">
        <v>14</v>
      </c>
      <c r="D1383" t="s">
        <v>1977</v>
      </c>
      <c r="E1383">
        <v>8</v>
      </c>
      <c r="F1383" t="s">
        <v>1901</v>
      </c>
      <c r="G1383">
        <v>2022</v>
      </c>
      <c r="H1383" t="s">
        <v>1978</v>
      </c>
      <c r="I1383" t="s">
        <v>23</v>
      </c>
      <c r="J1383">
        <v>799</v>
      </c>
      <c r="K1383">
        <v>205</v>
      </c>
      <c r="L1383">
        <f t="shared" si="360"/>
        <v>594</v>
      </c>
      <c r="M1383">
        <v>240</v>
      </c>
      <c r="N1383">
        <f t="shared" si="361"/>
        <v>354</v>
      </c>
    </row>
    <row r="1384" spans="1:14" x14ac:dyDescent="0.2">
      <c r="A1384" t="s">
        <v>1979</v>
      </c>
      <c r="B1384" s="1" t="s">
        <v>1972</v>
      </c>
      <c r="C1384" t="s">
        <v>14</v>
      </c>
      <c r="D1384" t="s">
        <v>379</v>
      </c>
      <c r="E1384">
        <v>8</v>
      </c>
      <c r="F1384" t="s">
        <v>1901</v>
      </c>
      <c r="G1384">
        <v>2022</v>
      </c>
      <c r="H1384" t="s">
        <v>104</v>
      </c>
      <c r="I1384" t="s">
        <v>62</v>
      </c>
      <c r="J1384">
        <v>799</v>
      </c>
      <c r="K1384">
        <v>205</v>
      </c>
      <c r="L1384">
        <f t="shared" si="360"/>
        <v>594</v>
      </c>
      <c r="M1384">
        <v>240</v>
      </c>
      <c r="N1384">
        <f t="shared" si="361"/>
        <v>354</v>
      </c>
    </row>
    <row r="1385" spans="1:14" x14ac:dyDescent="0.2">
      <c r="A1385" t="s">
        <v>1980</v>
      </c>
      <c r="B1385" s="1" t="s">
        <v>1972</v>
      </c>
      <c r="C1385" t="s">
        <v>14</v>
      </c>
      <c r="D1385" t="s">
        <v>1560</v>
      </c>
      <c r="E1385">
        <v>8</v>
      </c>
      <c r="F1385" t="s">
        <v>1901</v>
      </c>
      <c r="G1385">
        <v>2022</v>
      </c>
      <c r="H1385" t="s">
        <v>157</v>
      </c>
      <c r="I1385" t="s">
        <v>97</v>
      </c>
      <c r="J1385">
        <v>799</v>
      </c>
      <c r="K1385">
        <v>205</v>
      </c>
      <c r="L1385">
        <f t="shared" si="360"/>
        <v>594</v>
      </c>
      <c r="M1385">
        <v>240</v>
      </c>
      <c r="N1385">
        <f t="shared" si="361"/>
        <v>354</v>
      </c>
    </row>
    <row r="1386" spans="1:14" x14ac:dyDescent="0.2">
      <c r="A1386" t="s">
        <v>1981</v>
      </c>
      <c r="B1386" s="1" t="s">
        <v>1960</v>
      </c>
      <c r="C1386" t="s">
        <v>14</v>
      </c>
      <c r="D1386" t="s">
        <v>81</v>
      </c>
      <c r="E1386">
        <v>7</v>
      </c>
      <c r="F1386" t="s">
        <v>1901</v>
      </c>
      <c r="G1386">
        <v>2022</v>
      </c>
      <c r="H1386" t="s">
        <v>235</v>
      </c>
      <c r="I1386" t="s">
        <v>62</v>
      </c>
      <c r="J1386">
        <v>849</v>
      </c>
      <c r="K1386">
        <v>250</v>
      </c>
      <c r="L1386">
        <f t="shared" si="360"/>
        <v>599</v>
      </c>
      <c r="M1386">
        <v>240</v>
      </c>
      <c r="N1386">
        <f t="shared" si="361"/>
        <v>359</v>
      </c>
    </row>
    <row r="1387" spans="1:14" x14ac:dyDescent="0.2">
      <c r="A1387" t="s">
        <v>1982</v>
      </c>
      <c r="B1387" s="1" t="s">
        <v>1972</v>
      </c>
      <c r="C1387" t="s">
        <v>14</v>
      </c>
      <c r="D1387" t="s">
        <v>1977</v>
      </c>
      <c r="E1387">
        <v>8</v>
      </c>
      <c r="F1387" t="s">
        <v>1901</v>
      </c>
      <c r="G1387">
        <v>2022</v>
      </c>
      <c r="H1387" t="s">
        <v>1983</v>
      </c>
      <c r="I1387" t="s">
        <v>122</v>
      </c>
      <c r="J1387">
        <v>799</v>
      </c>
      <c r="K1387">
        <v>205</v>
      </c>
      <c r="L1387">
        <f t="shared" si="360"/>
        <v>594</v>
      </c>
      <c r="M1387">
        <v>240</v>
      </c>
      <c r="N1387">
        <f t="shared" si="361"/>
        <v>354</v>
      </c>
    </row>
    <row r="1388" spans="1:14" x14ac:dyDescent="0.2">
      <c r="A1388" t="s">
        <v>1984</v>
      </c>
      <c r="B1388" s="1" t="s">
        <v>1960</v>
      </c>
      <c r="C1388" t="s">
        <v>14</v>
      </c>
      <c r="D1388" t="s">
        <v>1985</v>
      </c>
      <c r="E1388">
        <v>7</v>
      </c>
      <c r="F1388" t="s">
        <v>1901</v>
      </c>
      <c r="G1388">
        <v>2022</v>
      </c>
      <c r="H1388" t="s">
        <v>84</v>
      </c>
      <c r="I1388" t="s">
        <v>85</v>
      </c>
      <c r="J1388">
        <v>849</v>
      </c>
      <c r="K1388">
        <v>250</v>
      </c>
      <c r="L1388">
        <f t="shared" si="360"/>
        <v>599</v>
      </c>
      <c r="M1388">
        <v>240</v>
      </c>
      <c r="N1388">
        <f t="shared" si="361"/>
        <v>359</v>
      </c>
    </row>
    <row r="1389" spans="1:14" x14ac:dyDescent="0.2">
      <c r="A1389" t="s">
        <v>1912</v>
      </c>
      <c r="B1389" s="1" t="s">
        <v>1903</v>
      </c>
      <c r="C1389" t="s">
        <v>106</v>
      </c>
      <c r="D1389" t="s">
        <v>1089</v>
      </c>
      <c r="E1389">
        <v>2</v>
      </c>
      <c r="F1389" t="s">
        <v>1901</v>
      </c>
      <c r="G1389">
        <v>2022</v>
      </c>
      <c r="H1389" t="s">
        <v>1885</v>
      </c>
      <c r="I1389" t="s">
        <v>62</v>
      </c>
      <c r="J1389">
        <v>-799</v>
      </c>
      <c r="K1389">
        <v>320</v>
      </c>
      <c r="L1389">
        <f>J1389+K1389</f>
        <v>-479</v>
      </c>
      <c r="M1389">
        <v>240</v>
      </c>
      <c r="N1389">
        <f>L1389+M1389</f>
        <v>-239</v>
      </c>
    </row>
    <row r="1390" spans="1:14" x14ac:dyDescent="0.2">
      <c r="A1390" t="s">
        <v>1986</v>
      </c>
      <c r="B1390" s="1" t="s">
        <v>1972</v>
      </c>
      <c r="C1390" t="s">
        <v>14</v>
      </c>
      <c r="D1390" t="s">
        <v>798</v>
      </c>
      <c r="E1390">
        <v>8</v>
      </c>
      <c r="F1390" t="s">
        <v>1901</v>
      </c>
      <c r="G1390">
        <v>2022</v>
      </c>
      <c r="H1390" t="s">
        <v>84</v>
      </c>
      <c r="I1390" t="s">
        <v>85</v>
      </c>
      <c r="J1390">
        <v>799</v>
      </c>
      <c r="K1390">
        <v>205</v>
      </c>
      <c r="L1390">
        <f t="shared" ref="L1390:L1400" si="362">J1390-K1390</f>
        <v>594</v>
      </c>
      <c r="M1390">
        <v>240</v>
      </c>
      <c r="N1390">
        <f t="shared" ref="N1390:N1400" si="363">L1390-M1390</f>
        <v>354</v>
      </c>
    </row>
    <row r="1391" spans="1:14" x14ac:dyDescent="0.2">
      <c r="A1391" t="s">
        <v>1987</v>
      </c>
      <c r="B1391" s="1" t="s">
        <v>1972</v>
      </c>
      <c r="C1391" t="s">
        <v>14</v>
      </c>
      <c r="D1391" t="s">
        <v>1548</v>
      </c>
      <c r="E1391">
        <v>8</v>
      </c>
      <c r="F1391" t="s">
        <v>1901</v>
      </c>
      <c r="G1391">
        <v>2022</v>
      </c>
      <c r="H1391" t="s">
        <v>1148</v>
      </c>
      <c r="I1391" t="s">
        <v>32</v>
      </c>
      <c r="J1391">
        <v>799</v>
      </c>
      <c r="K1391">
        <v>205</v>
      </c>
      <c r="L1391">
        <f t="shared" si="362"/>
        <v>594</v>
      </c>
      <c r="M1391">
        <v>240</v>
      </c>
      <c r="N1391">
        <f t="shared" si="363"/>
        <v>354</v>
      </c>
    </row>
    <row r="1392" spans="1:14" x14ac:dyDescent="0.2">
      <c r="A1392" t="s">
        <v>1988</v>
      </c>
      <c r="B1392" s="1" t="s">
        <v>1972</v>
      </c>
      <c r="C1392" t="s">
        <v>14</v>
      </c>
      <c r="D1392" t="s">
        <v>1720</v>
      </c>
      <c r="E1392">
        <v>8</v>
      </c>
      <c r="F1392" t="s">
        <v>1901</v>
      </c>
      <c r="G1392">
        <v>2022</v>
      </c>
      <c r="H1392" t="s">
        <v>838</v>
      </c>
      <c r="I1392" t="s">
        <v>253</v>
      </c>
      <c r="J1392">
        <v>799</v>
      </c>
      <c r="K1392">
        <v>205</v>
      </c>
      <c r="L1392">
        <f t="shared" si="362"/>
        <v>594</v>
      </c>
      <c r="M1392">
        <v>240</v>
      </c>
      <c r="N1392">
        <f t="shared" si="363"/>
        <v>354</v>
      </c>
    </row>
    <row r="1393" spans="1:14" x14ac:dyDescent="0.2">
      <c r="A1393" t="s">
        <v>1988</v>
      </c>
      <c r="B1393" s="1" t="s">
        <v>1972</v>
      </c>
      <c r="C1393" t="s">
        <v>14</v>
      </c>
      <c r="D1393" t="s">
        <v>448</v>
      </c>
      <c r="E1393">
        <v>8</v>
      </c>
      <c r="F1393" t="s">
        <v>1901</v>
      </c>
      <c r="G1393">
        <v>2022</v>
      </c>
      <c r="H1393" t="s">
        <v>838</v>
      </c>
      <c r="I1393" t="s">
        <v>253</v>
      </c>
      <c r="J1393">
        <v>899</v>
      </c>
      <c r="K1393">
        <v>295</v>
      </c>
      <c r="L1393">
        <f t="shared" si="362"/>
        <v>604</v>
      </c>
      <c r="M1393">
        <v>240</v>
      </c>
      <c r="N1393">
        <f t="shared" si="363"/>
        <v>364</v>
      </c>
    </row>
    <row r="1394" spans="1:14" x14ac:dyDescent="0.2">
      <c r="A1394" t="s">
        <v>1989</v>
      </c>
      <c r="B1394" s="1" t="s">
        <v>1972</v>
      </c>
      <c r="C1394" t="s">
        <v>14</v>
      </c>
      <c r="D1394" t="s">
        <v>452</v>
      </c>
      <c r="E1394">
        <v>8</v>
      </c>
      <c r="F1394" t="s">
        <v>1901</v>
      </c>
      <c r="G1394">
        <v>2022</v>
      </c>
      <c r="H1394" t="s">
        <v>235</v>
      </c>
      <c r="I1394" t="s">
        <v>62</v>
      </c>
      <c r="J1394">
        <v>799</v>
      </c>
      <c r="K1394">
        <v>205</v>
      </c>
      <c r="L1394">
        <f t="shared" si="362"/>
        <v>594</v>
      </c>
      <c r="M1394">
        <v>240</v>
      </c>
      <c r="N1394">
        <f t="shared" si="363"/>
        <v>354</v>
      </c>
    </row>
    <row r="1395" spans="1:14" x14ac:dyDescent="0.2">
      <c r="A1395" t="s">
        <v>1990</v>
      </c>
      <c r="B1395" s="1" t="s">
        <v>1972</v>
      </c>
      <c r="C1395" t="s">
        <v>14</v>
      </c>
      <c r="D1395" t="s">
        <v>890</v>
      </c>
      <c r="E1395">
        <v>8</v>
      </c>
      <c r="F1395" t="s">
        <v>1901</v>
      </c>
      <c r="G1395">
        <v>2022</v>
      </c>
      <c r="H1395" t="s">
        <v>1991</v>
      </c>
      <c r="I1395" t="s">
        <v>23</v>
      </c>
      <c r="J1395">
        <v>849</v>
      </c>
      <c r="K1395">
        <v>250</v>
      </c>
      <c r="L1395">
        <f t="shared" si="362"/>
        <v>599</v>
      </c>
      <c r="M1395">
        <v>240</v>
      </c>
      <c r="N1395">
        <f t="shared" si="363"/>
        <v>359</v>
      </c>
    </row>
    <row r="1396" spans="1:14" x14ac:dyDescent="0.2">
      <c r="A1396" t="s">
        <v>1993</v>
      </c>
      <c r="B1396" s="1" t="s">
        <v>1992</v>
      </c>
      <c r="C1396" t="s">
        <v>14</v>
      </c>
      <c r="D1396" t="s">
        <v>308</v>
      </c>
      <c r="E1396">
        <v>9</v>
      </c>
      <c r="F1396" t="s">
        <v>1901</v>
      </c>
      <c r="G1396">
        <v>2022</v>
      </c>
      <c r="H1396" t="s">
        <v>1994</v>
      </c>
      <c r="I1396" t="s">
        <v>28</v>
      </c>
      <c r="J1396">
        <v>899</v>
      </c>
      <c r="K1396">
        <v>295</v>
      </c>
      <c r="L1396">
        <f t="shared" si="362"/>
        <v>604</v>
      </c>
      <c r="M1396">
        <v>240</v>
      </c>
      <c r="N1396">
        <f t="shared" si="363"/>
        <v>364</v>
      </c>
    </row>
    <row r="1397" spans="1:14" x14ac:dyDescent="0.2">
      <c r="A1397" t="s">
        <v>1995</v>
      </c>
      <c r="B1397" s="1" t="s">
        <v>1960</v>
      </c>
      <c r="C1397" t="s">
        <v>14</v>
      </c>
      <c r="D1397" t="s">
        <v>1141</v>
      </c>
      <c r="E1397">
        <v>7</v>
      </c>
      <c r="F1397" t="s">
        <v>1901</v>
      </c>
      <c r="G1397">
        <v>2022</v>
      </c>
      <c r="H1397" t="s">
        <v>263</v>
      </c>
      <c r="I1397" t="s">
        <v>144</v>
      </c>
      <c r="J1397">
        <v>799</v>
      </c>
      <c r="K1397">
        <v>205</v>
      </c>
      <c r="L1397">
        <f t="shared" si="362"/>
        <v>594</v>
      </c>
      <c r="M1397">
        <v>240</v>
      </c>
      <c r="N1397">
        <f t="shared" si="363"/>
        <v>354</v>
      </c>
    </row>
    <row r="1398" spans="1:14" x14ac:dyDescent="0.2">
      <c r="A1398" t="s">
        <v>1996</v>
      </c>
      <c r="B1398" s="1" t="s">
        <v>1972</v>
      </c>
      <c r="C1398" t="s">
        <v>14</v>
      </c>
      <c r="D1398" t="s">
        <v>1486</v>
      </c>
      <c r="E1398">
        <v>8</v>
      </c>
      <c r="F1398" t="s">
        <v>1901</v>
      </c>
      <c r="G1398">
        <v>2022</v>
      </c>
      <c r="H1398" t="s">
        <v>1997</v>
      </c>
      <c r="I1398" t="s">
        <v>250</v>
      </c>
      <c r="J1398">
        <v>999</v>
      </c>
      <c r="K1398">
        <v>325</v>
      </c>
      <c r="L1398">
        <f t="shared" si="362"/>
        <v>674</v>
      </c>
      <c r="M1398">
        <v>240</v>
      </c>
      <c r="N1398">
        <f t="shared" si="363"/>
        <v>434</v>
      </c>
    </row>
    <row r="1399" spans="1:14" x14ac:dyDescent="0.2">
      <c r="A1399" t="s">
        <v>1998</v>
      </c>
      <c r="B1399" s="1" t="s">
        <v>1972</v>
      </c>
      <c r="C1399" t="s">
        <v>14</v>
      </c>
      <c r="D1399" t="s">
        <v>1999</v>
      </c>
      <c r="E1399">
        <v>8</v>
      </c>
      <c r="F1399" t="s">
        <v>1901</v>
      </c>
      <c r="G1399">
        <v>2022</v>
      </c>
      <c r="H1399" t="s">
        <v>101</v>
      </c>
      <c r="I1399" t="s">
        <v>62</v>
      </c>
      <c r="J1399">
        <v>849</v>
      </c>
      <c r="K1399">
        <v>250</v>
      </c>
      <c r="L1399">
        <f t="shared" si="362"/>
        <v>599</v>
      </c>
      <c r="M1399">
        <v>240</v>
      </c>
      <c r="N1399">
        <f t="shared" si="363"/>
        <v>359</v>
      </c>
    </row>
    <row r="1400" spans="1:14" x14ac:dyDescent="0.2">
      <c r="A1400" t="s">
        <v>2000</v>
      </c>
      <c r="B1400" s="1" t="s">
        <v>1972</v>
      </c>
      <c r="C1400" t="s">
        <v>14</v>
      </c>
      <c r="D1400" t="s">
        <v>70</v>
      </c>
      <c r="E1400">
        <v>8</v>
      </c>
      <c r="F1400" t="s">
        <v>1901</v>
      </c>
      <c r="G1400">
        <v>2022</v>
      </c>
      <c r="H1400" t="s">
        <v>2001</v>
      </c>
      <c r="I1400" t="s">
        <v>122</v>
      </c>
      <c r="J1400">
        <v>849</v>
      </c>
      <c r="K1400">
        <v>250</v>
      </c>
      <c r="L1400">
        <f t="shared" si="362"/>
        <v>599</v>
      </c>
      <c r="M1400">
        <v>240</v>
      </c>
      <c r="N1400">
        <f t="shared" si="363"/>
        <v>359</v>
      </c>
    </row>
    <row r="1401" spans="1:14" x14ac:dyDescent="0.2">
      <c r="A1401" t="s">
        <v>2003</v>
      </c>
      <c r="B1401" s="1" t="s">
        <v>2002</v>
      </c>
      <c r="C1401" t="s">
        <v>43</v>
      </c>
      <c r="D1401" t="s">
        <v>448</v>
      </c>
      <c r="E1401">
        <v>11</v>
      </c>
      <c r="F1401" t="s">
        <v>1901</v>
      </c>
      <c r="G1401">
        <v>2022</v>
      </c>
      <c r="H1401" t="s">
        <v>1245</v>
      </c>
      <c r="I1401" t="s">
        <v>502</v>
      </c>
      <c r="J1401">
        <v>0</v>
      </c>
      <c r="K1401">
        <v>0</v>
      </c>
      <c r="L1401">
        <v>0</v>
      </c>
      <c r="M1401">
        <v>0</v>
      </c>
      <c r="N1401">
        <v>0</v>
      </c>
    </row>
    <row r="1402" spans="1:14" x14ac:dyDescent="0.2">
      <c r="A1402" t="s">
        <v>2003</v>
      </c>
      <c r="B1402" s="1" t="s">
        <v>2002</v>
      </c>
      <c r="C1402" t="s">
        <v>43</v>
      </c>
      <c r="D1402" t="s">
        <v>1495</v>
      </c>
      <c r="E1402">
        <v>11</v>
      </c>
      <c r="F1402" t="s">
        <v>1901</v>
      </c>
      <c r="G1402">
        <v>2022</v>
      </c>
      <c r="H1402" t="s">
        <v>1245</v>
      </c>
      <c r="I1402" t="s">
        <v>502</v>
      </c>
      <c r="J1402">
        <v>0</v>
      </c>
      <c r="K1402">
        <v>0</v>
      </c>
      <c r="L1402">
        <v>0</v>
      </c>
      <c r="M1402">
        <v>0</v>
      </c>
      <c r="N1402">
        <v>0</v>
      </c>
    </row>
    <row r="1403" spans="1:14" x14ac:dyDescent="0.2">
      <c r="A1403" t="s">
        <v>2004</v>
      </c>
      <c r="B1403" s="1" t="s">
        <v>1992</v>
      </c>
      <c r="C1403" t="s">
        <v>14</v>
      </c>
      <c r="D1403" t="s">
        <v>2005</v>
      </c>
      <c r="E1403">
        <v>9</v>
      </c>
      <c r="F1403" t="s">
        <v>1901</v>
      </c>
      <c r="G1403">
        <v>2022</v>
      </c>
      <c r="H1403" t="s">
        <v>2006</v>
      </c>
      <c r="I1403" t="s">
        <v>160</v>
      </c>
      <c r="J1403">
        <v>799</v>
      </c>
      <c r="K1403">
        <v>205</v>
      </c>
      <c r="L1403">
        <f>J1403-K1403</f>
        <v>594</v>
      </c>
      <c r="M1403">
        <v>240</v>
      </c>
      <c r="N1403">
        <f>L1403-M1403</f>
        <v>354</v>
      </c>
    </row>
    <row r="1404" spans="1:14" x14ac:dyDescent="0.2">
      <c r="A1404" t="s">
        <v>2008</v>
      </c>
      <c r="B1404" s="1" t="s">
        <v>2007</v>
      </c>
      <c r="C1404" t="s">
        <v>20</v>
      </c>
      <c r="D1404" t="s">
        <v>1338</v>
      </c>
      <c r="E1404">
        <v>10</v>
      </c>
      <c r="F1404" t="s">
        <v>1901</v>
      </c>
      <c r="G1404">
        <v>2022</v>
      </c>
      <c r="H1404" t="s">
        <v>1942</v>
      </c>
      <c r="I1404" t="s">
        <v>32</v>
      </c>
      <c r="J1404">
        <v>0</v>
      </c>
      <c r="K1404">
        <v>0</v>
      </c>
      <c r="L1404">
        <v>0</v>
      </c>
      <c r="M1404">
        <v>0</v>
      </c>
      <c r="N1404">
        <v>0</v>
      </c>
    </row>
    <row r="1405" spans="1:14" x14ac:dyDescent="0.2">
      <c r="A1405" t="s">
        <v>2009</v>
      </c>
      <c r="B1405" s="1" t="s">
        <v>1992</v>
      </c>
      <c r="C1405" t="s">
        <v>14</v>
      </c>
      <c r="D1405" t="s">
        <v>504</v>
      </c>
      <c r="E1405">
        <v>9</v>
      </c>
      <c r="F1405" t="s">
        <v>1901</v>
      </c>
      <c r="G1405">
        <v>2022</v>
      </c>
      <c r="H1405" t="s">
        <v>1048</v>
      </c>
      <c r="I1405" t="s">
        <v>28</v>
      </c>
      <c r="J1405">
        <v>899</v>
      </c>
      <c r="K1405">
        <v>295</v>
      </c>
      <c r="L1405">
        <f t="shared" ref="L1405:L1407" si="364">J1405-K1405</f>
        <v>604</v>
      </c>
      <c r="M1405">
        <v>240</v>
      </c>
      <c r="N1405">
        <f t="shared" ref="N1405:N1407" si="365">L1405-M1405</f>
        <v>364</v>
      </c>
    </row>
    <row r="1406" spans="1:14" x14ac:dyDescent="0.2">
      <c r="A1406" t="s">
        <v>2010</v>
      </c>
      <c r="B1406" s="1" t="s">
        <v>1992</v>
      </c>
      <c r="C1406" t="s">
        <v>14</v>
      </c>
      <c r="D1406" t="s">
        <v>993</v>
      </c>
      <c r="E1406">
        <v>9</v>
      </c>
      <c r="F1406" t="s">
        <v>1901</v>
      </c>
      <c r="G1406">
        <v>2022</v>
      </c>
      <c r="H1406" t="s">
        <v>882</v>
      </c>
      <c r="I1406" t="s">
        <v>883</v>
      </c>
      <c r="J1406">
        <v>799</v>
      </c>
      <c r="K1406">
        <v>205</v>
      </c>
      <c r="L1406">
        <f t="shared" si="364"/>
        <v>594</v>
      </c>
      <c r="M1406">
        <v>240</v>
      </c>
      <c r="N1406">
        <f t="shared" si="365"/>
        <v>354</v>
      </c>
    </row>
    <row r="1407" spans="1:14" x14ac:dyDescent="0.2">
      <c r="A1407" t="s">
        <v>2011</v>
      </c>
      <c r="B1407" s="1" t="s">
        <v>1992</v>
      </c>
      <c r="C1407" t="s">
        <v>14</v>
      </c>
      <c r="D1407" t="s">
        <v>81</v>
      </c>
      <c r="E1407">
        <v>9</v>
      </c>
      <c r="F1407" t="s">
        <v>1901</v>
      </c>
      <c r="G1407">
        <v>2022</v>
      </c>
      <c r="H1407" t="s">
        <v>2012</v>
      </c>
      <c r="I1407" t="s">
        <v>19</v>
      </c>
      <c r="J1407">
        <v>849</v>
      </c>
      <c r="K1407">
        <v>250</v>
      </c>
      <c r="L1407">
        <f t="shared" si="364"/>
        <v>599</v>
      </c>
      <c r="M1407">
        <v>240</v>
      </c>
      <c r="N1407">
        <f t="shared" si="365"/>
        <v>359</v>
      </c>
    </row>
    <row r="1408" spans="1:14" x14ac:dyDescent="0.2">
      <c r="A1408" t="s">
        <v>2013</v>
      </c>
      <c r="B1408" s="1" t="s">
        <v>1992</v>
      </c>
      <c r="C1408" t="s">
        <v>20</v>
      </c>
      <c r="D1408" t="s">
        <v>380</v>
      </c>
      <c r="E1408">
        <v>9</v>
      </c>
      <c r="F1408" t="s">
        <v>1901</v>
      </c>
      <c r="G1408">
        <v>2022</v>
      </c>
      <c r="H1408" t="s">
        <v>965</v>
      </c>
      <c r="I1408" t="s">
        <v>122</v>
      </c>
      <c r="J1408">
        <v>0</v>
      </c>
      <c r="K1408">
        <v>0</v>
      </c>
      <c r="L1408">
        <v>0</v>
      </c>
      <c r="M1408">
        <v>0</v>
      </c>
      <c r="N1408">
        <v>0</v>
      </c>
    </row>
    <row r="1409" spans="1:14" x14ac:dyDescent="0.2">
      <c r="A1409" t="s">
        <v>2014</v>
      </c>
      <c r="B1409" s="1" t="s">
        <v>2007</v>
      </c>
      <c r="C1409" t="s">
        <v>14</v>
      </c>
      <c r="D1409" t="s">
        <v>1539</v>
      </c>
      <c r="E1409">
        <v>10</v>
      </c>
      <c r="F1409" t="s">
        <v>1901</v>
      </c>
      <c r="G1409">
        <v>2022</v>
      </c>
      <c r="H1409" t="s">
        <v>173</v>
      </c>
      <c r="I1409" t="s">
        <v>62</v>
      </c>
      <c r="J1409">
        <v>799</v>
      </c>
      <c r="K1409">
        <v>205</v>
      </c>
      <c r="L1409">
        <f t="shared" ref="L1409:L1412" si="366">J1409-K1409</f>
        <v>594</v>
      </c>
      <c r="M1409">
        <v>240</v>
      </c>
      <c r="N1409">
        <f t="shared" ref="N1409:N1412" si="367">L1409-M1409</f>
        <v>354</v>
      </c>
    </row>
    <row r="1410" spans="1:14" x14ac:dyDescent="0.2">
      <c r="A1410" t="s">
        <v>2015</v>
      </c>
      <c r="B1410" s="1" t="s">
        <v>1992</v>
      </c>
      <c r="C1410" t="s">
        <v>14</v>
      </c>
      <c r="D1410" t="s">
        <v>1495</v>
      </c>
      <c r="E1410">
        <v>9</v>
      </c>
      <c r="F1410" t="s">
        <v>1901</v>
      </c>
      <c r="G1410">
        <v>2022</v>
      </c>
      <c r="H1410" t="s">
        <v>2016</v>
      </c>
      <c r="I1410" t="s">
        <v>23</v>
      </c>
      <c r="J1410">
        <v>799</v>
      </c>
      <c r="K1410">
        <v>205</v>
      </c>
      <c r="L1410">
        <f t="shared" si="366"/>
        <v>594</v>
      </c>
      <c r="M1410">
        <v>240</v>
      </c>
      <c r="N1410">
        <f t="shared" si="367"/>
        <v>354</v>
      </c>
    </row>
    <row r="1411" spans="1:14" x14ac:dyDescent="0.2">
      <c r="A1411" t="s">
        <v>2017</v>
      </c>
      <c r="B1411" s="1" t="s">
        <v>1972</v>
      </c>
      <c r="C1411" t="s">
        <v>14</v>
      </c>
      <c r="D1411" t="s">
        <v>993</v>
      </c>
      <c r="E1411">
        <v>8</v>
      </c>
      <c r="F1411" t="s">
        <v>1901</v>
      </c>
      <c r="G1411">
        <v>2022</v>
      </c>
      <c r="H1411" t="s">
        <v>157</v>
      </c>
      <c r="I1411" t="s">
        <v>97</v>
      </c>
      <c r="J1411">
        <v>799</v>
      </c>
      <c r="K1411">
        <v>205</v>
      </c>
      <c r="L1411">
        <f t="shared" si="366"/>
        <v>594</v>
      </c>
      <c r="M1411">
        <v>240</v>
      </c>
      <c r="N1411">
        <f t="shared" si="367"/>
        <v>354</v>
      </c>
    </row>
    <row r="1412" spans="1:14" x14ac:dyDescent="0.2">
      <c r="A1412" t="s">
        <v>2018</v>
      </c>
      <c r="B1412" s="1" t="s">
        <v>1972</v>
      </c>
      <c r="C1412" t="s">
        <v>14</v>
      </c>
      <c r="D1412" t="s">
        <v>448</v>
      </c>
      <c r="E1412">
        <v>8</v>
      </c>
      <c r="F1412" t="s">
        <v>1901</v>
      </c>
      <c r="G1412">
        <v>2022</v>
      </c>
      <c r="H1412" t="s">
        <v>2019</v>
      </c>
      <c r="I1412" t="s">
        <v>2020</v>
      </c>
      <c r="J1412">
        <v>899</v>
      </c>
      <c r="K1412">
        <v>295</v>
      </c>
      <c r="L1412">
        <f t="shared" si="366"/>
        <v>604</v>
      </c>
      <c r="M1412">
        <v>240</v>
      </c>
      <c r="N1412">
        <f t="shared" si="367"/>
        <v>364</v>
      </c>
    </row>
    <row r="1413" spans="1:14" x14ac:dyDescent="0.2">
      <c r="A1413" t="s">
        <v>1926</v>
      </c>
      <c r="B1413" s="1" t="s">
        <v>1903</v>
      </c>
      <c r="C1413" t="s">
        <v>106</v>
      </c>
      <c r="D1413" t="s">
        <v>420</v>
      </c>
      <c r="E1413">
        <v>2</v>
      </c>
      <c r="F1413" t="s">
        <v>1901</v>
      </c>
      <c r="G1413">
        <v>2022</v>
      </c>
      <c r="H1413" t="s">
        <v>173</v>
      </c>
      <c r="I1413" t="s">
        <v>62</v>
      </c>
      <c r="J1413">
        <v>-899</v>
      </c>
      <c r="K1413">
        <v>375</v>
      </c>
      <c r="L1413">
        <f>J1413+K1413</f>
        <v>-524</v>
      </c>
      <c r="M1413">
        <v>240</v>
      </c>
      <c r="N1413">
        <f>L1413+M1413</f>
        <v>-284</v>
      </c>
    </row>
    <row r="1414" spans="1:14" x14ac:dyDescent="0.2">
      <c r="A1414" t="s">
        <v>2021</v>
      </c>
      <c r="B1414" s="1" t="s">
        <v>2002</v>
      </c>
      <c r="C1414" t="s">
        <v>43</v>
      </c>
      <c r="D1414" t="s">
        <v>940</v>
      </c>
      <c r="E1414">
        <v>11</v>
      </c>
      <c r="F1414" t="s">
        <v>1901</v>
      </c>
      <c r="G1414">
        <v>2022</v>
      </c>
      <c r="H1414" t="s">
        <v>84</v>
      </c>
      <c r="I1414" t="s">
        <v>85</v>
      </c>
      <c r="J1414">
        <v>0</v>
      </c>
      <c r="K1414">
        <v>0</v>
      </c>
      <c r="L1414">
        <v>0</v>
      </c>
      <c r="M1414">
        <v>0</v>
      </c>
      <c r="N1414">
        <v>0</v>
      </c>
    </row>
    <row r="1415" spans="1:14" x14ac:dyDescent="0.2">
      <c r="A1415" t="s">
        <v>2022</v>
      </c>
      <c r="B1415" s="1" t="s">
        <v>2002</v>
      </c>
      <c r="C1415" t="s">
        <v>43</v>
      </c>
      <c r="D1415" t="s">
        <v>904</v>
      </c>
      <c r="E1415">
        <v>11</v>
      </c>
      <c r="F1415" t="s">
        <v>1901</v>
      </c>
      <c r="G1415">
        <v>2022</v>
      </c>
      <c r="H1415" t="s">
        <v>91</v>
      </c>
      <c r="I1415" t="s">
        <v>23</v>
      </c>
      <c r="J1415">
        <v>0</v>
      </c>
      <c r="K1415">
        <v>0</v>
      </c>
      <c r="L1415">
        <v>0</v>
      </c>
      <c r="M1415">
        <v>0</v>
      </c>
      <c r="N1415">
        <v>0</v>
      </c>
    </row>
    <row r="1416" spans="1:14" x14ac:dyDescent="0.2">
      <c r="A1416" t="s">
        <v>1925</v>
      </c>
      <c r="B1416" s="1" t="s">
        <v>1922</v>
      </c>
      <c r="C1416" t="s">
        <v>106</v>
      </c>
      <c r="D1416" t="s">
        <v>665</v>
      </c>
      <c r="E1416">
        <v>3</v>
      </c>
      <c r="F1416" t="s">
        <v>1901</v>
      </c>
      <c r="G1416">
        <v>2022</v>
      </c>
      <c r="H1416" t="s">
        <v>579</v>
      </c>
      <c r="I1416" t="s">
        <v>62</v>
      </c>
      <c r="J1416">
        <v>-799</v>
      </c>
      <c r="K1416">
        <v>320</v>
      </c>
      <c r="L1416">
        <f>J1416+K1416</f>
        <v>-479</v>
      </c>
      <c r="M1416">
        <v>240</v>
      </c>
      <c r="N1416">
        <f>L1416+M1416</f>
        <v>-239</v>
      </c>
    </row>
    <row r="1417" spans="1:14" x14ac:dyDescent="0.2">
      <c r="A1417" t="s">
        <v>2024</v>
      </c>
      <c r="B1417" s="1" t="s">
        <v>2023</v>
      </c>
      <c r="C1417" t="s">
        <v>43</v>
      </c>
      <c r="D1417" t="s">
        <v>1508</v>
      </c>
      <c r="E1417">
        <v>12</v>
      </c>
      <c r="F1417" t="s">
        <v>1901</v>
      </c>
      <c r="G1417">
        <v>2022</v>
      </c>
      <c r="H1417" t="s">
        <v>170</v>
      </c>
      <c r="I1417" t="s">
        <v>171</v>
      </c>
      <c r="J1417">
        <v>0</v>
      </c>
      <c r="K1417">
        <v>0</v>
      </c>
      <c r="L1417">
        <v>0</v>
      </c>
      <c r="M1417">
        <v>0</v>
      </c>
      <c r="N1417">
        <v>0</v>
      </c>
    </row>
    <row r="1418" spans="1:14" x14ac:dyDescent="0.2">
      <c r="A1418" t="s">
        <v>2025</v>
      </c>
      <c r="B1418" s="1" t="s">
        <v>1992</v>
      </c>
      <c r="C1418" t="s">
        <v>14</v>
      </c>
      <c r="D1418" t="s">
        <v>1508</v>
      </c>
      <c r="E1418">
        <v>9</v>
      </c>
      <c r="F1418" t="s">
        <v>1901</v>
      </c>
      <c r="G1418">
        <v>2022</v>
      </c>
      <c r="H1418" t="s">
        <v>170</v>
      </c>
      <c r="I1418" t="s">
        <v>171</v>
      </c>
      <c r="J1418">
        <v>999</v>
      </c>
      <c r="K1418">
        <v>325</v>
      </c>
      <c r="L1418">
        <f t="shared" ref="L1418:L1429" si="368">J1418-K1418</f>
        <v>674</v>
      </c>
      <c r="M1418">
        <v>240</v>
      </c>
      <c r="N1418">
        <f t="shared" ref="N1418:N1429" si="369">L1418-M1418</f>
        <v>434</v>
      </c>
    </row>
    <row r="1419" spans="1:14" x14ac:dyDescent="0.2">
      <c r="A1419" t="s">
        <v>2026</v>
      </c>
      <c r="B1419" s="1" t="s">
        <v>2007</v>
      </c>
      <c r="C1419" t="s">
        <v>14</v>
      </c>
      <c r="D1419" t="s">
        <v>1144</v>
      </c>
      <c r="E1419">
        <v>10</v>
      </c>
      <c r="F1419" t="s">
        <v>1901</v>
      </c>
      <c r="G1419">
        <v>2022</v>
      </c>
      <c r="H1419" t="s">
        <v>2027</v>
      </c>
      <c r="I1419" t="s">
        <v>85</v>
      </c>
      <c r="J1419">
        <v>799</v>
      </c>
      <c r="K1419">
        <v>205</v>
      </c>
      <c r="L1419">
        <f t="shared" si="368"/>
        <v>594</v>
      </c>
      <c r="M1419">
        <v>240</v>
      </c>
      <c r="N1419">
        <f t="shared" si="369"/>
        <v>354</v>
      </c>
    </row>
    <row r="1420" spans="1:14" x14ac:dyDescent="0.2">
      <c r="A1420" t="s">
        <v>2028</v>
      </c>
      <c r="B1420" s="1" t="s">
        <v>2002</v>
      </c>
      <c r="C1420" t="s">
        <v>14</v>
      </c>
      <c r="D1420" t="s">
        <v>1089</v>
      </c>
      <c r="E1420">
        <v>11</v>
      </c>
      <c r="F1420" t="s">
        <v>1901</v>
      </c>
      <c r="G1420">
        <v>2022</v>
      </c>
      <c r="H1420" t="s">
        <v>2029</v>
      </c>
      <c r="I1420" t="s">
        <v>23</v>
      </c>
      <c r="J1420">
        <v>799</v>
      </c>
      <c r="K1420">
        <v>205</v>
      </c>
      <c r="L1420">
        <f t="shared" si="368"/>
        <v>594</v>
      </c>
      <c r="M1420">
        <v>240</v>
      </c>
      <c r="N1420">
        <f t="shared" si="369"/>
        <v>354</v>
      </c>
    </row>
    <row r="1421" spans="1:14" x14ac:dyDescent="0.2">
      <c r="A1421" t="s">
        <v>2030</v>
      </c>
      <c r="B1421" s="1" t="s">
        <v>2007</v>
      </c>
      <c r="C1421" t="s">
        <v>14</v>
      </c>
      <c r="D1421" t="s">
        <v>2031</v>
      </c>
      <c r="E1421">
        <v>10</v>
      </c>
      <c r="F1421" t="s">
        <v>1901</v>
      </c>
      <c r="G1421">
        <v>2022</v>
      </c>
      <c r="H1421" t="s">
        <v>2032</v>
      </c>
      <c r="I1421" t="s">
        <v>58</v>
      </c>
      <c r="J1421">
        <v>799</v>
      </c>
      <c r="K1421">
        <v>205</v>
      </c>
      <c r="L1421">
        <f t="shared" si="368"/>
        <v>594</v>
      </c>
      <c r="M1421">
        <v>240</v>
      </c>
      <c r="N1421">
        <f t="shared" si="369"/>
        <v>354</v>
      </c>
    </row>
    <row r="1422" spans="1:14" x14ac:dyDescent="0.2">
      <c r="A1422" t="s">
        <v>2033</v>
      </c>
      <c r="B1422" s="1" t="s">
        <v>2007</v>
      </c>
      <c r="C1422" t="s">
        <v>14</v>
      </c>
      <c r="D1422" t="s">
        <v>890</v>
      </c>
      <c r="E1422">
        <v>10</v>
      </c>
      <c r="F1422" t="s">
        <v>1901</v>
      </c>
      <c r="G1422">
        <v>2022</v>
      </c>
      <c r="H1422" t="s">
        <v>157</v>
      </c>
      <c r="I1422" t="s">
        <v>97</v>
      </c>
      <c r="J1422">
        <v>849</v>
      </c>
      <c r="K1422">
        <v>250</v>
      </c>
      <c r="L1422">
        <f t="shared" si="368"/>
        <v>599</v>
      </c>
      <c r="M1422">
        <v>240</v>
      </c>
      <c r="N1422">
        <f t="shared" si="369"/>
        <v>359</v>
      </c>
    </row>
    <row r="1423" spans="1:14" x14ac:dyDescent="0.2">
      <c r="A1423" t="s">
        <v>2034</v>
      </c>
      <c r="B1423" s="1" t="s">
        <v>2007</v>
      </c>
      <c r="C1423" t="s">
        <v>14</v>
      </c>
      <c r="D1423" t="s">
        <v>786</v>
      </c>
      <c r="E1423">
        <v>10</v>
      </c>
      <c r="F1423" t="s">
        <v>1901</v>
      </c>
      <c r="G1423">
        <v>2022</v>
      </c>
      <c r="H1423" t="s">
        <v>157</v>
      </c>
      <c r="I1423" t="s">
        <v>97</v>
      </c>
      <c r="J1423">
        <v>799</v>
      </c>
      <c r="K1423">
        <v>205</v>
      </c>
      <c r="L1423">
        <f t="shared" si="368"/>
        <v>594</v>
      </c>
      <c r="M1423">
        <v>240</v>
      </c>
      <c r="N1423">
        <f t="shared" si="369"/>
        <v>354</v>
      </c>
    </row>
    <row r="1424" spans="1:14" x14ac:dyDescent="0.2">
      <c r="A1424" t="s">
        <v>2035</v>
      </c>
      <c r="B1424" s="1" t="s">
        <v>2002</v>
      </c>
      <c r="C1424" t="s">
        <v>14</v>
      </c>
      <c r="D1424" t="s">
        <v>425</v>
      </c>
      <c r="E1424">
        <v>11</v>
      </c>
      <c r="F1424" t="s">
        <v>1901</v>
      </c>
      <c r="G1424">
        <v>2022</v>
      </c>
      <c r="H1424" t="s">
        <v>2036</v>
      </c>
      <c r="I1424" t="s">
        <v>58</v>
      </c>
      <c r="J1424">
        <v>799</v>
      </c>
      <c r="K1424">
        <v>205</v>
      </c>
      <c r="L1424">
        <f t="shared" si="368"/>
        <v>594</v>
      </c>
      <c r="M1424">
        <v>240</v>
      </c>
      <c r="N1424">
        <f t="shared" si="369"/>
        <v>354</v>
      </c>
    </row>
    <row r="1425" spans="1:14" x14ac:dyDescent="0.2">
      <c r="A1425" t="s">
        <v>2037</v>
      </c>
      <c r="B1425" s="1" t="s">
        <v>2007</v>
      </c>
      <c r="C1425" t="s">
        <v>14</v>
      </c>
      <c r="D1425" t="s">
        <v>1228</v>
      </c>
      <c r="E1425">
        <v>10</v>
      </c>
      <c r="F1425" t="s">
        <v>1901</v>
      </c>
      <c r="G1425">
        <v>2022</v>
      </c>
      <c r="H1425" t="s">
        <v>1408</v>
      </c>
      <c r="I1425" t="s">
        <v>23</v>
      </c>
      <c r="J1425">
        <v>799</v>
      </c>
      <c r="K1425">
        <v>205</v>
      </c>
      <c r="L1425">
        <f t="shared" si="368"/>
        <v>594</v>
      </c>
      <c r="M1425">
        <v>240</v>
      </c>
      <c r="N1425">
        <f t="shared" si="369"/>
        <v>354</v>
      </c>
    </row>
    <row r="1426" spans="1:14" x14ac:dyDescent="0.2">
      <c r="A1426" t="s">
        <v>2038</v>
      </c>
      <c r="B1426" s="1" t="s">
        <v>1992</v>
      </c>
      <c r="C1426" t="s">
        <v>14</v>
      </c>
      <c r="D1426" t="s">
        <v>504</v>
      </c>
      <c r="E1426">
        <v>9</v>
      </c>
      <c r="F1426" t="s">
        <v>1901</v>
      </c>
      <c r="G1426">
        <v>2022</v>
      </c>
      <c r="H1426" t="s">
        <v>616</v>
      </c>
      <c r="I1426" t="s">
        <v>85</v>
      </c>
      <c r="J1426">
        <v>899</v>
      </c>
      <c r="K1426">
        <v>295</v>
      </c>
      <c r="L1426">
        <f t="shared" si="368"/>
        <v>604</v>
      </c>
      <c r="M1426">
        <v>240</v>
      </c>
      <c r="N1426">
        <f t="shared" si="369"/>
        <v>364</v>
      </c>
    </row>
    <row r="1427" spans="1:14" x14ac:dyDescent="0.2">
      <c r="A1427" t="s">
        <v>2039</v>
      </c>
      <c r="B1427" s="1" t="s">
        <v>2007</v>
      </c>
      <c r="C1427" t="s">
        <v>14</v>
      </c>
      <c r="D1427" t="s">
        <v>452</v>
      </c>
      <c r="E1427">
        <v>10</v>
      </c>
      <c r="F1427" t="s">
        <v>1901</v>
      </c>
      <c r="G1427">
        <v>2022</v>
      </c>
      <c r="H1427" t="s">
        <v>205</v>
      </c>
      <c r="I1427" t="s">
        <v>23</v>
      </c>
      <c r="J1427">
        <v>799</v>
      </c>
      <c r="K1427">
        <v>205</v>
      </c>
      <c r="L1427">
        <f t="shared" si="368"/>
        <v>594</v>
      </c>
      <c r="M1427">
        <v>240</v>
      </c>
      <c r="N1427">
        <f t="shared" si="369"/>
        <v>354</v>
      </c>
    </row>
    <row r="1428" spans="1:14" x14ac:dyDescent="0.2">
      <c r="A1428" t="s">
        <v>2040</v>
      </c>
      <c r="B1428" s="1" t="s">
        <v>2002</v>
      </c>
      <c r="C1428" t="s">
        <v>14</v>
      </c>
      <c r="D1428" t="s">
        <v>81</v>
      </c>
      <c r="E1428">
        <v>11</v>
      </c>
      <c r="F1428" t="s">
        <v>1901</v>
      </c>
      <c r="G1428">
        <v>2022</v>
      </c>
      <c r="H1428" t="s">
        <v>84</v>
      </c>
      <c r="I1428" t="s">
        <v>85</v>
      </c>
      <c r="J1428">
        <v>849</v>
      </c>
      <c r="K1428">
        <v>250</v>
      </c>
      <c r="L1428">
        <f t="shared" si="368"/>
        <v>599</v>
      </c>
      <c r="M1428">
        <v>240</v>
      </c>
      <c r="N1428">
        <f t="shared" si="369"/>
        <v>359</v>
      </c>
    </row>
    <row r="1429" spans="1:14" x14ac:dyDescent="0.2">
      <c r="A1429" t="s">
        <v>2041</v>
      </c>
      <c r="B1429" s="1" t="s">
        <v>2007</v>
      </c>
      <c r="C1429" t="s">
        <v>14</v>
      </c>
      <c r="D1429" t="s">
        <v>81</v>
      </c>
      <c r="E1429">
        <v>10</v>
      </c>
      <c r="F1429" t="s">
        <v>1901</v>
      </c>
      <c r="G1429">
        <v>2022</v>
      </c>
      <c r="H1429" t="s">
        <v>2042</v>
      </c>
      <c r="I1429" t="s">
        <v>171</v>
      </c>
      <c r="J1429">
        <v>849</v>
      </c>
      <c r="K1429">
        <v>250</v>
      </c>
      <c r="L1429">
        <f t="shared" si="368"/>
        <v>599</v>
      </c>
      <c r="M1429">
        <v>240</v>
      </c>
      <c r="N1429">
        <f t="shared" si="369"/>
        <v>359</v>
      </c>
    </row>
    <row r="1430" spans="1:14" x14ac:dyDescent="0.2">
      <c r="A1430" t="s">
        <v>1929</v>
      </c>
      <c r="B1430" s="1" t="s">
        <v>1928</v>
      </c>
      <c r="C1430" t="s">
        <v>106</v>
      </c>
      <c r="D1430" t="s">
        <v>1780</v>
      </c>
      <c r="E1430">
        <v>5</v>
      </c>
      <c r="F1430" t="s">
        <v>1901</v>
      </c>
      <c r="G1430">
        <v>2022</v>
      </c>
      <c r="H1430" t="s">
        <v>1245</v>
      </c>
      <c r="I1430" t="s">
        <v>502</v>
      </c>
      <c r="J1430">
        <v>-799</v>
      </c>
      <c r="K1430">
        <v>320</v>
      </c>
      <c r="L1430">
        <f>J1430+K1430</f>
        <v>-479</v>
      </c>
      <c r="M1430">
        <v>240</v>
      </c>
      <c r="N1430">
        <f>L1430+M1430</f>
        <v>-239</v>
      </c>
    </row>
    <row r="1431" spans="1:14" x14ac:dyDescent="0.2">
      <c r="A1431" t="s">
        <v>2043</v>
      </c>
      <c r="B1431" s="1" t="s">
        <v>2023</v>
      </c>
      <c r="C1431" t="s">
        <v>43</v>
      </c>
      <c r="D1431" t="s">
        <v>133</v>
      </c>
      <c r="E1431">
        <v>12</v>
      </c>
      <c r="F1431" t="s">
        <v>1901</v>
      </c>
      <c r="G1431">
        <v>2022</v>
      </c>
      <c r="H1431" t="s">
        <v>157</v>
      </c>
      <c r="I1431" t="s">
        <v>97</v>
      </c>
      <c r="J1431">
        <v>0</v>
      </c>
      <c r="K1431">
        <v>0</v>
      </c>
      <c r="L1431">
        <v>0</v>
      </c>
      <c r="M1431">
        <v>0</v>
      </c>
      <c r="N1431">
        <v>0</v>
      </c>
    </row>
    <row r="1432" spans="1:14" x14ac:dyDescent="0.2">
      <c r="A1432" t="s">
        <v>1951</v>
      </c>
      <c r="B1432" s="1" t="s">
        <v>1928</v>
      </c>
      <c r="C1432" t="s">
        <v>106</v>
      </c>
      <c r="D1432" t="s">
        <v>445</v>
      </c>
      <c r="E1432">
        <v>5</v>
      </c>
      <c r="F1432" t="s">
        <v>1901</v>
      </c>
      <c r="G1432">
        <v>2022</v>
      </c>
      <c r="H1432" t="s">
        <v>1952</v>
      </c>
      <c r="I1432" t="s">
        <v>212</v>
      </c>
      <c r="J1432">
        <v>-899</v>
      </c>
      <c r="K1432">
        <v>375</v>
      </c>
      <c r="L1432">
        <f t="shared" ref="L1432:L1433" si="370">J1432+K1432</f>
        <v>-524</v>
      </c>
      <c r="M1432">
        <v>240</v>
      </c>
      <c r="N1432">
        <f t="shared" ref="N1432:N1433" si="371">L1432+M1432</f>
        <v>-284</v>
      </c>
    </row>
    <row r="1433" spans="1:14" x14ac:dyDescent="0.2">
      <c r="A1433" t="s">
        <v>1931</v>
      </c>
      <c r="B1433" s="1" t="s">
        <v>1930</v>
      </c>
      <c r="C1433" t="s">
        <v>106</v>
      </c>
      <c r="D1433" t="s">
        <v>895</v>
      </c>
      <c r="E1433">
        <v>6</v>
      </c>
      <c r="F1433" t="s">
        <v>1901</v>
      </c>
      <c r="G1433">
        <v>2022</v>
      </c>
      <c r="H1433" t="s">
        <v>1932</v>
      </c>
      <c r="I1433" t="s">
        <v>135</v>
      </c>
      <c r="J1433">
        <v>-849</v>
      </c>
      <c r="K1433">
        <v>345</v>
      </c>
      <c r="L1433">
        <f t="shared" si="370"/>
        <v>-504</v>
      </c>
      <c r="M1433">
        <v>240</v>
      </c>
      <c r="N1433">
        <f t="shared" si="371"/>
        <v>-264</v>
      </c>
    </row>
    <row r="1434" spans="1:14" x14ac:dyDescent="0.2">
      <c r="A1434" t="s">
        <v>2044</v>
      </c>
      <c r="B1434" s="1" t="s">
        <v>2023</v>
      </c>
      <c r="C1434" t="s">
        <v>43</v>
      </c>
      <c r="D1434" t="s">
        <v>81</v>
      </c>
      <c r="E1434">
        <v>12</v>
      </c>
      <c r="F1434" t="s">
        <v>1901</v>
      </c>
      <c r="G1434">
        <v>2022</v>
      </c>
      <c r="H1434" t="s">
        <v>152</v>
      </c>
      <c r="I1434" t="s">
        <v>253</v>
      </c>
      <c r="J1434">
        <v>0</v>
      </c>
      <c r="K1434">
        <v>0</v>
      </c>
      <c r="L1434">
        <v>0</v>
      </c>
      <c r="M1434">
        <v>0</v>
      </c>
      <c r="N1434">
        <v>0</v>
      </c>
    </row>
    <row r="1435" spans="1:14" x14ac:dyDescent="0.2">
      <c r="A1435" t="s">
        <v>1955</v>
      </c>
      <c r="B1435" s="1" t="s">
        <v>1928</v>
      </c>
      <c r="C1435" t="s">
        <v>106</v>
      </c>
      <c r="D1435" t="s">
        <v>834</v>
      </c>
      <c r="E1435">
        <v>5</v>
      </c>
      <c r="F1435" t="s">
        <v>1901</v>
      </c>
      <c r="G1435">
        <v>2022</v>
      </c>
      <c r="H1435" t="s">
        <v>807</v>
      </c>
      <c r="I1435" t="s">
        <v>28</v>
      </c>
      <c r="J1435">
        <v>-849</v>
      </c>
      <c r="K1435">
        <v>345</v>
      </c>
      <c r="L1435">
        <f>J1435+K1435</f>
        <v>-504</v>
      </c>
      <c r="M1435">
        <v>240</v>
      </c>
      <c r="N1435">
        <f>L1435+M1435</f>
        <v>-264</v>
      </c>
    </row>
    <row r="1436" spans="1:14" x14ac:dyDescent="0.2">
      <c r="A1436" t="s">
        <v>2022</v>
      </c>
      <c r="B1436" s="1" t="s">
        <v>2002</v>
      </c>
      <c r="C1436" t="s">
        <v>14</v>
      </c>
      <c r="D1436" t="s">
        <v>904</v>
      </c>
      <c r="E1436">
        <v>11</v>
      </c>
      <c r="F1436" t="s">
        <v>1901</v>
      </c>
      <c r="G1436">
        <v>2022</v>
      </c>
      <c r="H1436" t="s">
        <v>91</v>
      </c>
      <c r="I1436" t="s">
        <v>23</v>
      </c>
      <c r="J1436">
        <v>799</v>
      </c>
      <c r="K1436">
        <v>205</v>
      </c>
      <c r="L1436">
        <f t="shared" ref="L1436:L1447" si="372">J1436-K1436</f>
        <v>594</v>
      </c>
      <c r="M1436">
        <v>240</v>
      </c>
      <c r="N1436">
        <f t="shared" ref="N1436:N1447" si="373">L1436-M1436</f>
        <v>354</v>
      </c>
    </row>
    <row r="1437" spans="1:14" x14ac:dyDescent="0.2">
      <c r="A1437" t="s">
        <v>2045</v>
      </c>
      <c r="B1437" s="1" t="s">
        <v>2002</v>
      </c>
      <c r="C1437" t="s">
        <v>14</v>
      </c>
      <c r="D1437" t="s">
        <v>81</v>
      </c>
      <c r="E1437">
        <v>11</v>
      </c>
      <c r="F1437" t="s">
        <v>1901</v>
      </c>
      <c r="G1437">
        <v>2022</v>
      </c>
      <c r="H1437" t="s">
        <v>2046</v>
      </c>
      <c r="I1437" t="s">
        <v>85</v>
      </c>
      <c r="J1437">
        <v>849</v>
      </c>
      <c r="K1437">
        <v>250</v>
      </c>
      <c r="L1437">
        <f t="shared" si="372"/>
        <v>599</v>
      </c>
      <c r="M1437">
        <v>240</v>
      </c>
      <c r="N1437">
        <f t="shared" si="373"/>
        <v>359</v>
      </c>
    </row>
    <row r="1438" spans="1:14" x14ac:dyDescent="0.2">
      <c r="A1438" t="s">
        <v>2047</v>
      </c>
      <c r="B1438" s="1" t="s">
        <v>2023</v>
      </c>
      <c r="C1438" t="s">
        <v>14</v>
      </c>
      <c r="D1438" t="s">
        <v>1539</v>
      </c>
      <c r="E1438">
        <v>12</v>
      </c>
      <c r="F1438" t="s">
        <v>1901</v>
      </c>
      <c r="G1438">
        <v>2022</v>
      </c>
      <c r="H1438" t="s">
        <v>101</v>
      </c>
      <c r="I1438" t="s">
        <v>62</v>
      </c>
      <c r="J1438">
        <v>799</v>
      </c>
      <c r="K1438">
        <v>205</v>
      </c>
      <c r="L1438">
        <f t="shared" si="372"/>
        <v>594</v>
      </c>
      <c r="M1438">
        <v>240</v>
      </c>
      <c r="N1438">
        <f t="shared" si="373"/>
        <v>354</v>
      </c>
    </row>
    <row r="1439" spans="1:14" x14ac:dyDescent="0.2">
      <c r="A1439" t="s">
        <v>2048</v>
      </c>
      <c r="B1439" s="1" t="s">
        <v>2002</v>
      </c>
      <c r="C1439" t="s">
        <v>14</v>
      </c>
      <c r="D1439" t="s">
        <v>380</v>
      </c>
      <c r="E1439">
        <v>11</v>
      </c>
      <c r="F1439" t="s">
        <v>1901</v>
      </c>
      <c r="G1439">
        <v>2022</v>
      </c>
      <c r="H1439" t="s">
        <v>2049</v>
      </c>
      <c r="I1439" t="s">
        <v>85</v>
      </c>
      <c r="J1439">
        <v>849</v>
      </c>
      <c r="K1439">
        <v>250</v>
      </c>
      <c r="L1439">
        <f t="shared" si="372"/>
        <v>599</v>
      </c>
      <c r="M1439">
        <v>240</v>
      </c>
      <c r="N1439">
        <f t="shared" si="373"/>
        <v>359</v>
      </c>
    </row>
    <row r="1440" spans="1:14" x14ac:dyDescent="0.2">
      <c r="A1440" t="s">
        <v>2003</v>
      </c>
      <c r="B1440" s="1" t="s">
        <v>2002</v>
      </c>
      <c r="C1440" t="s">
        <v>14</v>
      </c>
      <c r="D1440" t="s">
        <v>1495</v>
      </c>
      <c r="E1440">
        <v>11</v>
      </c>
      <c r="F1440" t="s">
        <v>1901</v>
      </c>
      <c r="G1440">
        <v>2022</v>
      </c>
      <c r="H1440" t="s">
        <v>1245</v>
      </c>
      <c r="I1440" t="s">
        <v>502</v>
      </c>
      <c r="J1440">
        <v>799</v>
      </c>
      <c r="K1440">
        <v>205</v>
      </c>
      <c r="L1440">
        <f t="shared" si="372"/>
        <v>594</v>
      </c>
      <c r="M1440">
        <v>240</v>
      </c>
      <c r="N1440">
        <f t="shared" si="373"/>
        <v>354</v>
      </c>
    </row>
    <row r="1441" spans="1:14" x14ac:dyDescent="0.2">
      <c r="A1441" t="s">
        <v>2003</v>
      </c>
      <c r="B1441" s="1" t="s">
        <v>2002</v>
      </c>
      <c r="C1441" t="s">
        <v>14</v>
      </c>
      <c r="D1441" t="s">
        <v>448</v>
      </c>
      <c r="E1441">
        <v>11</v>
      </c>
      <c r="F1441" t="s">
        <v>1901</v>
      </c>
      <c r="G1441">
        <v>2022</v>
      </c>
      <c r="H1441" t="s">
        <v>1245</v>
      </c>
      <c r="I1441" t="s">
        <v>502</v>
      </c>
      <c r="J1441">
        <v>899</v>
      </c>
      <c r="K1441">
        <v>295</v>
      </c>
      <c r="L1441">
        <f t="shared" si="372"/>
        <v>604</v>
      </c>
      <c r="M1441">
        <v>240</v>
      </c>
      <c r="N1441">
        <f t="shared" si="373"/>
        <v>364</v>
      </c>
    </row>
    <row r="1442" spans="1:14" x14ac:dyDescent="0.2">
      <c r="A1442" t="s">
        <v>2021</v>
      </c>
      <c r="B1442" s="1" t="s">
        <v>2002</v>
      </c>
      <c r="C1442" t="s">
        <v>14</v>
      </c>
      <c r="D1442" t="s">
        <v>940</v>
      </c>
      <c r="E1442">
        <v>11</v>
      </c>
      <c r="F1442" t="s">
        <v>1901</v>
      </c>
      <c r="G1442">
        <v>2022</v>
      </c>
      <c r="H1442" t="s">
        <v>84</v>
      </c>
      <c r="I1442" t="s">
        <v>85</v>
      </c>
      <c r="J1442">
        <v>799</v>
      </c>
      <c r="K1442">
        <v>205</v>
      </c>
      <c r="L1442">
        <f t="shared" si="372"/>
        <v>594</v>
      </c>
      <c r="M1442">
        <v>240</v>
      </c>
      <c r="N1442">
        <f t="shared" si="373"/>
        <v>354</v>
      </c>
    </row>
    <row r="1443" spans="1:14" x14ac:dyDescent="0.2">
      <c r="A1443" t="s">
        <v>2050</v>
      </c>
      <c r="B1443" s="1" t="s">
        <v>2023</v>
      </c>
      <c r="C1443" t="s">
        <v>14</v>
      </c>
      <c r="D1443" t="s">
        <v>940</v>
      </c>
      <c r="E1443">
        <v>12</v>
      </c>
      <c r="F1443" t="s">
        <v>1901</v>
      </c>
      <c r="G1443">
        <v>2022</v>
      </c>
      <c r="H1443" t="s">
        <v>22</v>
      </c>
      <c r="I1443" t="s">
        <v>23</v>
      </c>
      <c r="J1443">
        <v>799</v>
      </c>
      <c r="K1443">
        <v>205</v>
      </c>
      <c r="L1443">
        <f t="shared" si="372"/>
        <v>594</v>
      </c>
      <c r="M1443">
        <v>240</v>
      </c>
      <c r="N1443">
        <f t="shared" si="373"/>
        <v>354</v>
      </c>
    </row>
    <row r="1444" spans="1:14" x14ac:dyDescent="0.2">
      <c r="A1444" t="s">
        <v>2051</v>
      </c>
      <c r="B1444" s="1" t="s">
        <v>2023</v>
      </c>
      <c r="C1444" t="s">
        <v>14</v>
      </c>
      <c r="D1444" t="s">
        <v>1212</v>
      </c>
      <c r="E1444">
        <v>12</v>
      </c>
      <c r="F1444" t="s">
        <v>1901</v>
      </c>
      <c r="G1444">
        <v>2022</v>
      </c>
      <c r="H1444" t="s">
        <v>2052</v>
      </c>
      <c r="I1444" t="s">
        <v>23</v>
      </c>
      <c r="J1444">
        <v>799</v>
      </c>
      <c r="K1444">
        <v>205</v>
      </c>
      <c r="L1444">
        <f t="shared" si="372"/>
        <v>594</v>
      </c>
      <c r="M1444">
        <v>240</v>
      </c>
      <c r="N1444">
        <f t="shared" si="373"/>
        <v>354</v>
      </c>
    </row>
    <row r="1445" spans="1:14" x14ac:dyDescent="0.2">
      <c r="A1445" t="s">
        <v>2024</v>
      </c>
      <c r="B1445" s="1" t="s">
        <v>2023</v>
      </c>
      <c r="C1445" t="s">
        <v>14</v>
      </c>
      <c r="D1445" t="s">
        <v>1508</v>
      </c>
      <c r="E1445">
        <v>12</v>
      </c>
      <c r="F1445" t="s">
        <v>1901</v>
      </c>
      <c r="G1445">
        <v>2022</v>
      </c>
      <c r="H1445" t="s">
        <v>170</v>
      </c>
      <c r="I1445" t="s">
        <v>171</v>
      </c>
      <c r="J1445">
        <v>999</v>
      </c>
      <c r="K1445">
        <v>325</v>
      </c>
      <c r="L1445">
        <f t="shared" si="372"/>
        <v>674</v>
      </c>
      <c r="M1445">
        <v>240</v>
      </c>
      <c r="N1445">
        <f t="shared" si="373"/>
        <v>434</v>
      </c>
    </row>
    <row r="1446" spans="1:14" x14ac:dyDescent="0.2">
      <c r="A1446" t="s">
        <v>2053</v>
      </c>
      <c r="B1446" s="1" t="s">
        <v>2023</v>
      </c>
      <c r="C1446" t="s">
        <v>14</v>
      </c>
      <c r="D1446" t="s">
        <v>573</v>
      </c>
      <c r="E1446">
        <v>12</v>
      </c>
      <c r="F1446" t="s">
        <v>1901</v>
      </c>
      <c r="G1446">
        <v>2022</v>
      </c>
      <c r="H1446" t="s">
        <v>49</v>
      </c>
      <c r="I1446" t="s">
        <v>32</v>
      </c>
      <c r="J1446">
        <v>899</v>
      </c>
      <c r="K1446">
        <v>295</v>
      </c>
      <c r="L1446">
        <f t="shared" si="372"/>
        <v>604</v>
      </c>
      <c r="M1446">
        <v>240</v>
      </c>
      <c r="N1446">
        <f t="shared" si="373"/>
        <v>364</v>
      </c>
    </row>
    <row r="1447" spans="1:14" x14ac:dyDescent="0.2">
      <c r="A1447" t="s">
        <v>2054</v>
      </c>
      <c r="B1447" s="1" t="s">
        <v>2002</v>
      </c>
      <c r="C1447" t="s">
        <v>14</v>
      </c>
      <c r="D1447" t="s">
        <v>169</v>
      </c>
      <c r="E1447">
        <v>11</v>
      </c>
      <c r="F1447" t="s">
        <v>1901</v>
      </c>
      <c r="G1447">
        <v>2022</v>
      </c>
      <c r="H1447" t="s">
        <v>2055</v>
      </c>
      <c r="I1447" t="s">
        <v>28</v>
      </c>
      <c r="J1447">
        <v>799</v>
      </c>
      <c r="K1447">
        <v>205</v>
      </c>
      <c r="L1447">
        <f t="shared" si="372"/>
        <v>594</v>
      </c>
      <c r="M1447">
        <v>240</v>
      </c>
      <c r="N1447">
        <f t="shared" si="373"/>
        <v>354</v>
      </c>
    </row>
    <row r="1448" spans="1:14" x14ac:dyDescent="0.2">
      <c r="A1448" t="s">
        <v>2028</v>
      </c>
      <c r="B1448" s="1" t="s">
        <v>2002</v>
      </c>
      <c r="C1448" t="s">
        <v>106</v>
      </c>
      <c r="D1448" t="s">
        <v>1089</v>
      </c>
      <c r="E1448">
        <v>11</v>
      </c>
      <c r="F1448" t="s">
        <v>1901</v>
      </c>
      <c r="G1448">
        <v>2022</v>
      </c>
      <c r="H1448" t="s">
        <v>2029</v>
      </c>
      <c r="I1448" t="s">
        <v>23</v>
      </c>
      <c r="J1448">
        <v>-799</v>
      </c>
      <c r="K1448">
        <v>320</v>
      </c>
      <c r="L1448">
        <f t="shared" ref="L1448:L1449" si="374">J1448+K1448</f>
        <v>-479</v>
      </c>
      <c r="M1448">
        <v>240</v>
      </c>
      <c r="N1448">
        <f t="shared" ref="N1448:N1449" si="375">L1448+M1448</f>
        <v>-239</v>
      </c>
    </row>
    <row r="1449" spans="1:14" x14ac:dyDescent="0.2">
      <c r="A1449" t="s">
        <v>2011</v>
      </c>
      <c r="B1449" s="1" t="s">
        <v>1992</v>
      </c>
      <c r="C1449" t="s">
        <v>106</v>
      </c>
      <c r="D1449" t="s">
        <v>81</v>
      </c>
      <c r="E1449">
        <v>9</v>
      </c>
      <c r="F1449" t="s">
        <v>1901</v>
      </c>
      <c r="G1449">
        <v>2022</v>
      </c>
      <c r="H1449" t="s">
        <v>2012</v>
      </c>
      <c r="I1449" t="s">
        <v>19</v>
      </c>
      <c r="J1449">
        <v>-849</v>
      </c>
      <c r="K1449">
        <v>345</v>
      </c>
      <c r="L1449">
        <f t="shared" si="374"/>
        <v>-504</v>
      </c>
      <c r="M1449">
        <v>240</v>
      </c>
      <c r="N1449">
        <f t="shared" si="375"/>
        <v>-264</v>
      </c>
    </row>
    <row r="1450" spans="1:14" x14ac:dyDescent="0.2">
      <c r="A1450" t="s">
        <v>2056</v>
      </c>
      <c r="B1450" s="1" t="s">
        <v>2023</v>
      </c>
      <c r="C1450" t="s">
        <v>20</v>
      </c>
      <c r="D1450" t="s">
        <v>977</v>
      </c>
      <c r="E1450">
        <v>12</v>
      </c>
      <c r="F1450" t="s">
        <v>1901</v>
      </c>
      <c r="G1450">
        <v>2022</v>
      </c>
      <c r="H1450" t="s">
        <v>104</v>
      </c>
      <c r="I1450" t="s">
        <v>62</v>
      </c>
      <c r="J1450">
        <v>0</v>
      </c>
      <c r="K1450">
        <v>0</v>
      </c>
      <c r="L1450">
        <v>0</v>
      </c>
      <c r="M1450">
        <v>0</v>
      </c>
      <c r="N1450">
        <v>0</v>
      </c>
    </row>
    <row r="1451" spans="1:14" x14ac:dyDescent="0.2">
      <c r="A1451" t="s">
        <v>2057</v>
      </c>
      <c r="B1451" s="1" t="s">
        <v>2023</v>
      </c>
      <c r="C1451" t="s">
        <v>14</v>
      </c>
      <c r="D1451" t="s">
        <v>2058</v>
      </c>
      <c r="E1451">
        <v>12</v>
      </c>
      <c r="F1451" t="s">
        <v>1901</v>
      </c>
      <c r="G1451">
        <v>2022</v>
      </c>
      <c r="H1451" t="s">
        <v>807</v>
      </c>
      <c r="I1451" t="s">
        <v>28</v>
      </c>
      <c r="J1451">
        <v>849</v>
      </c>
      <c r="K1451">
        <v>250</v>
      </c>
      <c r="L1451">
        <f t="shared" ref="L1451:L1462" si="376">J1451-K1451</f>
        <v>599</v>
      </c>
      <c r="M1451">
        <v>240</v>
      </c>
      <c r="N1451">
        <f t="shared" ref="N1451:N1462" si="377">L1451-M1451</f>
        <v>359</v>
      </c>
    </row>
    <row r="1452" spans="1:14" x14ac:dyDescent="0.2">
      <c r="A1452" t="s">
        <v>2059</v>
      </c>
      <c r="B1452" s="1" t="s">
        <v>2023</v>
      </c>
      <c r="C1452" t="s">
        <v>14</v>
      </c>
      <c r="D1452" t="s">
        <v>1825</v>
      </c>
      <c r="E1452">
        <v>12</v>
      </c>
      <c r="F1452" t="s">
        <v>1901</v>
      </c>
      <c r="G1452">
        <v>2022</v>
      </c>
      <c r="H1452" t="s">
        <v>449</v>
      </c>
      <c r="I1452" t="s">
        <v>97</v>
      </c>
      <c r="J1452">
        <v>849</v>
      </c>
      <c r="K1452">
        <v>250</v>
      </c>
      <c r="L1452">
        <f t="shared" si="376"/>
        <v>599</v>
      </c>
      <c r="M1452">
        <v>240</v>
      </c>
      <c r="N1452">
        <f t="shared" si="377"/>
        <v>359</v>
      </c>
    </row>
    <row r="1453" spans="1:14" x14ac:dyDescent="0.2">
      <c r="A1453" t="s">
        <v>2061</v>
      </c>
      <c r="B1453" s="1" t="s">
        <v>2060</v>
      </c>
      <c r="C1453" t="s">
        <v>14</v>
      </c>
      <c r="D1453" t="s">
        <v>840</v>
      </c>
      <c r="E1453">
        <v>13</v>
      </c>
      <c r="F1453" t="s">
        <v>1901</v>
      </c>
      <c r="G1453">
        <v>2022</v>
      </c>
      <c r="H1453" t="s">
        <v>223</v>
      </c>
      <c r="I1453" t="s">
        <v>32</v>
      </c>
      <c r="J1453">
        <v>999</v>
      </c>
      <c r="K1453">
        <v>325</v>
      </c>
      <c r="L1453">
        <f t="shared" si="376"/>
        <v>674</v>
      </c>
      <c r="M1453">
        <v>240</v>
      </c>
      <c r="N1453">
        <f t="shared" si="377"/>
        <v>434</v>
      </c>
    </row>
    <row r="1454" spans="1:14" x14ac:dyDescent="0.2">
      <c r="A1454" t="s">
        <v>2062</v>
      </c>
      <c r="B1454" s="1" t="s">
        <v>2060</v>
      </c>
      <c r="C1454" t="s">
        <v>14</v>
      </c>
      <c r="D1454" t="s">
        <v>2063</v>
      </c>
      <c r="E1454">
        <v>13</v>
      </c>
      <c r="F1454" t="s">
        <v>1901</v>
      </c>
      <c r="G1454">
        <v>2022</v>
      </c>
      <c r="H1454" t="s">
        <v>2064</v>
      </c>
      <c r="I1454" t="s">
        <v>2020</v>
      </c>
      <c r="J1454">
        <v>799</v>
      </c>
      <c r="K1454">
        <v>205</v>
      </c>
      <c r="L1454">
        <f t="shared" si="376"/>
        <v>594</v>
      </c>
      <c r="M1454">
        <v>240</v>
      </c>
      <c r="N1454">
        <f t="shared" si="377"/>
        <v>354</v>
      </c>
    </row>
    <row r="1455" spans="1:14" x14ac:dyDescent="0.2">
      <c r="A1455" t="s">
        <v>2065</v>
      </c>
      <c r="B1455" s="1" t="s">
        <v>2060</v>
      </c>
      <c r="C1455" t="s">
        <v>14</v>
      </c>
      <c r="D1455" t="s">
        <v>379</v>
      </c>
      <c r="E1455">
        <v>13</v>
      </c>
      <c r="F1455" t="s">
        <v>1901</v>
      </c>
      <c r="G1455">
        <v>2022</v>
      </c>
      <c r="H1455" t="s">
        <v>2066</v>
      </c>
      <c r="I1455" t="s">
        <v>37</v>
      </c>
      <c r="J1455">
        <v>799</v>
      </c>
      <c r="K1455">
        <v>205</v>
      </c>
      <c r="L1455">
        <f t="shared" si="376"/>
        <v>594</v>
      </c>
      <c r="M1455">
        <v>240</v>
      </c>
      <c r="N1455">
        <f t="shared" si="377"/>
        <v>354</v>
      </c>
    </row>
    <row r="1456" spans="1:14" x14ac:dyDescent="0.2">
      <c r="A1456" t="s">
        <v>2067</v>
      </c>
      <c r="B1456" s="1" t="s">
        <v>2060</v>
      </c>
      <c r="C1456" t="s">
        <v>14</v>
      </c>
      <c r="D1456" t="s">
        <v>425</v>
      </c>
      <c r="E1456">
        <v>13</v>
      </c>
      <c r="F1456" t="s">
        <v>1901</v>
      </c>
      <c r="G1456">
        <v>2022</v>
      </c>
      <c r="H1456" t="s">
        <v>1753</v>
      </c>
      <c r="I1456" t="s">
        <v>122</v>
      </c>
      <c r="J1456">
        <v>799</v>
      </c>
      <c r="K1456">
        <v>205</v>
      </c>
      <c r="L1456">
        <f t="shared" si="376"/>
        <v>594</v>
      </c>
      <c r="M1456">
        <v>240</v>
      </c>
      <c r="N1456">
        <f t="shared" si="377"/>
        <v>354</v>
      </c>
    </row>
    <row r="1457" spans="1:14" x14ac:dyDescent="0.2">
      <c r="A1457" t="s">
        <v>2068</v>
      </c>
      <c r="B1457" s="1" t="s">
        <v>2060</v>
      </c>
      <c r="C1457" t="s">
        <v>14</v>
      </c>
      <c r="D1457" t="s">
        <v>81</v>
      </c>
      <c r="E1457">
        <v>13</v>
      </c>
      <c r="F1457" t="s">
        <v>1901</v>
      </c>
      <c r="G1457">
        <v>2022</v>
      </c>
      <c r="H1457" t="s">
        <v>2012</v>
      </c>
      <c r="I1457" t="s">
        <v>19</v>
      </c>
      <c r="J1457">
        <v>849</v>
      </c>
      <c r="K1457">
        <v>250</v>
      </c>
      <c r="L1457">
        <f t="shared" si="376"/>
        <v>599</v>
      </c>
      <c r="M1457">
        <v>240</v>
      </c>
      <c r="N1457">
        <f t="shared" si="377"/>
        <v>359</v>
      </c>
    </row>
    <row r="1458" spans="1:14" x14ac:dyDescent="0.2">
      <c r="A1458" t="s">
        <v>2069</v>
      </c>
      <c r="B1458" s="1" t="s">
        <v>2060</v>
      </c>
      <c r="C1458" t="s">
        <v>14</v>
      </c>
      <c r="D1458" t="s">
        <v>1338</v>
      </c>
      <c r="E1458">
        <v>13</v>
      </c>
      <c r="F1458" t="s">
        <v>1901</v>
      </c>
      <c r="G1458">
        <v>2022</v>
      </c>
      <c r="H1458" t="s">
        <v>929</v>
      </c>
      <c r="I1458" t="s">
        <v>144</v>
      </c>
      <c r="J1458">
        <v>799</v>
      </c>
      <c r="K1458">
        <v>205</v>
      </c>
      <c r="L1458">
        <f t="shared" si="376"/>
        <v>594</v>
      </c>
      <c r="M1458">
        <v>240</v>
      </c>
      <c r="N1458">
        <f t="shared" si="377"/>
        <v>354</v>
      </c>
    </row>
    <row r="1459" spans="1:14" x14ac:dyDescent="0.2">
      <c r="A1459" t="s">
        <v>2044</v>
      </c>
      <c r="B1459" s="1" t="s">
        <v>2023</v>
      </c>
      <c r="C1459" t="s">
        <v>14</v>
      </c>
      <c r="D1459" t="s">
        <v>81</v>
      </c>
      <c r="E1459">
        <v>12</v>
      </c>
      <c r="F1459" t="s">
        <v>1901</v>
      </c>
      <c r="G1459">
        <v>2022</v>
      </c>
      <c r="H1459" t="s">
        <v>152</v>
      </c>
      <c r="I1459" t="s">
        <v>253</v>
      </c>
      <c r="J1459">
        <v>849</v>
      </c>
      <c r="K1459">
        <v>250</v>
      </c>
      <c r="L1459">
        <f t="shared" si="376"/>
        <v>599</v>
      </c>
      <c r="M1459">
        <v>240</v>
      </c>
      <c r="N1459">
        <f t="shared" si="377"/>
        <v>359</v>
      </c>
    </row>
    <row r="1460" spans="1:14" x14ac:dyDescent="0.2">
      <c r="A1460" t="s">
        <v>2070</v>
      </c>
      <c r="B1460" s="1" t="s">
        <v>2060</v>
      </c>
      <c r="C1460" t="s">
        <v>14</v>
      </c>
      <c r="D1460" t="s">
        <v>81</v>
      </c>
      <c r="E1460">
        <v>13</v>
      </c>
      <c r="F1460" t="s">
        <v>1901</v>
      </c>
      <c r="G1460">
        <v>2022</v>
      </c>
      <c r="H1460" t="s">
        <v>1159</v>
      </c>
      <c r="I1460" t="s">
        <v>85</v>
      </c>
      <c r="J1460">
        <v>849</v>
      </c>
      <c r="K1460">
        <v>250</v>
      </c>
      <c r="L1460">
        <f t="shared" si="376"/>
        <v>599</v>
      </c>
      <c r="M1460">
        <v>240</v>
      </c>
      <c r="N1460">
        <f t="shared" si="377"/>
        <v>359</v>
      </c>
    </row>
    <row r="1461" spans="1:14" x14ac:dyDescent="0.2">
      <c r="A1461" t="s">
        <v>2071</v>
      </c>
      <c r="B1461" s="1" t="s">
        <v>2060</v>
      </c>
      <c r="C1461" t="s">
        <v>14</v>
      </c>
      <c r="D1461" t="s">
        <v>834</v>
      </c>
      <c r="E1461">
        <v>13</v>
      </c>
      <c r="F1461" t="s">
        <v>1901</v>
      </c>
      <c r="G1461">
        <v>2022</v>
      </c>
      <c r="H1461" t="s">
        <v>104</v>
      </c>
      <c r="I1461" t="s">
        <v>62</v>
      </c>
      <c r="J1461">
        <v>849</v>
      </c>
      <c r="K1461">
        <v>250</v>
      </c>
      <c r="L1461">
        <f t="shared" si="376"/>
        <v>599</v>
      </c>
      <c r="M1461">
        <v>240</v>
      </c>
      <c r="N1461">
        <f t="shared" si="377"/>
        <v>359</v>
      </c>
    </row>
    <row r="1462" spans="1:14" x14ac:dyDescent="0.2">
      <c r="A1462" t="s">
        <v>2072</v>
      </c>
      <c r="B1462" s="1" t="s">
        <v>2060</v>
      </c>
      <c r="C1462" t="s">
        <v>14</v>
      </c>
      <c r="D1462" t="s">
        <v>747</v>
      </c>
      <c r="E1462">
        <v>13</v>
      </c>
      <c r="F1462" t="s">
        <v>1901</v>
      </c>
      <c r="G1462">
        <v>2022</v>
      </c>
      <c r="H1462" t="s">
        <v>49</v>
      </c>
      <c r="I1462" t="s">
        <v>32</v>
      </c>
      <c r="J1462">
        <v>799</v>
      </c>
      <c r="K1462">
        <v>205</v>
      </c>
      <c r="L1462">
        <f t="shared" si="376"/>
        <v>594</v>
      </c>
      <c r="M1462">
        <v>240</v>
      </c>
      <c r="N1462">
        <f t="shared" si="377"/>
        <v>354</v>
      </c>
    </row>
    <row r="1463" spans="1:14" x14ac:dyDescent="0.2">
      <c r="A1463" t="s">
        <v>2051</v>
      </c>
      <c r="B1463" s="1" t="s">
        <v>2023</v>
      </c>
      <c r="C1463" t="s">
        <v>106</v>
      </c>
      <c r="D1463" t="s">
        <v>1212</v>
      </c>
      <c r="E1463">
        <v>12</v>
      </c>
      <c r="F1463" t="s">
        <v>1901</v>
      </c>
      <c r="G1463">
        <v>2022</v>
      </c>
      <c r="H1463" t="s">
        <v>2052</v>
      </c>
      <c r="I1463" t="s">
        <v>23</v>
      </c>
      <c r="J1463">
        <v>-799</v>
      </c>
      <c r="K1463">
        <v>320</v>
      </c>
      <c r="L1463">
        <f t="shared" ref="L1463:L1465" si="378">J1463+K1463</f>
        <v>-479</v>
      </c>
      <c r="M1463">
        <v>240</v>
      </c>
      <c r="N1463">
        <f t="shared" ref="N1463:N1465" si="379">L1463+M1463</f>
        <v>-239</v>
      </c>
    </row>
    <row r="1464" spans="1:14" x14ac:dyDescent="0.2">
      <c r="A1464" t="s">
        <v>1984</v>
      </c>
      <c r="B1464" s="1" t="s">
        <v>1960</v>
      </c>
      <c r="C1464" t="s">
        <v>106</v>
      </c>
      <c r="D1464" t="s">
        <v>1985</v>
      </c>
      <c r="E1464">
        <v>7</v>
      </c>
      <c r="F1464" t="s">
        <v>1901</v>
      </c>
      <c r="G1464">
        <v>2022</v>
      </c>
      <c r="H1464" t="s">
        <v>84</v>
      </c>
      <c r="I1464" t="s">
        <v>85</v>
      </c>
      <c r="J1464">
        <v>-849</v>
      </c>
      <c r="K1464">
        <v>345</v>
      </c>
      <c r="L1464">
        <f t="shared" si="378"/>
        <v>-504</v>
      </c>
      <c r="M1464">
        <v>240</v>
      </c>
      <c r="N1464">
        <f t="shared" si="379"/>
        <v>-264</v>
      </c>
    </row>
    <row r="1465" spans="1:14" x14ac:dyDescent="0.2">
      <c r="A1465" t="s">
        <v>1988</v>
      </c>
      <c r="B1465" s="1" t="s">
        <v>1972</v>
      </c>
      <c r="C1465" t="s">
        <v>106</v>
      </c>
      <c r="D1465" t="s">
        <v>448</v>
      </c>
      <c r="E1465">
        <v>8</v>
      </c>
      <c r="F1465" t="s">
        <v>1901</v>
      </c>
      <c r="G1465">
        <v>2022</v>
      </c>
      <c r="H1465" t="s">
        <v>838</v>
      </c>
      <c r="I1465" t="s">
        <v>253</v>
      </c>
      <c r="J1465">
        <v>-899</v>
      </c>
      <c r="K1465">
        <v>375</v>
      </c>
      <c r="L1465">
        <f t="shared" si="378"/>
        <v>-524</v>
      </c>
      <c r="M1465">
        <v>240</v>
      </c>
      <c r="N1465">
        <f t="shared" si="379"/>
        <v>-284</v>
      </c>
    </row>
    <row r="1466" spans="1:14" x14ac:dyDescent="0.2">
      <c r="A1466" t="s">
        <v>2074</v>
      </c>
      <c r="B1466" s="1" t="s">
        <v>2073</v>
      </c>
      <c r="C1466" t="s">
        <v>14</v>
      </c>
      <c r="D1466" t="s">
        <v>890</v>
      </c>
      <c r="E1466">
        <v>14</v>
      </c>
      <c r="F1466" t="s">
        <v>1901</v>
      </c>
      <c r="G1466">
        <v>2022</v>
      </c>
      <c r="H1466" t="s">
        <v>866</v>
      </c>
      <c r="I1466" t="s">
        <v>866</v>
      </c>
      <c r="J1466">
        <v>849</v>
      </c>
      <c r="K1466">
        <v>250</v>
      </c>
      <c r="L1466">
        <f t="shared" ref="L1466:L1470" si="380">J1466-K1466</f>
        <v>599</v>
      </c>
      <c r="M1466">
        <v>240</v>
      </c>
      <c r="N1466">
        <f t="shared" ref="N1466:N1470" si="381">L1466-M1466</f>
        <v>359</v>
      </c>
    </row>
    <row r="1467" spans="1:14" x14ac:dyDescent="0.2">
      <c r="A1467" t="s">
        <v>2075</v>
      </c>
      <c r="B1467" s="1" t="s">
        <v>2073</v>
      </c>
      <c r="C1467" t="s">
        <v>14</v>
      </c>
      <c r="D1467" t="s">
        <v>133</v>
      </c>
      <c r="E1467">
        <v>14</v>
      </c>
      <c r="F1467" t="s">
        <v>1901</v>
      </c>
      <c r="G1467">
        <v>2022</v>
      </c>
      <c r="H1467" t="s">
        <v>2076</v>
      </c>
      <c r="I1467" t="s">
        <v>122</v>
      </c>
      <c r="J1467">
        <v>799</v>
      </c>
      <c r="K1467">
        <v>205</v>
      </c>
      <c r="L1467">
        <f t="shared" si="380"/>
        <v>594</v>
      </c>
      <c r="M1467">
        <v>240</v>
      </c>
      <c r="N1467">
        <f t="shared" si="381"/>
        <v>354</v>
      </c>
    </row>
    <row r="1468" spans="1:14" x14ac:dyDescent="0.2">
      <c r="A1468" t="s">
        <v>2077</v>
      </c>
      <c r="B1468" s="1" t="s">
        <v>2073</v>
      </c>
      <c r="C1468" t="s">
        <v>14</v>
      </c>
      <c r="D1468" t="s">
        <v>901</v>
      </c>
      <c r="E1468">
        <v>14</v>
      </c>
      <c r="F1468" t="s">
        <v>1901</v>
      </c>
      <c r="G1468">
        <v>2022</v>
      </c>
      <c r="H1468" t="s">
        <v>162</v>
      </c>
      <c r="I1468" t="s">
        <v>163</v>
      </c>
      <c r="J1468">
        <v>799</v>
      </c>
      <c r="K1468">
        <v>205</v>
      </c>
      <c r="L1468">
        <f t="shared" si="380"/>
        <v>594</v>
      </c>
      <c r="M1468">
        <v>240</v>
      </c>
      <c r="N1468">
        <f t="shared" si="381"/>
        <v>354</v>
      </c>
    </row>
    <row r="1469" spans="1:14" x14ac:dyDescent="0.2">
      <c r="A1469" t="s">
        <v>2078</v>
      </c>
      <c r="B1469" s="1" t="s">
        <v>2073</v>
      </c>
      <c r="C1469" t="s">
        <v>14</v>
      </c>
      <c r="D1469" t="s">
        <v>504</v>
      </c>
      <c r="E1469">
        <v>14</v>
      </c>
      <c r="F1469" t="s">
        <v>1901</v>
      </c>
      <c r="G1469">
        <v>2022</v>
      </c>
      <c r="H1469" t="s">
        <v>838</v>
      </c>
      <c r="I1469" t="s">
        <v>253</v>
      </c>
      <c r="J1469">
        <v>854.05</v>
      </c>
      <c r="K1469">
        <v>270</v>
      </c>
      <c r="L1469">
        <f t="shared" si="380"/>
        <v>584.04999999999995</v>
      </c>
      <c r="M1469">
        <v>240</v>
      </c>
      <c r="N1469">
        <f t="shared" si="381"/>
        <v>344.04999999999995</v>
      </c>
    </row>
    <row r="1470" spans="1:14" x14ac:dyDescent="0.2">
      <c r="A1470" t="s">
        <v>2080</v>
      </c>
      <c r="B1470" s="1" t="s">
        <v>2079</v>
      </c>
      <c r="C1470" t="s">
        <v>14</v>
      </c>
      <c r="D1470" t="s">
        <v>452</v>
      </c>
      <c r="E1470">
        <v>15</v>
      </c>
      <c r="F1470" t="s">
        <v>1901</v>
      </c>
      <c r="G1470">
        <v>2022</v>
      </c>
      <c r="H1470" t="s">
        <v>2081</v>
      </c>
      <c r="I1470" t="s">
        <v>85</v>
      </c>
      <c r="J1470">
        <v>799</v>
      </c>
      <c r="K1470">
        <v>205</v>
      </c>
      <c r="L1470">
        <f t="shared" si="380"/>
        <v>594</v>
      </c>
      <c r="M1470">
        <v>240</v>
      </c>
      <c r="N1470">
        <f t="shared" si="381"/>
        <v>354</v>
      </c>
    </row>
    <row r="1471" spans="1:14" x14ac:dyDescent="0.2">
      <c r="A1471" t="s">
        <v>2082</v>
      </c>
      <c r="B1471" s="1" t="s">
        <v>2079</v>
      </c>
      <c r="C1471" t="s">
        <v>20</v>
      </c>
      <c r="D1471" t="s">
        <v>308</v>
      </c>
      <c r="E1471">
        <v>15</v>
      </c>
      <c r="F1471" t="s">
        <v>1901</v>
      </c>
      <c r="G1471">
        <v>2022</v>
      </c>
      <c r="H1471" t="s">
        <v>1994</v>
      </c>
      <c r="I1471" t="s">
        <v>28</v>
      </c>
      <c r="J1471">
        <v>0</v>
      </c>
      <c r="K1471">
        <v>0</v>
      </c>
      <c r="L1471">
        <v>0</v>
      </c>
      <c r="M1471">
        <v>0</v>
      </c>
      <c r="N1471">
        <v>0</v>
      </c>
    </row>
    <row r="1472" spans="1:14" x14ac:dyDescent="0.2">
      <c r="A1472" t="s">
        <v>2083</v>
      </c>
      <c r="B1472" s="1" t="s">
        <v>2073</v>
      </c>
      <c r="C1472" t="s">
        <v>14</v>
      </c>
      <c r="D1472" t="s">
        <v>2084</v>
      </c>
      <c r="E1472">
        <v>14</v>
      </c>
      <c r="F1472" t="s">
        <v>1901</v>
      </c>
      <c r="G1472">
        <v>2022</v>
      </c>
      <c r="H1472" t="s">
        <v>2085</v>
      </c>
      <c r="I1472" t="s">
        <v>62</v>
      </c>
      <c r="J1472">
        <v>849</v>
      </c>
      <c r="K1472">
        <v>250</v>
      </c>
      <c r="L1472">
        <f t="shared" ref="L1472:L1477" si="382">J1472-K1472</f>
        <v>599</v>
      </c>
      <c r="M1472">
        <v>240</v>
      </c>
      <c r="N1472">
        <f t="shared" ref="N1472:N1477" si="383">L1472-M1472</f>
        <v>359</v>
      </c>
    </row>
    <row r="1473" spans="1:14" x14ac:dyDescent="0.2">
      <c r="A1473" t="s">
        <v>2086</v>
      </c>
      <c r="B1473" s="1" t="s">
        <v>2073</v>
      </c>
      <c r="C1473" t="s">
        <v>14</v>
      </c>
      <c r="D1473" t="s">
        <v>1495</v>
      </c>
      <c r="E1473">
        <v>14</v>
      </c>
      <c r="F1473" t="s">
        <v>1901</v>
      </c>
      <c r="G1473">
        <v>2022</v>
      </c>
      <c r="H1473" t="s">
        <v>2087</v>
      </c>
      <c r="I1473" t="s">
        <v>19</v>
      </c>
      <c r="J1473">
        <v>799</v>
      </c>
      <c r="K1473">
        <v>205</v>
      </c>
      <c r="L1473">
        <f t="shared" si="382"/>
        <v>594</v>
      </c>
      <c r="M1473">
        <v>240</v>
      </c>
      <c r="N1473">
        <f t="shared" si="383"/>
        <v>354</v>
      </c>
    </row>
    <row r="1474" spans="1:14" x14ac:dyDescent="0.2">
      <c r="A1474" t="s">
        <v>2088</v>
      </c>
      <c r="B1474" s="1" t="s">
        <v>2079</v>
      </c>
      <c r="C1474" t="s">
        <v>14</v>
      </c>
      <c r="D1474" t="s">
        <v>2058</v>
      </c>
      <c r="E1474">
        <v>15</v>
      </c>
      <c r="F1474" t="s">
        <v>1901</v>
      </c>
      <c r="G1474">
        <v>2022</v>
      </c>
      <c r="H1474" t="s">
        <v>1854</v>
      </c>
      <c r="I1474" t="s">
        <v>135</v>
      </c>
      <c r="J1474">
        <v>849</v>
      </c>
      <c r="K1474">
        <v>250</v>
      </c>
      <c r="L1474">
        <f t="shared" si="382"/>
        <v>599</v>
      </c>
      <c r="M1474">
        <v>240</v>
      </c>
      <c r="N1474">
        <f t="shared" si="383"/>
        <v>359</v>
      </c>
    </row>
    <row r="1475" spans="1:14" x14ac:dyDescent="0.2">
      <c r="A1475" t="s">
        <v>2089</v>
      </c>
      <c r="B1475" s="1" t="s">
        <v>2079</v>
      </c>
      <c r="C1475" t="s">
        <v>14</v>
      </c>
      <c r="D1475" t="s">
        <v>1630</v>
      </c>
      <c r="E1475">
        <v>15</v>
      </c>
      <c r="F1475" t="s">
        <v>1901</v>
      </c>
      <c r="G1475">
        <v>2022</v>
      </c>
      <c r="H1475" t="s">
        <v>2090</v>
      </c>
      <c r="I1475" t="s">
        <v>122</v>
      </c>
      <c r="J1475">
        <v>799</v>
      </c>
      <c r="K1475">
        <v>205</v>
      </c>
      <c r="L1475">
        <f t="shared" si="382"/>
        <v>594</v>
      </c>
      <c r="M1475">
        <v>240</v>
      </c>
      <c r="N1475">
        <f t="shared" si="383"/>
        <v>354</v>
      </c>
    </row>
    <row r="1476" spans="1:14" x14ac:dyDescent="0.2">
      <c r="A1476" t="s">
        <v>2091</v>
      </c>
      <c r="B1476" s="1" t="s">
        <v>2079</v>
      </c>
      <c r="C1476" t="s">
        <v>14</v>
      </c>
      <c r="D1476" t="s">
        <v>2063</v>
      </c>
      <c r="E1476">
        <v>15</v>
      </c>
      <c r="F1476" t="s">
        <v>1901</v>
      </c>
      <c r="G1476">
        <v>2022</v>
      </c>
      <c r="H1476" t="s">
        <v>272</v>
      </c>
      <c r="I1476" t="s">
        <v>23</v>
      </c>
      <c r="J1476">
        <v>799</v>
      </c>
      <c r="K1476">
        <v>205</v>
      </c>
      <c r="L1476">
        <f t="shared" si="382"/>
        <v>594</v>
      </c>
      <c r="M1476">
        <v>240</v>
      </c>
      <c r="N1476">
        <f t="shared" si="383"/>
        <v>354</v>
      </c>
    </row>
    <row r="1477" spans="1:14" x14ac:dyDescent="0.2">
      <c r="A1477" t="s">
        <v>2091</v>
      </c>
      <c r="B1477" s="1" t="s">
        <v>2079</v>
      </c>
      <c r="C1477" t="s">
        <v>14</v>
      </c>
      <c r="D1477" t="s">
        <v>1218</v>
      </c>
      <c r="E1477">
        <v>15</v>
      </c>
      <c r="F1477" t="s">
        <v>1901</v>
      </c>
      <c r="G1477">
        <v>2022</v>
      </c>
      <c r="H1477" t="s">
        <v>272</v>
      </c>
      <c r="I1477" t="s">
        <v>23</v>
      </c>
      <c r="J1477">
        <v>799</v>
      </c>
      <c r="K1477">
        <v>205</v>
      </c>
      <c r="L1477">
        <f t="shared" si="382"/>
        <v>594</v>
      </c>
      <c r="M1477">
        <v>240</v>
      </c>
      <c r="N1477">
        <f t="shared" si="383"/>
        <v>354</v>
      </c>
    </row>
    <row r="1478" spans="1:14" x14ac:dyDescent="0.2">
      <c r="A1478" t="s">
        <v>2050</v>
      </c>
      <c r="B1478" s="1" t="s">
        <v>2023</v>
      </c>
      <c r="C1478" t="s">
        <v>106</v>
      </c>
      <c r="D1478" t="s">
        <v>940</v>
      </c>
      <c r="E1478">
        <v>12</v>
      </c>
      <c r="F1478" t="s">
        <v>1901</v>
      </c>
      <c r="G1478">
        <v>2022</v>
      </c>
      <c r="H1478" t="s">
        <v>22</v>
      </c>
      <c r="I1478" t="s">
        <v>23</v>
      </c>
      <c r="J1478">
        <v>-799</v>
      </c>
      <c r="K1478">
        <v>320</v>
      </c>
      <c r="L1478">
        <f>J1478+K1478</f>
        <v>-479</v>
      </c>
      <c r="M1478">
        <v>240</v>
      </c>
      <c r="N1478">
        <f>L1478+M1478</f>
        <v>-239</v>
      </c>
    </row>
    <row r="1479" spans="1:14" x14ac:dyDescent="0.2">
      <c r="A1479" t="s">
        <v>2093</v>
      </c>
      <c r="B1479" s="1" t="s">
        <v>2092</v>
      </c>
      <c r="C1479" t="s">
        <v>43</v>
      </c>
      <c r="D1479" t="s">
        <v>1809</v>
      </c>
      <c r="E1479">
        <v>16</v>
      </c>
      <c r="F1479" t="s">
        <v>1901</v>
      </c>
      <c r="G1479">
        <v>2022</v>
      </c>
      <c r="H1479" t="s">
        <v>170</v>
      </c>
      <c r="I1479" t="s">
        <v>171</v>
      </c>
      <c r="J1479">
        <v>0</v>
      </c>
      <c r="K1479">
        <v>0</v>
      </c>
      <c r="L1479">
        <v>0</v>
      </c>
      <c r="M1479">
        <v>0</v>
      </c>
      <c r="N1479">
        <v>0</v>
      </c>
    </row>
    <row r="1480" spans="1:14" x14ac:dyDescent="0.2">
      <c r="A1480" t="s">
        <v>2094</v>
      </c>
      <c r="B1480" s="1" t="s">
        <v>2092</v>
      </c>
      <c r="C1480" t="s">
        <v>43</v>
      </c>
      <c r="D1480" t="s">
        <v>895</v>
      </c>
      <c r="E1480">
        <v>16</v>
      </c>
      <c r="F1480" t="s">
        <v>1901</v>
      </c>
      <c r="G1480">
        <v>2022</v>
      </c>
      <c r="H1480" t="s">
        <v>579</v>
      </c>
      <c r="I1480" t="s">
        <v>62</v>
      </c>
      <c r="J1480">
        <v>0</v>
      </c>
      <c r="K1480">
        <v>0</v>
      </c>
      <c r="L1480">
        <v>0</v>
      </c>
      <c r="M1480">
        <v>0</v>
      </c>
      <c r="N1480">
        <v>0</v>
      </c>
    </row>
    <row r="1481" spans="1:14" x14ac:dyDescent="0.2">
      <c r="A1481" t="s">
        <v>1927</v>
      </c>
      <c r="B1481" s="1" t="s">
        <v>1903</v>
      </c>
      <c r="C1481" t="s">
        <v>106</v>
      </c>
      <c r="D1481" t="s">
        <v>504</v>
      </c>
      <c r="E1481">
        <v>2</v>
      </c>
      <c r="F1481" t="s">
        <v>1901</v>
      </c>
      <c r="G1481">
        <v>2022</v>
      </c>
      <c r="H1481" t="s">
        <v>190</v>
      </c>
      <c r="I1481" t="s">
        <v>23</v>
      </c>
      <c r="J1481">
        <v>-899</v>
      </c>
      <c r="K1481">
        <v>375</v>
      </c>
      <c r="L1481">
        <f>J1481+K1481</f>
        <v>-524</v>
      </c>
      <c r="M1481">
        <v>240</v>
      </c>
      <c r="N1481">
        <f>L1481+M1481</f>
        <v>-284</v>
      </c>
    </row>
    <row r="1482" spans="1:14" x14ac:dyDescent="0.2">
      <c r="A1482" t="s">
        <v>2095</v>
      </c>
      <c r="B1482" s="1" t="s">
        <v>2092</v>
      </c>
      <c r="C1482" t="s">
        <v>14</v>
      </c>
      <c r="D1482" t="s">
        <v>2096</v>
      </c>
      <c r="E1482">
        <v>16</v>
      </c>
      <c r="F1482" t="s">
        <v>1901</v>
      </c>
      <c r="G1482">
        <v>2022</v>
      </c>
      <c r="H1482" t="s">
        <v>738</v>
      </c>
      <c r="I1482" t="s">
        <v>28</v>
      </c>
      <c r="J1482">
        <v>759.05</v>
      </c>
      <c r="K1482">
        <v>202</v>
      </c>
      <c r="L1482">
        <f t="shared" ref="L1482:L1484" si="384">J1482-K1482</f>
        <v>557.04999999999995</v>
      </c>
      <c r="M1482">
        <v>240</v>
      </c>
      <c r="N1482">
        <f t="shared" ref="N1482:N1484" si="385">L1482-M1482</f>
        <v>317.04999999999995</v>
      </c>
    </row>
    <row r="1483" spans="1:14" x14ac:dyDescent="0.2">
      <c r="A1483" t="s">
        <v>2097</v>
      </c>
      <c r="B1483" s="1" t="s">
        <v>2092</v>
      </c>
      <c r="C1483" t="s">
        <v>14</v>
      </c>
      <c r="D1483" t="s">
        <v>1511</v>
      </c>
      <c r="E1483">
        <v>16</v>
      </c>
      <c r="F1483" t="s">
        <v>1901</v>
      </c>
      <c r="G1483">
        <v>2022</v>
      </c>
      <c r="H1483" t="s">
        <v>246</v>
      </c>
      <c r="I1483" t="s">
        <v>58</v>
      </c>
      <c r="J1483">
        <v>799</v>
      </c>
      <c r="K1483">
        <v>205</v>
      </c>
      <c r="L1483">
        <f t="shared" si="384"/>
        <v>594</v>
      </c>
      <c r="M1483">
        <v>240</v>
      </c>
      <c r="N1483">
        <f t="shared" si="385"/>
        <v>354</v>
      </c>
    </row>
    <row r="1484" spans="1:14" x14ac:dyDescent="0.2">
      <c r="A1484" t="s">
        <v>2098</v>
      </c>
      <c r="B1484" s="1" t="s">
        <v>2092</v>
      </c>
      <c r="C1484" t="s">
        <v>14</v>
      </c>
      <c r="D1484" t="s">
        <v>840</v>
      </c>
      <c r="E1484">
        <v>16</v>
      </c>
      <c r="F1484" t="s">
        <v>1901</v>
      </c>
      <c r="G1484">
        <v>2022</v>
      </c>
      <c r="H1484" t="s">
        <v>2099</v>
      </c>
      <c r="I1484" t="s">
        <v>32</v>
      </c>
      <c r="J1484">
        <v>949.05</v>
      </c>
      <c r="K1484">
        <v>306</v>
      </c>
      <c r="L1484">
        <f t="shared" si="384"/>
        <v>643.04999999999995</v>
      </c>
      <c r="M1484">
        <v>240</v>
      </c>
      <c r="N1484">
        <f t="shared" si="385"/>
        <v>403.04999999999995</v>
      </c>
    </row>
    <row r="1485" spans="1:14" x14ac:dyDescent="0.2">
      <c r="A1485" t="s">
        <v>1988</v>
      </c>
      <c r="B1485" s="1" t="s">
        <v>1972</v>
      </c>
      <c r="C1485" t="s">
        <v>106</v>
      </c>
      <c r="D1485" t="s">
        <v>1720</v>
      </c>
      <c r="E1485">
        <v>8</v>
      </c>
      <c r="F1485" t="s">
        <v>1901</v>
      </c>
      <c r="G1485">
        <v>2022</v>
      </c>
      <c r="H1485" t="s">
        <v>838</v>
      </c>
      <c r="I1485" t="s">
        <v>253</v>
      </c>
      <c r="J1485">
        <v>-799</v>
      </c>
      <c r="K1485">
        <v>320</v>
      </c>
      <c r="L1485">
        <f t="shared" ref="L1485:L1486" si="386">J1485+K1485</f>
        <v>-479</v>
      </c>
      <c r="M1485">
        <v>240</v>
      </c>
      <c r="N1485">
        <f t="shared" ref="N1485:N1486" si="387">L1485+M1485</f>
        <v>-239</v>
      </c>
    </row>
    <row r="1486" spans="1:14" x14ac:dyDescent="0.2">
      <c r="A1486" t="s">
        <v>2053</v>
      </c>
      <c r="B1486" s="1" t="s">
        <v>2023</v>
      </c>
      <c r="C1486" t="s">
        <v>106</v>
      </c>
      <c r="D1486" t="s">
        <v>573</v>
      </c>
      <c r="E1486">
        <v>12</v>
      </c>
      <c r="F1486" t="s">
        <v>1901</v>
      </c>
      <c r="G1486">
        <v>2022</v>
      </c>
      <c r="H1486" t="s">
        <v>49</v>
      </c>
      <c r="I1486" t="s">
        <v>32</v>
      </c>
      <c r="J1486">
        <v>-899</v>
      </c>
      <c r="K1486">
        <v>375</v>
      </c>
      <c r="L1486">
        <f t="shared" si="386"/>
        <v>-524</v>
      </c>
      <c r="M1486">
        <v>240</v>
      </c>
      <c r="N1486">
        <f t="shared" si="387"/>
        <v>-284</v>
      </c>
    </row>
    <row r="1487" spans="1:14" x14ac:dyDescent="0.2">
      <c r="A1487" t="s">
        <v>2101</v>
      </c>
      <c r="B1487" s="1" t="s">
        <v>2100</v>
      </c>
      <c r="C1487" t="s">
        <v>43</v>
      </c>
      <c r="D1487" t="s">
        <v>923</v>
      </c>
      <c r="E1487">
        <v>17</v>
      </c>
      <c r="F1487" t="s">
        <v>1901</v>
      </c>
      <c r="G1487">
        <v>2022</v>
      </c>
      <c r="H1487" t="s">
        <v>52</v>
      </c>
      <c r="I1487" t="s">
        <v>32</v>
      </c>
      <c r="J1487">
        <v>0</v>
      </c>
      <c r="K1487">
        <v>0</v>
      </c>
      <c r="L1487">
        <v>0</v>
      </c>
      <c r="M1487">
        <v>0</v>
      </c>
      <c r="N1487">
        <v>0</v>
      </c>
    </row>
    <row r="1488" spans="1:14" x14ac:dyDescent="0.2">
      <c r="A1488" t="s">
        <v>2086</v>
      </c>
      <c r="B1488" s="1" t="s">
        <v>2073</v>
      </c>
      <c r="C1488" t="s">
        <v>106</v>
      </c>
      <c r="D1488" t="s">
        <v>1495</v>
      </c>
      <c r="E1488">
        <v>14</v>
      </c>
      <c r="F1488" t="s">
        <v>1901</v>
      </c>
      <c r="G1488">
        <v>2022</v>
      </c>
      <c r="H1488" t="s">
        <v>2087</v>
      </c>
      <c r="I1488" t="s">
        <v>19</v>
      </c>
      <c r="J1488">
        <v>-799</v>
      </c>
      <c r="K1488">
        <v>320</v>
      </c>
      <c r="L1488">
        <f t="shared" ref="L1488:L1489" si="388">J1488+K1488</f>
        <v>-479</v>
      </c>
      <c r="M1488">
        <v>240</v>
      </c>
      <c r="N1488">
        <f t="shared" ref="N1488:N1489" si="389">L1488+M1488</f>
        <v>-239</v>
      </c>
    </row>
    <row r="1489" spans="1:14" x14ac:dyDescent="0.2">
      <c r="A1489" t="s">
        <v>1990</v>
      </c>
      <c r="B1489" s="1" t="s">
        <v>1972</v>
      </c>
      <c r="C1489" t="s">
        <v>106</v>
      </c>
      <c r="D1489" t="s">
        <v>890</v>
      </c>
      <c r="E1489">
        <v>8</v>
      </c>
      <c r="F1489" t="s">
        <v>1901</v>
      </c>
      <c r="G1489">
        <v>2022</v>
      </c>
      <c r="H1489" t="s">
        <v>1991</v>
      </c>
      <c r="I1489" t="s">
        <v>23</v>
      </c>
      <c r="J1489">
        <v>-849</v>
      </c>
      <c r="K1489">
        <v>345</v>
      </c>
      <c r="L1489">
        <f t="shared" si="388"/>
        <v>-504</v>
      </c>
      <c r="M1489">
        <v>240</v>
      </c>
      <c r="N1489">
        <f t="shared" si="389"/>
        <v>-264</v>
      </c>
    </row>
    <row r="1490" spans="1:14" x14ac:dyDescent="0.2">
      <c r="A1490" t="s">
        <v>2102</v>
      </c>
      <c r="B1490" s="1" t="s">
        <v>2100</v>
      </c>
      <c r="C1490" t="s">
        <v>20</v>
      </c>
      <c r="D1490" t="s">
        <v>133</v>
      </c>
      <c r="E1490">
        <v>17</v>
      </c>
      <c r="F1490" t="s">
        <v>1901</v>
      </c>
      <c r="G1490">
        <v>2022</v>
      </c>
      <c r="H1490" t="s">
        <v>235</v>
      </c>
      <c r="I1490" t="s">
        <v>62</v>
      </c>
      <c r="J1490">
        <v>0</v>
      </c>
      <c r="K1490">
        <v>0</v>
      </c>
      <c r="L1490">
        <v>0</v>
      </c>
      <c r="M1490">
        <v>0</v>
      </c>
      <c r="N1490">
        <v>0</v>
      </c>
    </row>
    <row r="1491" spans="1:14" x14ac:dyDescent="0.2">
      <c r="A1491" t="s">
        <v>2103</v>
      </c>
      <c r="B1491" s="1" t="s">
        <v>2100</v>
      </c>
      <c r="C1491" t="s">
        <v>14</v>
      </c>
      <c r="D1491" t="s">
        <v>81</v>
      </c>
      <c r="E1491">
        <v>17</v>
      </c>
      <c r="F1491" t="s">
        <v>1901</v>
      </c>
      <c r="G1491">
        <v>2022</v>
      </c>
      <c r="H1491" t="s">
        <v>246</v>
      </c>
      <c r="I1491" t="s">
        <v>58</v>
      </c>
      <c r="J1491">
        <v>849</v>
      </c>
      <c r="K1491">
        <v>250</v>
      </c>
      <c r="L1491">
        <f t="shared" ref="L1491:L1496" si="390">J1491-K1491</f>
        <v>599</v>
      </c>
      <c r="M1491">
        <v>240</v>
      </c>
      <c r="N1491">
        <f t="shared" ref="N1491:N1496" si="391">L1491-M1491</f>
        <v>359</v>
      </c>
    </row>
    <row r="1492" spans="1:14" x14ac:dyDescent="0.2">
      <c r="A1492" t="s">
        <v>2104</v>
      </c>
      <c r="B1492" s="1" t="s">
        <v>2100</v>
      </c>
      <c r="C1492" t="s">
        <v>14</v>
      </c>
      <c r="D1492" t="s">
        <v>904</v>
      </c>
      <c r="E1492">
        <v>17</v>
      </c>
      <c r="F1492" t="s">
        <v>1901</v>
      </c>
      <c r="G1492">
        <v>2022</v>
      </c>
      <c r="H1492" t="s">
        <v>1043</v>
      </c>
      <c r="I1492" t="s">
        <v>19</v>
      </c>
      <c r="J1492">
        <v>799</v>
      </c>
      <c r="K1492">
        <v>205</v>
      </c>
      <c r="L1492">
        <f t="shared" si="390"/>
        <v>594</v>
      </c>
      <c r="M1492">
        <v>240</v>
      </c>
      <c r="N1492">
        <f t="shared" si="391"/>
        <v>354</v>
      </c>
    </row>
    <row r="1493" spans="1:14" x14ac:dyDescent="0.2">
      <c r="A1493" t="s">
        <v>2105</v>
      </c>
      <c r="B1493" s="1" t="s">
        <v>2092</v>
      </c>
      <c r="C1493" t="s">
        <v>14</v>
      </c>
      <c r="D1493" t="s">
        <v>863</v>
      </c>
      <c r="E1493">
        <v>16</v>
      </c>
      <c r="F1493" t="s">
        <v>1901</v>
      </c>
      <c r="G1493">
        <v>2022</v>
      </c>
      <c r="H1493" t="s">
        <v>173</v>
      </c>
      <c r="I1493" t="s">
        <v>62</v>
      </c>
      <c r="J1493">
        <v>799</v>
      </c>
      <c r="K1493">
        <v>205</v>
      </c>
      <c r="L1493">
        <f t="shared" si="390"/>
        <v>594</v>
      </c>
      <c r="M1493">
        <v>240</v>
      </c>
      <c r="N1493">
        <f t="shared" si="391"/>
        <v>354</v>
      </c>
    </row>
    <row r="1494" spans="1:14" x14ac:dyDescent="0.2">
      <c r="A1494" t="s">
        <v>2093</v>
      </c>
      <c r="B1494" s="1" t="s">
        <v>2092</v>
      </c>
      <c r="C1494" t="s">
        <v>14</v>
      </c>
      <c r="D1494" t="s">
        <v>1809</v>
      </c>
      <c r="E1494">
        <v>16</v>
      </c>
      <c r="F1494" t="s">
        <v>1901</v>
      </c>
      <c r="G1494">
        <v>2022</v>
      </c>
      <c r="H1494" t="s">
        <v>170</v>
      </c>
      <c r="I1494" t="s">
        <v>171</v>
      </c>
      <c r="J1494">
        <v>799</v>
      </c>
      <c r="K1494">
        <v>205</v>
      </c>
      <c r="L1494">
        <f t="shared" si="390"/>
        <v>594</v>
      </c>
      <c r="M1494">
        <v>240</v>
      </c>
      <c r="N1494">
        <f t="shared" si="391"/>
        <v>354</v>
      </c>
    </row>
    <row r="1495" spans="1:14" x14ac:dyDescent="0.2">
      <c r="A1495" t="s">
        <v>2094</v>
      </c>
      <c r="B1495" s="1" t="s">
        <v>2092</v>
      </c>
      <c r="C1495" t="s">
        <v>14</v>
      </c>
      <c r="D1495" t="s">
        <v>895</v>
      </c>
      <c r="E1495">
        <v>16</v>
      </c>
      <c r="F1495" t="s">
        <v>1901</v>
      </c>
      <c r="G1495">
        <v>2022</v>
      </c>
      <c r="H1495" t="s">
        <v>579</v>
      </c>
      <c r="I1495" t="s">
        <v>62</v>
      </c>
      <c r="J1495">
        <v>849</v>
      </c>
      <c r="K1495">
        <v>250</v>
      </c>
      <c r="L1495">
        <f t="shared" si="390"/>
        <v>599</v>
      </c>
      <c r="M1495">
        <v>240</v>
      </c>
      <c r="N1495">
        <f t="shared" si="391"/>
        <v>359</v>
      </c>
    </row>
    <row r="1496" spans="1:14" x14ac:dyDescent="0.2">
      <c r="A1496" t="s">
        <v>2106</v>
      </c>
      <c r="B1496" s="1" t="s">
        <v>2100</v>
      </c>
      <c r="C1496" t="s">
        <v>14</v>
      </c>
      <c r="D1496" t="s">
        <v>1228</v>
      </c>
      <c r="E1496">
        <v>17</v>
      </c>
      <c r="F1496" t="s">
        <v>1901</v>
      </c>
      <c r="G1496">
        <v>2022</v>
      </c>
      <c r="H1496" t="s">
        <v>2107</v>
      </c>
      <c r="I1496" t="s">
        <v>62</v>
      </c>
      <c r="J1496">
        <v>799</v>
      </c>
      <c r="K1496">
        <v>205</v>
      </c>
      <c r="L1496">
        <f t="shared" si="390"/>
        <v>594</v>
      </c>
      <c r="M1496">
        <v>240</v>
      </c>
      <c r="N1496">
        <f t="shared" si="391"/>
        <v>354</v>
      </c>
    </row>
    <row r="1497" spans="1:14" x14ac:dyDescent="0.2">
      <c r="A1497" t="s">
        <v>2108</v>
      </c>
      <c r="B1497" s="1" t="s">
        <v>2092</v>
      </c>
      <c r="C1497" t="s">
        <v>20</v>
      </c>
      <c r="D1497" t="s">
        <v>926</v>
      </c>
      <c r="E1497">
        <v>16</v>
      </c>
      <c r="F1497" t="s">
        <v>1901</v>
      </c>
      <c r="G1497">
        <v>2022</v>
      </c>
      <c r="H1497" t="s">
        <v>157</v>
      </c>
      <c r="I1497" t="s">
        <v>97</v>
      </c>
      <c r="J1497">
        <v>0</v>
      </c>
      <c r="K1497">
        <v>0</v>
      </c>
      <c r="L1497">
        <v>0</v>
      </c>
      <c r="M1497">
        <v>0</v>
      </c>
      <c r="N1497">
        <v>0</v>
      </c>
    </row>
    <row r="1498" spans="1:14" x14ac:dyDescent="0.2">
      <c r="A1498" t="s">
        <v>1904</v>
      </c>
      <c r="B1498" s="1" t="s">
        <v>1903</v>
      </c>
      <c r="C1498" t="s">
        <v>106</v>
      </c>
      <c r="D1498" t="s">
        <v>133</v>
      </c>
      <c r="E1498">
        <v>2</v>
      </c>
      <c r="F1498" t="s">
        <v>1901</v>
      </c>
      <c r="G1498">
        <v>2022</v>
      </c>
      <c r="H1498" t="s">
        <v>104</v>
      </c>
      <c r="I1498" t="s">
        <v>62</v>
      </c>
      <c r="J1498">
        <v>-799</v>
      </c>
      <c r="K1498">
        <v>320</v>
      </c>
      <c r="L1498">
        <f t="shared" ref="L1498:L1499" si="392">J1498+K1498</f>
        <v>-479</v>
      </c>
      <c r="M1498">
        <v>240</v>
      </c>
      <c r="N1498">
        <f t="shared" ref="N1498:N1499" si="393">L1498+M1498</f>
        <v>-239</v>
      </c>
    </row>
    <row r="1499" spans="1:14" x14ac:dyDescent="0.2">
      <c r="A1499" t="s">
        <v>1941</v>
      </c>
      <c r="B1499" s="1" t="s">
        <v>1933</v>
      </c>
      <c r="C1499" t="s">
        <v>106</v>
      </c>
      <c r="D1499" t="s">
        <v>989</v>
      </c>
      <c r="E1499">
        <v>4</v>
      </c>
      <c r="F1499" t="s">
        <v>1901</v>
      </c>
      <c r="G1499">
        <v>2022</v>
      </c>
      <c r="H1499" t="s">
        <v>1942</v>
      </c>
      <c r="I1499" t="s">
        <v>32</v>
      </c>
      <c r="J1499">
        <v>-799</v>
      </c>
      <c r="K1499">
        <v>320</v>
      </c>
      <c r="L1499">
        <f t="shared" si="392"/>
        <v>-479</v>
      </c>
      <c r="M1499">
        <v>240</v>
      </c>
      <c r="N1499">
        <f t="shared" si="393"/>
        <v>-239</v>
      </c>
    </row>
    <row r="1500" spans="1:14" x14ac:dyDescent="0.2">
      <c r="A1500" t="s">
        <v>2110</v>
      </c>
      <c r="B1500" s="1" t="s">
        <v>2109</v>
      </c>
      <c r="C1500" t="s">
        <v>14</v>
      </c>
      <c r="D1500" t="s">
        <v>1002</v>
      </c>
      <c r="E1500">
        <v>18</v>
      </c>
      <c r="F1500" t="s">
        <v>1901</v>
      </c>
      <c r="G1500">
        <v>2022</v>
      </c>
      <c r="H1500" t="s">
        <v>170</v>
      </c>
      <c r="I1500" t="s">
        <v>171</v>
      </c>
      <c r="J1500">
        <v>849</v>
      </c>
      <c r="K1500">
        <v>250</v>
      </c>
      <c r="L1500">
        <f t="shared" ref="L1500:L1509" si="394">J1500-K1500</f>
        <v>599</v>
      </c>
      <c r="M1500">
        <v>240</v>
      </c>
      <c r="N1500">
        <f t="shared" ref="N1500:N1509" si="395">L1500-M1500</f>
        <v>359</v>
      </c>
    </row>
    <row r="1501" spans="1:14" x14ac:dyDescent="0.2">
      <c r="A1501" t="s">
        <v>2111</v>
      </c>
      <c r="B1501" s="1" t="s">
        <v>2100</v>
      </c>
      <c r="C1501" t="s">
        <v>14</v>
      </c>
      <c r="D1501" t="s">
        <v>747</v>
      </c>
      <c r="E1501">
        <v>17</v>
      </c>
      <c r="F1501" t="s">
        <v>1901</v>
      </c>
      <c r="G1501">
        <v>2022</v>
      </c>
      <c r="H1501" t="s">
        <v>2112</v>
      </c>
      <c r="I1501" t="s">
        <v>163</v>
      </c>
      <c r="J1501">
        <v>799</v>
      </c>
      <c r="K1501">
        <v>205</v>
      </c>
      <c r="L1501">
        <f t="shared" si="394"/>
        <v>594</v>
      </c>
      <c r="M1501">
        <v>240</v>
      </c>
      <c r="N1501">
        <f t="shared" si="395"/>
        <v>354</v>
      </c>
    </row>
    <row r="1502" spans="1:14" x14ac:dyDescent="0.2">
      <c r="A1502" t="s">
        <v>2113</v>
      </c>
      <c r="B1502" s="1" t="s">
        <v>2109</v>
      </c>
      <c r="C1502" t="s">
        <v>14</v>
      </c>
      <c r="D1502" t="s">
        <v>1076</v>
      </c>
      <c r="E1502">
        <v>18</v>
      </c>
      <c r="F1502" t="s">
        <v>1901</v>
      </c>
      <c r="G1502">
        <v>2022</v>
      </c>
      <c r="H1502" t="s">
        <v>2114</v>
      </c>
      <c r="I1502" t="s">
        <v>85</v>
      </c>
      <c r="J1502">
        <v>849</v>
      </c>
      <c r="K1502">
        <v>250</v>
      </c>
      <c r="L1502">
        <f t="shared" si="394"/>
        <v>599</v>
      </c>
      <c r="M1502">
        <v>240</v>
      </c>
      <c r="N1502">
        <f t="shared" si="395"/>
        <v>359</v>
      </c>
    </row>
    <row r="1503" spans="1:14" x14ac:dyDescent="0.2">
      <c r="A1503" t="s">
        <v>2115</v>
      </c>
      <c r="B1503" s="1" t="s">
        <v>2109</v>
      </c>
      <c r="C1503" t="s">
        <v>14</v>
      </c>
      <c r="D1503" t="s">
        <v>1338</v>
      </c>
      <c r="E1503">
        <v>18</v>
      </c>
      <c r="F1503" t="s">
        <v>1901</v>
      </c>
      <c r="G1503">
        <v>2022</v>
      </c>
      <c r="H1503" t="s">
        <v>235</v>
      </c>
      <c r="I1503" t="s">
        <v>62</v>
      </c>
      <c r="J1503">
        <v>799</v>
      </c>
      <c r="K1503">
        <v>205</v>
      </c>
      <c r="L1503">
        <f t="shared" si="394"/>
        <v>594</v>
      </c>
      <c r="M1503">
        <v>240</v>
      </c>
      <c r="N1503">
        <f t="shared" si="395"/>
        <v>354</v>
      </c>
    </row>
    <row r="1504" spans="1:14" x14ac:dyDescent="0.2">
      <c r="A1504" t="s">
        <v>2116</v>
      </c>
      <c r="B1504" s="1" t="s">
        <v>2109</v>
      </c>
      <c r="C1504" t="s">
        <v>14</v>
      </c>
      <c r="D1504" t="s">
        <v>380</v>
      </c>
      <c r="E1504">
        <v>18</v>
      </c>
      <c r="F1504" t="s">
        <v>1901</v>
      </c>
      <c r="G1504">
        <v>2022</v>
      </c>
      <c r="H1504" t="s">
        <v>2117</v>
      </c>
      <c r="I1504" t="s">
        <v>135</v>
      </c>
      <c r="J1504">
        <v>806.55</v>
      </c>
      <c r="K1504">
        <v>227</v>
      </c>
      <c r="L1504">
        <f t="shared" si="394"/>
        <v>579.54999999999995</v>
      </c>
      <c r="M1504">
        <v>240</v>
      </c>
      <c r="N1504">
        <f t="shared" si="395"/>
        <v>339.54999999999995</v>
      </c>
    </row>
    <row r="1505" spans="1:14" x14ac:dyDescent="0.2">
      <c r="A1505" t="s">
        <v>2118</v>
      </c>
      <c r="B1505" s="1" t="s">
        <v>2100</v>
      </c>
      <c r="C1505" t="s">
        <v>14</v>
      </c>
      <c r="D1505" t="s">
        <v>81</v>
      </c>
      <c r="E1505">
        <v>17</v>
      </c>
      <c r="F1505" t="s">
        <v>1901</v>
      </c>
      <c r="G1505">
        <v>2022</v>
      </c>
      <c r="H1505" t="s">
        <v>235</v>
      </c>
      <c r="I1505" t="s">
        <v>62</v>
      </c>
      <c r="J1505">
        <v>849</v>
      </c>
      <c r="K1505">
        <v>250</v>
      </c>
      <c r="L1505">
        <f t="shared" si="394"/>
        <v>599</v>
      </c>
      <c r="M1505">
        <v>240</v>
      </c>
      <c r="N1505">
        <f t="shared" si="395"/>
        <v>359</v>
      </c>
    </row>
    <row r="1506" spans="1:14" x14ac:dyDescent="0.2">
      <c r="A1506" t="s">
        <v>2119</v>
      </c>
      <c r="B1506" s="1" t="s">
        <v>2109</v>
      </c>
      <c r="C1506" t="s">
        <v>14</v>
      </c>
      <c r="D1506" t="s">
        <v>1338</v>
      </c>
      <c r="E1506">
        <v>18</v>
      </c>
      <c r="F1506" t="s">
        <v>1901</v>
      </c>
      <c r="G1506">
        <v>2022</v>
      </c>
      <c r="H1506" t="s">
        <v>2036</v>
      </c>
      <c r="I1506" t="s">
        <v>58</v>
      </c>
      <c r="J1506">
        <v>799</v>
      </c>
      <c r="K1506">
        <v>205</v>
      </c>
      <c r="L1506">
        <f t="shared" si="394"/>
        <v>594</v>
      </c>
      <c r="M1506">
        <v>240</v>
      </c>
      <c r="N1506">
        <f t="shared" si="395"/>
        <v>354</v>
      </c>
    </row>
    <row r="1507" spans="1:14" x14ac:dyDescent="0.2">
      <c r="A1507" t="s">
        <v>2120</v>
      </c>
      <c r="B1507" s="1" t="s">
        <v>2100</v>
      </c>
      <c r="C1507" t="s">
        <v>14</v>
      </c>
      <c r="D1507" t="s">
        <v>504</v>
      </c>
      <c r="E1507">
        <v>17</v>
      </c>
      <c r="F1507" t="s">
        <v>1901</v>
      </c>
      <c r="G1507">
        <v>2022</v>
      </c>
      <c r="H1507" t="s">
        <v>2121</v>
      </c>
      <c r="I1507" t="s">
        <v>212</v>
      </c>
      <c r="J1507">
        <v>899</v>
      </c>
      <c r="K1507">
        <v>295</v>
      </c>
      <c r="L1507">
        <f t="shared" si="394"/>
        <v>604</v>
      </c>
      <c r="M1507">
        <v>240</v>
      </c>
      <c r="N1507">
        <f t="shared" si="395"/>
        <v>364</v>
      </c>
    </row>
    <row r="1508" spans="1:14" x14ac:dyDescent="0.2">
      <c r="A1508" t="s">
        <v>2101</v>
      </c>
      <c r="B1508" s="1" t="s">
        <v>2100</v>
      </c>
      <c r="C1508" t="s">
        <v>14</v>
      </c>
      <c r="D1508" t="s">
        <v>923</v>
      </c>
      <c r="E1508">
        <v>17</v>
      </c>
      <c r="F1508" t="s">
        <v>1901</v>
      </c>
      <c r="G1508">
        <v>2022</v>
      </c>
      <c r="H1508" t="s">
        <v>52</v>
      </c>
      <c r="I1508" t="s">
        <v>32</v>
      </c>
      <c r="J1508">
        <v>849</v>
      </c>
      <c r="K1508">
        <v>250</v>
      </c>
      <c r="L1508">
        <f t="shared" si="394"/>
        <v>599</v>
      </c>
      <c r="M1508">
        <v>240</v>
      </c>
      <c r="N1508">
        <f t="shared" si="395"/>
        <v>359</v>
      </c>
    </row>
    <row r="1509" spans="1:14" x14ac:dyDescent="0.2">
      <c r="A1509" t="s">
        <v>2122</v>
      </c>
      <c r="B1509" s="1" t="s">
        <v>2092</v>
      </c>
      <c r="C1509" t="s">
        <v>14</v>
      </c>
      <c r="D1509" t="s">
        <v>860</v>
      </c>
      <c r="E1509">
        <v>16</v>
      </c>
      <c r="F1509" t="s">
        <v>1901</v>
      </c>
      <c r="G1509">
        <v>2022</v>
      </c>
      <c r="H1509" t="s">
        <v>694</v>
      </c>
      <c r="I1509" t="s">
        <v>62</v>
      </c>
      <c r="J1509">
        <v>799</v>
      </c>
      <c r="K1509">
        <v>205</v>
      </c>
      <c r="L1509">
        <f t="shared" si="394"/>
        <v>594</v>
      </c>
      <c r="M1509">
        <v>240</v>
      </c>
      <c r="N1509">
        <f t="shared" si="395"/>
        <v>354</v>
      </c>
    </row>
    <row r="1510" spans="1:14" x14ac:dyDescent="0.2">
      <c r="A1510" t="s">
        <v>1965</v>
      </c>
      <c r="B1510" s="1" t="s">
        <v>1930</v>
      </c>
      <c r="C1510" t="s">
        <v>106</v>
      </c>
      <c r="D1510" t="s">
        <v>1511</v>
      </c>
      <c r="E1510">
        <v>6</v>
      </c>
      <c r="F1510" t="s">
        <v>1901</v>
      </c>
      <c r="G1510">
        <v>2022</v>
      </c>
      <c r="H1510" t="s">
        <v>1966</v>
      </c>
      <c r="I1510" t="s">
        <v>32</v>
      </c>
      <c r="J1510">
        <v>-799</v>
      </c>
      <c r="K1510">
        <v>320</v>
      </c>
      <c r="L1510">
        <f t="shared" ref="L1510:L1511" si="396">J1510+K1510</f>
        <v>-479</v>
      </c>
      <c r="M1510">
        <v>240</v>
      </c>
      <c r="N1510">
        <f t="shared" ref="N1510:N1511" si="397">L1510+M1510</f>
        <v>-239</v>
      </c>
    </row>
    <row r="1511" spans="1:14" x14ac:dyDescent="0.2">
      <c r="A1511" t="s">
        <v>2035</v>
      </c>
      <c r="B1511" s="1" t="s">
        <v>2002</v>
      </c>
      <c r="C1511" t="s">
        <v>106</v>
      </c>
      <c r="D1511" t="s">
        <v>425</v>
      </c>
      <c r="E1511">
        <v>11</v>
      </c>
      <c r="F1511" t="s">
        <v>1901</v>
      </c>
      <c r="G1511">
        <v>2022</v>
      </c>
      <c r="H1511" t="s">
        <v>2036</v>
      </c>
      <c r="I1511" t="s">
        <v>58</v>
      </c>
      <c r="J1511">
        <v>-799</v>
      </c>
      <c r="K1511">
        <v>320</v>
      </c>
      <c r="L1511">
        <f t="shared" si="396"/>
        <v>-479</v>
      </c>
      <c r="M1511">
        <v>240</v>
      </c>
      <c r="N1511">
        <f t="shared" si="397"/>
        <v>-239</v>
      </c>
    </row>
    <row r="1512" spans="1:14" x14ac:dyDescent="0.2">
      <c r="A1512" t="s">
        <v>2124</v>
      </c>
      <c r="B1512" s="1" t="s">
        <v>2123</v>
      </c>
      <c r="C1512" t="s">
        <v>14</v>
      </c>
      <c r="D1512" t="s">
        <v>1508</v>
      </c>
      <c r="E1512">
        <v>19</v>
      </c>
      <c r="F1512" t="s">
        <v>1901</v>
      </c>
      <c r="G1512">
        <v>2022</v>
      </c>
      <c r="H1512" t="s">
        <v>2125</v>
      </c>
      <c r="I1512" t="s">
        <v>32</v>
      </c>
      <c r="J1512">
        <v>949.05</v>
      </c>
      <c r="K1512">
        <v>306</v>
      </c>
      <c r="L1512">
        <f t="shared" ref="L1512:L1518" si="398">J1512-K1512</f>
        <v>643.04999999999995</v>
      </c>
      <c r="M1512">
        <v>240</v>
      </c>
      <c r="N1512">
        <f t="shared" ref="N1512:N1518" si="399">L1512-M1512</f>
        <v>403.04999999999995</v>
      </c>
    </row>
    <row r="1513" spans="1:14" x14ac:dyDescent="0.2">
      <c r="A1513" t="s">
        <v>2126</v>
      </c>
      <c r="B1513" s="1" t="s">
        <v>2123</v>
      </c>
      <c r="C1513" t="s">
        <v>14</v>
      </c>
      <c r="D1513" t="s">
        <v>504</v>
      </c>
      <c r="E1513">
        <v>19</v>
      </c>
      <c r="F1513" t="s">
        <v>1901</v>
      </c>
      <c r="G1513">
        <v>2022</v>
      </c>
      <c r="H1513" t="s">
        <v>246</v>
      </c>
      <c r="I1513" t="s">
        <v>58</v>
      </c>
      <c r="J1513">
        <v>899</v>
      </c>
      <c r="K1513">
        <v>295</v>
      </c>
      <c r="L1513">
        <f t="shared" si="398"/>
        <v>604</v>
      </c>
      <c r="M1513">
        <v>240</v>
      </c>
      <c r="N1513">
        <f t="shared" si="399"/>
        <v>364</v>
      </c>
    </row>
    <row r="1514" spans="1:14" x14ac:dyDescent="0.2">
      <c r="A1514" t="s">
        <v>2127</v>
      </c>
      <c r="B1514" s="1" t="s">
        <v>2109</v>
      </c>
      <c r="C1514" t="s">
        <v>14</v>
      </c>
      <c r="D1514" t="s">
        <v>1144</v>
      </c>
      <c r="E1514">
        <v>18</v>
      </c>
      <c r="F1514" t="s">
        <v>1901</v>
      </c>
      <c r="G1514">
        <v>2022</v>
      </c>
      <c r="H1514" t="s">
        <v>2128</v>
      </c>
      <c r="I1514" t="s">
        <v>58</v>
      </c>
      <c r="J1514">
        <v>799</v>
      </c>
      <c r="K1514">
        <v>205</v>
      </c>
      <c r="L1514">
        <f t="shared" si="398"/>
        <v>594</v>
      </c>
      <c r="M1514">
        <v>240</v>
      </c>
      <c r="N1514">
        <f t="shared" si="399"/>
        <v>354</v>
      </c>
    </row>
    <row r="1515" spans="1:14" x14ac:dyDescent="0.2">
      <c r="A1515" t="s">
        <v>2129</v>
      </c>
      <c r="B1515" s="1" t="s">
        <v>2123</v>
      </c>
      <c r="C1515" t="s">
        <v>14</v>
      </c>
      <c r="D1515" t="s">
        <v>940</v>
      </c>
      <c r="E1515">
        <v>19</v>
      </c>
      <c r="F1515" t="s">
        <v>1901</v>
      </c>
      <c r="G1515">
        <v>2022</v>
      </c>
      <c r="H1515" t="s">
        <v>2130</v>
      </c>
      <c r="I1515" t="s">
        <v>163</v>
      </c>
      <c r="J1515">
        <v>799</v>
      </c>
      <c r="K1515">
        <v>205</v>
      </c>
      <c r="L1515">
        <f t="shared" si="398"/>
        <v>594</v>
      </c>
      <c r="M1515">
        <v>240</v>
      </c>
      <c r="N1515">
        <f t="shared" si="399"/>
        <v>354</v>
      </c>
    </row>
    <row r="1516" spans="1:14" x14ac:dyDescent="0.2">
      <c r="A1516" t="s">
        <v>2131</v>
      </c>
      <c r="B1516" s="1" t="s">
        <v>2123</v>
      </c>
      <c r="C1516" t="s">
        <v>14</v>
      </c>
      <c r="D1516" t="s">
        <v>1486</v>
      </c>
      <c r="E1516">
        <v>19</v>
      </c>
      <c r="F1516" t="s">
        <v>1901</v>
      </c>
      <c r="G1516">
        <v>2022</v>
      </c>
      <c r="H1516" t="s">
        <v>246</v>
      </c>
      <c r="I1516" t="s">
        <v>58</v>
      </c>
      <c r="J1516">
        <v>999</v>
      </c>
      <c r="K1516">
        <v>325</v>
      </c>
      <c r="L1516">
        <f t="shared" si="398"/>
        <v>674</v>
      </c>
      <c r="M1516">
        <v>240</v>
      </c>
      <c r="N1516">
        <f t="shared" si="399"/>
        <v>434</v>
      </c>
    </row>
    <row r="1517" spans="1:14" x14ac:dyDescent="0.2">
      <c r="A1517" t="s">
        <v>2132</v>
      </c>
      <c r="B1517" s="1" t="s">
        <v>2109</v>
      </c>
      <c r="C1517" t="s">
        <v>14</v>
      </c>
      <c r="D1517" t="s">
        <v>504</v>
      </c>
      <c r="E1517">
        <v>18</v>
      </c>
      <c r="F1517" t="s">
        <v>1901</v>
      </c>
      <c r="G1517">
        <v>2022</v>
      </c>
      <c r="H1517" t="s">
        <v>2133</v>
      </c>
      <c r="I1517" t="s">
        <v>122</v>
      </c>
      <c r="J1517">
        <v>899</v>
      </c>
      <c r="K1517">
        <v>295</v>
      </c>
      <c r="L1517">
        <f t="shared" si="398"/>
        <v>604</v>
      </c>
      <c r="M1517">
        <v>240</v>
      </c>
      <c r="N1517">
        <f t="shared" si="399"/>
        <v>364</v>
      </c>
    </row>
    <row r="1518" spans="1:14" x14ac:dyDescent="0.2">
      <c r="A1518" t="s">
        <v>2134</v>
      </c>
      <c r="B1518" s="1" t="s">
        <v>2123</v>
      </c>
      <c r="C1518" t="s">
        <v>14</v>
      </c>
      <c r="D1518" t="s">
        <v>1089</v>
      </c>
      <c r="E1518">
        <v>19</v>
      </c>
      <c r="F1518" t="s">
        <v>1901</v>
      </c>
      <c r="G1518">
        <v>2022</v>
      </c>
      <c r="H1518" t="s">
        <v>246</v>
      </c>
      <c r="I1518" t="s">
        <v>58</v>
      </c>
      <c r="J1518">
        <v>799</v>
      </c>
      <c r="K1518">
        <v>205</v>
      </c>
      <c r="L1518">
        <f t="shared" si="398"/>
        <v>594</v>
      </c>
      <c r="M1518">
        <v>240</v>
      </c>
      <c r="N1518">
        <f t="shared" si="399"/>
        <v>354</v>
      </c>
    </row>
    <row r="1519" spans="1:14" x14ac:dyDescent="0.2">
      <c r="A1519" t="s">
        <v>2038</v>
      </c>
      <c r="B1519" s="1" t="s">
        <v>1992</v>
      </c>
      <c r="C1519" t="s">
        <v>106</v>
      </c>
      <c r="D1519" t="s">
        <v>504</v>
      </c>
      <c r="E1519">
        <v>9</v>
      </c>
      <c r="F1519" t="s">
        <v>1901</v>
      </c>
      <c r="G1519">
        <v>2022</v>
      </c>
      <c r="H1519" t="s">
        <v>616</v>
      </c>
      <c r="I1519" t="s">
        <v>85</v>
      </c>
      <c r="J1519">
        <v>-899</v>
      </c>
      <c r="K1519">
        <v>375</v>
      </c>
      <c r="L1519">
        <f>J1519+K1519</f>
        <v>-524</v>
      </c>
      <c r="M1519">
        <v>240</v>
      </c>
      <c r="N1519">
        <f>L1519+M1519</f>
        <v>-284</v>
      </c>
    </row>
    <row r="1520" spans="1:14" x14ac:dyDescent="0.2">
      <c r="A1520" t="s">
        <v>2136</v>
      </c>
      <c r="B1520" s="1" t="s">
        <v>2135</v>
      </c>
      <c r="C1520" t="s">
        <v>14</v>
      </c>
      <c r="D1520" t="s">
        <v>1076</v>
      </c>
      <c r="E1520">
        <v>20</v>
      </c>
      <c r="F1520" t="s">
        <v>1901</v>
      </c>
      <c r="G1520">
        <v>2022</v>
      </c>
      <c r="H1520" t="s">
        <v>68</v>
      </c>
      <c r="I1520" t="s">
        <v>62</v>
      </c>
      <c r="J1520">
        <v>849</v>
      </c>
      <c r="K1520">
        <v>250</v>
      </c>
      <c r="L1520">
        <f t="shared" ref="L1520:L1525" si="400">J1520-K1520</f>
        <v>599</v>
      </c>
      <c r="M1520">
        <v>240</v>
      </c>
      <c r="N1520">
        <f t="shared" ref="N1520:N1525" si="401">L1520-M1520</f>
        <v>359</v>
      </c>
    </row>
    <row r="1521" spans="1:14" x14ac:dyDescent="0.2">
      <c r="A1521" t="s">
        <v>2137</v>
      </c>
      <c r="B1521" s="1" t="s">
        <v>2135</v>
      </c>
      <c r="C1521" t="s">
        <v>14</v>
      </c>
      <c r="D1521" t="s">
        <v>425</v>
      </c>
      <c r="E1521">
        <v>20</v>
      </c>
      <c r="F1521" t="s">
        <v>1901</v>
      </c>
      <c r="G1521">
        <v>2022</v>
      </c>
      <c r="H1521" t="s">
        <v>246</v>
      </c>
      <c r="I1521" t="s">
        <v>58</v>
      </c>
      <c r="J1521">
        <v>799</v>
      </c>
      <c r="K1521">
        <v>205</v>
      </c>
      <c r="L1521">
        <f t="shared" si="400"/>
        <v>594</v>
      </c>
      <c r="M1521">
        <v>240</v>
      </c>
      <c r="N1521">
        <f t="shared" si="401"/>
        <v>354</v>
      </c>
    </row>
    <row r="1522" spans="1:14" x14ac:dyDescent="0.2">
      <c r="A1522" t="s">
        <v>2138</v>
      </c>
      <c r="B1522" s="1" t="s">
        <v>2135</v>
      </c>
      <c r="C1522" t="s">
        <v>14</v>
      </c>
      <c r="D1522" t="s">
        <v>425</v>
      </c>
      <c r="E1522">
        <v>20</v>
      </c>
      <c r="F1522" t="s">
        <v>1901</v>
      </c>
      <c r="G1522">
        <v>2022</v>
      </c>
      <c r="H1522" t="s">
        <v>157</v>
      </c>
      <c r="I1522" t="s">
        <v>97</v>
      </c>
      <c r="J1522">
        <v>799</v>
      </c>
      <c r="K1522">
        <v>205</v>
      </c>
      <c r="L1522">
        <f t="shared" si="400"/>
        <v>594</v>
      </c>
      <c r="M1522">
        <v>240</v>
      </c>
      <c r="N1522">
        <f t="shared" si="401"/>
        <v>354</v>
      </c>
    </row>
    <row r="1523" spans="1:14" x14ac:dyDescent="0.2">
      <c r="A1523" t="s">
        <v>2139</v>
      </c>
      <c r="B1523" s="1" t="s">
        <v>2135</v>
      </c>
      <c r="C1523" t="s">
        <v>14</v>
      </c>
      <c r="D1523" t="s">
        <v>133</v>
      </c>
      <c r="E1523">
        <v>20</v>
      </c>
      <c r="F1523" t="s">
        <v>1901</v>
      </c>
      <c r="G1523">
        <v>2022</v>
      </c>
      <c r="H1523" t="s">
        <v>170</v>
      </c>
      <c r="I1523" t="s">
        <v>171</v>
      </c>
      <c r="J1523">
        <v>759.05</v>
      </c>
      <c r="K1523">
        <v>202</v>
      </c>
      <c r="L1523">
        <f t="shared" si="400"/>
        <v>557.04999999999995</v>
      </c>
      <c r="M1523">
        <v>240</v>
      </c>
      <c r="N1523">
        <f t="shared" si="401"/>
        <v>317.04999999999995</v>
      </c>
    </row>
    <row r="1524" spans="1:14" x14ac:dyDescent="0.2">
      <c r="A1524" t="s">
        <v>2140</v>
      </c>
      <c r="B1524" s="1" t="s">
        <v>2135</v>
      </c>
      <c r="C1524" t="s">
        <v>14</v>
      </c>
      <c r="D1524" t="s">
        <v>452</v>
      </c>
      <c r="E1524">
        <v>20</v>
      </c>
      <c r="F1524" t="s">
        <v>1901</v>
      </c>
      <c r="G1524">
        <v>2022</v>
      </c>
      <c r="H1524" t="s">
        <v>91</v>
      </c>
      <c r="I1524" t="s">
        <v>23</v>
      </c>
      <c r="J1524">
        <v>799</v>
      </c>
      <c r="K1524">
        <v>205</v>
      </c>
      <c r="L1524">
        <f t="shared" si="400"/>
        <v>594</v>
      </c>
      <c r="M1524">
        <v>240</v>
      </c>
      <c r="N1524">
        <f t="shared" si="401"/>
        <v>354</v>
      </c>
    </row>
    <row r="1525" spans="1:14" x14ac:dyDescent="0.2">
      <c r="A1525" t="s">
        <v>2141</v>
      </c>
      <c r="B1525" s="1" t="s">
        <v>2135</v>
      </c>
      <c r="C1525" t="s">
        <v>14</v>
      </c>
      <c r="D1525" t="s">
        <v>2142</v>
      </c>
      <c r="E1525">
        <v>20</v>
      </c>
      <c r="F1525" t="s">
        <v>1901</v>
      </c>
      <c r="G1525">
        <v>2022</v>
      </c>
      <c r="H1525" t="s">
        <v>246</v>
      </c>
      <c r="I1525" t="s">
        <v>58</v>
      </c>
      <c r="J1525">
        <v>849</v>
      </c>
      <c r="K1525">
        <v>250</v>
      </c>
      <c r="L1525">
        <f t="shared" si="400"/>
        <v>599</v>
      </c>
      <c r="M1525">
        <v>240</v>
      </c>
      <c r="N1525">
        <f t="shared" si="401"/>
        <v>359</v>
      </c>
    </row>
    <row r="1526" spans="1:14" x14ac:dyDescent="0.2">
      <c r="A1526" t="s">
        <v>2144</v>
      </c>
      <c r="B1526" s="1" t="s">
        <v>2143</v>
      </c>
      <c r="C1526" t="s">
        <v>43</v>
      </c>
      <c r="D1526" t="s">
        <v>1015</v>
      </c>
      <c r="E1526">
        <v>21</v>
      </c>
      <c r="F1526" t="s">
        <v>1901</v>
      </c>
      <c r="G1526">
        <v>2022</v>
      </c>
      <c r="H1526" t="s">
        <v>2145</v>
      </c>
      <c r="I1526" t="s">
        <v>135</v>
      </c>
      <c r="J1526">
        <v>0</v>
      </c>
      <c r="K1526">
        <v>0</v>
      </c>
      <c r="L1526">
        <v>0</v>
      </c>
      <c r="M1526">
        <v>0</v>
      </c>
      <c r="N1526">
        <v>0</v>
      </c>
    </row>
    <row r="1527" spans="1:14" x14ac:dyDescent="0.2">
      <c r="A1527" t="s">
        <v>2004</v>
      </c>
      <c r="B1527" s="1" t="s">
        <v>1992</v>
      </c>
      <c r="C1527" t="s">
        <v>106</v>
      </c>
      <c r="D1527" t="s">
        <v>2005</v>
      </c>
      <c r="E1527">
        <v>9</v>
      </c>
      <c r="F1527" t="s">
        <v>1901</v>
      </c>
      <c r="G1527">
        <v>2022</v>
      </c>
      <c r="H1527" t="s">
        <v>2006</v>
      </c>
      <c r="I1527" t="s">
        <v>160</v>
      </c>
      <c r="J1527">
        <v>-799</v>
      </c>
      <c r="K1527">
        <v>320</v>
      </c>
      <c r="L1527">
        <f t="shared" ref="L1527:L1528" si="402">J1527+K1527</f>
        <v>-479</v>
      </c>
      <c r="M1527">
        <v>240</v>
      </c>
      <c r="N1527">
        <f t="shared" ref="N1527:N1528" si="403">L1527+M1527</f>
        <v>-239</v>
      </c>
    </row>
    <row r="1528" spans="1:14" x14ac:dyDescent="0.2">
      <c r="A1528" t="s">
        <v>2059</v>
      </c>
      <c r="B1528" s="1" t="s">
        <v>2023</v>
      </c>
      <c r="C1528" t="s">
        <v>106</v>
      </c>
      <c r="D1528" t="s">
        <v>1825</v>
      </c>
      <c r="E1528">
        <v>12</v>
      </c>
      <c r="F1528" t="s">
        <v>1901</v>
      </c>
      <c r="G1528">
        <v>2022</v>
      </c>
      <c r="H1528" t="s">
        <v>449</v>
      </c>
      <c r="I1528" t="s">
        <v>97</v>
      </c>
      <c r="J1528">
        <v>-849</v>
      </c>
      <c r="K1528">
        <v>345</v>
      </c>
      <c r="L1528">
        <f t="shared" si="402"/>
        <v>-504</v>
      </c>
      <c r="M1528">
        <v>240</v>
      </c>
      <c r="N1528">
        <f t="shared" si="403"/>
        <v>-264</v>
      </c>
    </row>
    <row r="1529" spans="1:14" x14ac:dyDescent="0.2">
      <c r="A1529" t="s">
        <v>2146</v>
      </c>
      <c r="B1529" s="1" t="s">
        <v>2143</v>
      </c>
      <c r="C1529" t="s">
        <v>14</v>
      </c>
      <c r="D1529" t="s">
        <v>81</v>
      </c>
      <c r="E1529">
        <v>21</v>
      </c>
      <c r="F1529" t="s">
        <v>1901</v>
      </c>
      <c r="G1529">
        <v>2022</v>
      </c>
      <c r="H1529" t="s">
        <v>157</v>
      </c>
      <c r="I1529" t="s">
        <v>97</v>
      </c>
      <c r="J1529">
        <v>849</v>
      </c>
      <c r="K1529">
        <v>250</v>
      </c>
      <c r="L1529">
        <f t="shared" ref="L1529:L1532" si="404">J1529-K1529</f>
        <v>599</v>
      </c>
      <c r="M1529">
        <v>240</v>
      </c>
      <c r="N1529">
        <f t="shared" ref="N1529:N1532" si="405">L1529-M1529</f>
        <v>359</v>
      </c>
    </row>
    <row r="1530" spans="1:14" x14ac:dyDescent="0.2">
      <c r="A1530" t="s">
        <v>2147</v>
      </c>
      <c r="B1530" s="1" t="s">
        <v>2143</v>
      </c>
      <c r="C1530" t="s">
        <v>14</v>
      </c>
      <c r="D1530" t="s">
        <v>893</v>
      </c>
      <c r="E1530">
        <v>21</v>
      </c>
      <c r="F1530" t="s">
        <v>1901</v>
      </c>
      <c r="G1530">
        <v>2022</v>
      </c>
      <c r="H1530" t="s">
        <v>1225</v>
      </c>
      <c r="I1530" t="s">
        <v>85</v>
      </c>
      <c r="J1530">
        <v>849</v>
      </c>
      <c r="K1530">
        <v>250</v>
      </c>
      <c r="L1530">
        <f t="shared" si="404"/>
        <v>599</v>
      </c>
      <c r="M1530">
        <v>240</v>
      </c>
      <c r="N1530">
        <f t="shared" si="405"/>
        <v>359</v>
      </c>
    </row>
    <row r="1531" spans="1:14" x14ac:dyDescent="0.2">
      <c r="A1531" t="s">
        <v>2148</v>
      </c>
      <c r="B1531" s="1" t="s">
        <v>2143</v>
      </c>
      <c r="C1531" t="s">
        <v>14</v>
      </c>
      <c r="D1531" t="s">
        <v>977</v>
      </c>
      <c r="E1531">
        <v>21</v>
      </c>
      <c r="F1531" t="s">
        <v>1901</v>
      </c>
      <c r="G1531">
        <v>2022</v>
      </c>
      <c r="H1531" t="s">
        <v>705</v>
      </c>
      <c r="I1531" t="s">
        <v>62</v>
      </c>
      <c r="J1531">
        <v>799</v>
      </c>
      <c r="K1531">
        <v>205</v>
      </c>
      <c r="L1531">
        <f t="shared" si="404"/>
        <v>594</v>
      </c>
      <c r="M1531">
        <v>240</v>
      </c>
      <c r="N1531">
        <f t="shared" si="405"/>
        <v>354</v>
      </c>
    </row>
    <row r="1532" spans="1:14" x14ac:dyDescent="0.2">
      <c r="A1532" t="s">
        <v>2149</v>
      </c>
      <c r="B1532" s="1" t="s">
        <v>2143</v>
      </c>
      <c r="C1532" t="s">
        <v>14</v>
      </c>
      <c r="D1532" t="s">
        <v>863</v>
      </c>
      <c r="E1532">
        <v>21</v>
      </c>
      <c r="F1532" t="s">
        <v>1901</v>
      </c>
      <c r="G1532">
        <v>2022</v>
      </c>
      <c r="H1532" t="s">
        <v>101</v>
      </c>
      <c r="I1532" t="s">
        <v>62</v>
      </c>
      <c r="J1532">
        <v>799</v>
      </c>
      <c r="K1532">
        <v>205</v>
      </c>
      <c r="L1532">
        <f t="shared" si="404"/>
        <v>594</v>
      </c>
      <c r="M1532">
        <v>240</v>
      </c>
      <c r="N1532">
        <f t="shared" si="405"/>
        <v>354</v>
      </c>
    </row>
    <row r="1533" spans="1:14" x14ac:dyDescent="0.2">
      <c r="A1533" t="s">
        <v>2151</v>
      </c>
      <c r="B1533" s="1" t="s">
        <v>2150</v>
      </c>
      <c r="C1533" t="s">
        <v>43</v>
      </c>
      <c r="D1533" t="s">
        <v>2152</v>
      </c>
      <c r="E1533">
        <v>22</v>
      </c>
      <c r="F1533" t="s">
        <v>1901</v>
      </c>
      <c r="G1533">
        <v>2022</v>
      </c>
      <c r="H1533" t="s">
        <v>1924</v>
      </c>
      <c r="I1533" t="s">
        <v>23</v>
      </c>
      <c r="J1533">
        <v>0</v>
      </c>
      <c r="K1533">
        <v>0</v>
      </c>
      <c r="L1533">
        <v>0</v>
      </c>
      <c r="M1533">
        <v>0</v>
      </c>
      <c r="N1533">
        <v>0</v>
      </c>
    </row>
    <row r="1534" spans="1:14" x14ac:dyDescent="0.2">
      <c r="A1534" t="s">
        <v>2119</v>
      </c>
      <c r="B1534" s="1" t="s">
        <v>2109</v>
      </c>
      <c r="C1534" t="s">
        <v>106</v>
      </c>
      <c r="D1534" t="s">
        <v>1338</v>
      </c>
      <c r="E1534">
        <v>18</v>
      </c>
      <c r="F1534" t="s">
        <v>1901</v>
      </c>
      <c r="G1534">
        <v>2022</v>
      </c>
      <c r="H1534" t="s">
        <v>2036</v>
      </c>
      <c r="I1534" t="s">
        <v>58</v>
      </c>
      <c r="J1534">
        <v>-799</v>
      </c>
      <c r="K1534">
        <v>320</v>
      </c>
      <c r="L1534">
        <f>J1534+K1534</f>
        <v>-479</v>
      </c>
      <c r="M1534">
        <v>240</v>
      </c>
      <c r="N1534">
        <f>L1534+M1534</f>
        <v>-239</v>
      </c>
    </row>
    <row r="1535" spans="1:14" x14ac:dyDescent="0.2">
      <c r="A1535" t="s">
        <v>2153</v>
      </c>
      <c r="B1535" s="1" t="s">
        <v>2150</v>
      </c>
      <c r="C1535" t="s">
        <v>43</v>
      </c>
      <c r="D1535" t="s">
        <v>1834</v>
      </c>
      <c r="E1535">
        <v>22</v>
      </c>
      <c r="F1535" t="s">
        <v>1901</v>
      </c>
      <c r="G1535">
        <v>2022</v>
      </c>
      <c r="H1535" t="s">
        <v>2154</v>
      </c>
      <c r="I1535" t="s">
        <v>23</v>
      </c>
      <c r="J1535">
        <v>0</v>
      </c>
      <c r="K1535">
        <v>0</v>
      </c>
      <c r="L1535">
        <v>0</v>
      </c>
      <c r="M1535">
        <v>0</v>
      </c>
      <c r="N1535">
        <v>0</v>
      </c>
    </row>
    <row r="1536" spans="1:14" x14ac:dyDescent="0.2">
      <c r="A1536" t="s">
        <v>2155</v>
      </c>
      <c r="B1536" s="1" t="s">
        <v>2150</v>
      </c>
      <c r="C1536" t="s">
        <v>14</v>
      </c>
      <c r="D1536" t="s">
        <v>452</v>
      </c>
      <c r="E1536">
        <v>22</v>
      </c>
      <c r="F1536" t="s">
        <v>1901</v>
      </c>
      <c r="G1536">
        <v>2022</v>
      </c>
      <c r="H1536" t="s">
        <v>2156</v>
      </c>
      <c r="I1536" t="s">
        <v>1742</v>
      </c>
      <c r="J1536">
        <v>799</v>
      </c>
      <c r="K1536">
        <v>205</v>
      </c>
      <c r="L1536">
        <f t="shared" ref="L1536:L1537" si="406">J1536-K1536</f>
        <v>594</v>
      </c>
      <c r="M1536">
        <v>240</v>
      </c>
      <c r="N1536">
        <f t="shared" ref="N1536:N1537" si="407">L1536-M1536</f>
        <v>354</v>
      </c>
    </row>
    <row r="1537" spans="1:14" x14ac:dyDescent="0.2">
      <c r="A1537" t="s">
        <v>2158</v>
      </c>
      <c r="B1537" s="1" t="s">
        <v>2157</v>
      </c>
      <c r="C1537" t="s">
        <v>14</v>
      </c>
      <c r="D1537" t="s">
        <v>822</v>
      </c>
      <c r="E1537">
        <v>23</v>
      </c>
      <c r="F1537" t="s">
        <v>1901</v>
      </c>
      <c r="G1537">
        <v>2022</v>
      </c>
      <c r="H1537" t="s">
        <v>235</v>
      </c>
      <c r="I1537" t="s">
        <v>62</v>
      </c>
      <c r="J1537">
        <v>849</v>
      </c>
      <c r="K1537">
        <v>250</v>
      </c>
      <c r="L1537">
        <f t="shared" si="406"/>
        <v>599</v>
      </c>
      <c r="M1537">
        <v>240</v>
      </c>
      <c r="N1537">
        <f t="shared" si="407"/>
        <v>359</v>
      </c>
    </row>
    <row r="1538" spans="1:14" x14ac:dyDescent="0.2">
      <c r="A1538" t="s">
        <v>2159</v>
      </c>
      <c r="B1538" s="1" t="s">
        <v>2150</v>
      </c>
      <c r="C1538" t="s">
        <v>20</v>
      </c>
      <c r="D1538" t="s">
        <v>915</v>
      </c>
      <c r="E1538">
        <v>22</v>
      </c>
      <c r="F1538" t="s">
        <v>1901</v>
      </c>
      <c r="G1538">
        <v>2022</v>
      </c>
      <c r="H1538" t="s">
        <v>1043</v>
      </c>
      <c r="I1538" t="s">
        <v>19</v>
      </c>
      <c r="J1538">
        <v>0</v>
      </c>
      <c r="K1538">
        <v>0</v>
      </c>
      <c r="L1538">
        <v>0</v>
      </c>
      <c r="M1538">
        <v>0</v>
      </c>
      <c r="N1538">
        <v>0</v>
      </c>
    </row>
    <row r="1539" spans="1:14" x14ac:dyDescent="0.2">
      <c r="A1539" t="s">
        <v>2160</v>
      </c>
      <c r="B1539" s="1" t="s">
        <v>2150</v>
      </c>
      <c r="C1539" t="s">
        <v>14</v>
      </c>
      <c r="D1539" t="s">
        <v>425</v>
      </c>
      <c r="E1539">
        <v>22</v>
      </c>
      <c r="F1539" t="s">
        <v>1901</v>
      </c>
      <c r="G1539">
        <v>2022</v>
      </c>
      <c r="H1539" t="s">
        <v>157</v>
      </c>
      <c r="I1539" t="s">
        <v>97</v>
      </c>
      <c r="J1539">
        <v>799</v>
      </c>
      <c r="K1539">
        <v>205</v>
      </c>
      <c r="L1539">
        <f t="shared" ref="L1539:L1541" si="408">J1539-K1539</f>
        <v>594</v>
      </c>
      <c r="M1539">
        <v>240</v>
      </c>
      <c r="N1539">
        <f t="shared" ref="N1539:N1541" si="409">L1539-M1539</f>
        <v>354</v>
      </c>
    </row>
    <row r="1540" spans="1:14" x14ac:dyDescent="0.2">
      <c r="A1540" t="s">
        <v>2161</v>
      </c>
      <c r="B1540" s="1" t="s">
        <v>2150</v>
      </c>
      <c r="C1540" t="s">
        <v>14</v>
      </c>
      <c r="D1540" t="s">
        <v>1076</v>
      </c>
      <c r="E1540">
        <v>22</v>
      </c>
      <c r="F1540" t="s">
        <v>1901</v>
      </c>
      <c r="G1540">
        <v>2022</v>
      </c>
      <c r="H1540" t="s">
        <v>2162</v>
      </c>
      <c r="I1540" t="s">
        <v>2162</v>
      </c>
      <c r="J1540">
        <v>849</v>
      </c>
      <c r="K1540">
        <v>250</v>
      </c>
      <c r="L1540">
        <f t="shared" si="408"/>
        <v>599</v>
      </c>
      <c r="M1540">
        <v>240</v>
      </c>
      <c r="N1540">
        <f t="shared" si="409"/>
        <v>359</v>
      </c>
    </row>
    <row r="1541" spans="1:14" x14ac:dyDescent="0.2">
      <c r="A1541" t="s">
        <v>2163</v>
      </c>
      <c r="B1541" s="1" t="s">
        <v>2150</v>
      </c>
      <c r="C1541" t="s">
        <v>14</v>
      </c>
      <c r="D1541" t="s">
        <v>834</v>
      </c>
      <c r="E1541">
        <v>22</v>
      </c>
      <c r="F1541" t="s">
        <v>1901</v>
      </c>
      <c r="G1541">
        <v>2022</v>
      </c>
      <c r="H1541" t="s">
        <v>2154</v>
      </c>
      <c r="I1541" t="s">
        <v>23</v>
      </c>
      <c r="J1541">
        <v>849</v>
      </c>
      <c r="K1541">
        <v>250</v>
      </c>
      <c r="L1541">
        <f t="shared" si="408"/>
        <v>599</v>
      </c>
      <c r="M1541">
        <v>240</v>
      </c>
      <c r="N1541">
        <f t="shared" si="409"/>
        <v>359</v>
      </c>
    </row>
    <row r="1542" spans="1:14" x14ac:dyDescent="0.2">
      <c r="A1542" t="s">
        <v>2003</v>
      </c>
      <c r="B1542" s="1" t="s">
        <v>2002</v>
      </c>
      <c r="C1542" t="s">
        <v>106</v>
      </c>
      <c r="D1542" t="s">
        <v>448</v>
      </c>
      <c r="E1542">
        <v>11</v>
      </c>
      <c r="F1542" t="s">
        <v>1901</v>
      </c>
      <c r="G1542">
        <v>2022</v>
      </c>
      <c r="H1542" t="s">
        <v>1245</v>
      </c>
      <c r="I1542" t="s">
        <v>502</v>
      </c>
      <c r="J1542">
        <v>-899</v>
      </c>
      <c r="K1542">
        <v>375</v>
      </c>
      <c r="L1542">
        <f t="shared" ref="L1542:L1544" si="410">J1542+K1542</f>
        <v>-524</v>
      </c>
      <c r="M1542">
        <v>240</v>
      </c>
      <c r="N1542">
        <f t="shared" ref="N1542:N1544" si="411">L1542+M1542</f>
        <v>-284</v>
      </c>
    </row>
    <row r="1543" spans="1:14" x14ac:dyDescent="0.2">
      <c r="A1543" t="s">
        <v>2094</v>
      </c>
      <c r="B1543" s="1" t="s">
        <v>2092</v>
      </c>
      <c r="C1543" t="s">
        <v>106</v>
      </c>
      <c r="D1543" t="s">
        <v>895</v>
      </c>
      <c r="E1543">
        <v>16</v>
      </c>
      <c r="F1543" t="s">
        <v>1901</v>
      </c>
      <c r="G1543">
        <v>2022</v>
      </c>
      <c r="H1543" t="s">
        <v>579</v>
      </c>
      <c r="I1543" t="s">
        <v>62</v>
      </c>
      <c r="J1543">
        <v>-849</v>
      </c>
      <c r="K1543">
        <v>345</v>
      </c>
      <c r="L1543">
        <f t="shared" si="410"/>
        <v>-504</v>
      </c>
      <c r="M1543">
        <v>240</v>
      </c>
      <c r="N1543">
        <f t="shared" si="411"/>
        <v>-264</v>
      </c>
    </row>
    <row r="1544" spans="1:14" x14ac:dyDescent="0.2">
      <c r="A1544" t="s">
        <v>2155</v>
      </c>
      <c r="B1544" s="1" t="s">
        <v>2150</v>
      </c>
      <c r="C1544" t="s">
        <v>106</v>
      </c>
      <c r="D1544" t="s">
        <v>452</v>
      </c>
      <c r="E1544">
        <v>22</v>
      </c>
      <c r="F1544" t="s">
        <v>1901</v>
      </c>
      <c r="G1544">
        <v>2022</v>
      </c>
      <c r="H1544" t="s">
        <v>2156</v>
      </c>
      <c r="I1544" t="s">
        <v>1742</v>
      </c>
      <c r="J1544">
        <v>-799</v>
      </c>
      <c r="K1544">
        <v>320</v>
      </c>
      <c r="L1544">
        <f t="shared" si="410"/>
        <v>-479</v>
      </c>
      <c r="M1544">
        <v>240</v>
      </c>
      <c r="N1544">
        <f t="shared" si="411"/>
        <v>-239</v>
      </c>
    </row>
    <row r="1545" spans="1:14" x14ac:dyDescent="0.2">
      <c r="A1545" t="s">
        <v>2164</v>
      </c>
      <c r="B1545" s="1" t="s">
        <v>2123</v>
      </c>
      <c r="C1545" t="s">
        <v>43</v>
      </c>
      <c r="D1545" t="s">
        <v>798</v>
      </c>
      <c r="E1545">
        <v>19</v>
      </c>
      <c r="F1545" t="s">
        <v>1901</v>
      </c>
      <c r="G1545">
        <v>2022</v>
      </c>
      <c r="H1545" t="s">
        <v>2165</v>
      </c>
      <c r="I1545" t="s">
        <v>135</v>
      </c>
      <c r="J1545">
        <v>0</v>
      </c>
      <c r="K1545">
        <v>0</v>
      </c>
      <c r="L1545">
        <v>0</v>
      </c>
      <c r="M1545">
        <v>0</v>
      </c>
      <c r="N1545">
        <v>0</v>
      </c>
    </row>
    <row r="1546" spans="1:14" x14ac:dyDescent="0.2">
      <c r="A1546" t="s">
        <v>2166</v>
      </c>
      <c r="B1546" s="1" t="s">
        <v>2150</v>
      </c>
      <c r="C1546" t="s">
        <v>43</v>
      </c>
      <c r="D1546" t="s">
        <v>2152</v>
      </c>
      <c r="E1546">
        <v>22</v>
      </c>
      <c r="F1546" t="s">
        <v>1901</v>
      </c>
      <c r="G1546">
        <v>2022</v>
      </c>
      <c r="H1546" t="s">
        <v>1924</v>
      </c>
      <c r="I1546" t="s">
        <v>23</v>
      </c>
      <c r="J1546">
        <v>0</v>
      </c>
      <c r="K1546">
        <v>0</v>
      </c>
      <c r="L1546">
        <v>0</v>
      </c>
      <c r="M1546">
        <v>0</v>
      </c>
      <c r="N1546">
        <v>0</v>
      </c>
    </row>
    <row r="1547" spans="1:14" x14ac:dyDescent="0.2">
      <c r="A1547" t="s">
        <v>2062</v>
      </c>
      <c r="B1547" s="1" t="s">
        <v>2060</v>
      </c>
      <c r="C1547" t="s">
        <v>106</v>
      </c>
      <c r="D1547" t="s">
        <v>2063</v>
      </c>
      <c r="E1547">
        <v>13</v>
      </c>
      <c r="F1547" t="s">
        <v>1901</v>
      </c>
      <c r="G1547">
        <v>2022</v>
      </c>
      <c r="H1547" t="s">
        <v>2064</v>
      </c>
      <c r="I1547" t="s">
        <v>2020</v>
      </c>
      <c r="J1547">
        <v>-799</v>
      </c>
      <c r="K1547">
        <v>320</v>
      </c>
      <c r="L1547">
        <f t="shared" ref="L1547:L1550" si="412">J1547+K1547</f>
        <v>-479</v>
      </c>
      <c r="M1547">
        <v>240</v>
      </c>
      <c r="N1547">
        <f t="shared" ref="N1547:N1550" si="413">L1547+M1547</f>
        <v>-239</v>
      </c>
    </row>
    <row r="1548" spans="1:14" x14ac:dyDescent="0.2">
      <c r="A1548" t="s">
        <v>2138</v>
      </c>
      <c r="B1548" s="1" t="s">
        <v>2135</v>
      </c>
      <c r="C1548" t="s">
        <v>106</v>
      </c>
      <c r="D1548" t="s">
        <v>425</v>
      </c>
      <c r="E1548">
        <v>20</v>
      </c>
      <c r="F1548" t="s">
        <v>1901</v>
      </c>
      <c r="G1548">
        <v>2022</v>
      </c>
      <c r="H1548" t="s">
        <v>157</v>
      </c>
      <c r="I1548" t="s">
        <v>97</v>
      </c>
      <c r="J1548">
        <v>-799</v>
      </c>
      <c r="K1548">
        <v>320</v>
      </c>
      <c r="L1548">
        <f t="shared" si="412"/>
        <v>-479</v>
      </c>
      <c r="M1548">
        <v>240</v>
      </c>
      <c r="N1548">
        <f t="shared" si="413"/>
        <v>-239</v>
      </c>
    </row>
    <row r="1549" spans="1:14" x14ac:dyDescent="0.2">
      <c r="A1549" t="s">
        <v>2015</v>
      </c>
      <c r="B1549" s="1" t="s">
        <v>1992</v>
      </c>
      <c r="C1549" t="s">
        <v>106</v>
      </c>
      <c r="D1549" t="s">
        <v>1495</v>
      </c>
      <c r="E1549">
        <v>9</v>
      </c>
      <c r="F1549" t="s">
        <v>1901</v>
      </c>
      <c r="G1549">
        <v>2022</v>
      </c>
      <c r="H1549" t="s">
        <v>2016</v>
      </c>
      <c r="I1549" t="s">
        <v>23</v>
      </c>
      <c r="J1549">
        <v>-799</v>
      </c>
      <c r="K1549">
        <v>320</v>
      </c>
      <c r="L1549">
        <f t="shared" si="412"/>
        <v>-479</v>
      </c>
      <c r="M1549">
        <v>240</v>
      </c>
      <c r="N1549">
        <f t="shared" si="413"/>
        <v>-239</v>
      </c>
    </row>
    <row r="1550" spans="1:14" x14ac:dyDescent="0.2">
      <c r="A1550" t="s">
        <v>2105</v>
      </c>
      <c r="B1550" s="1" t="s">
        <v>2092</v>
      </c>
      <c r="C1550" t="s">
        <v>106</v>
      </c>
      <c r="D1550" t="s">
        <v>863</v>
      </c>
      <c r="E1550">
        <v>16</v>
      </c>
      <c r="F1550" t="s">
        <v>1901</v>
      </c>
      <c r="G1550">
        <v>2022</v>
      </c>
      <c r="H1550" t="s">
        <v>173</v>
      </c>
      <c r="I1550" t="s">
        <v>62</v>
      </c>
      <c r="J1550">
        <v>-799</v>
      </c>
      <c r="K1550">
        <v>320</v>
      </c>
      <c r="L1550">
        <f t="shared" si="412"/>
        <v>-479</v>
      </c>
      <c r="M1550">
        <v>240</v>
      </c>
      <c r="N1550">
        <f t="shared" si="413"/>
        <v>-239</v>
      </c>
    </row>
    <row r="1551" spans="1:14" x14ac:dyDescent="0.2">
      <c r="A1551" t="s">
        <v>2168</v>
      </c>
      <c r="B1551" s="1" t="s">
        <v>2167</v>
      </c>
      <c r="C1551" t="s">
        <v>43</v>
      </c>
      <c r="D1551" t="s">
        <v>1556</v>
      </c>
      <c r="E1551">
        <v>30</v>
      </c>
      <c r="F1551" t="s">
        <v>1901</v>
      </c>
      <c r="G1551">
        <v>2022</v>
      </c>
      <c r="H1551" t="s">
        <v>71</v>
      </c>
      <c r="I1551" t="s">
        <v>62</v>
      </c>
      <c r="J1551">
        <v>0</v>
      </c>
      <c r="K1551">
        <v>0</v>
      </c>
      <c r="L1551">
        <v>0</v>
      </c>
      <c r="M1551">
        <v>0</v>
      </c>
      <c r="N1551">
        <v>0</v>
      </c>
    </row>
    <row r="1552" spans="1:14" x14ac:dyDescent="0.2">
      <c r="A1552" t="s">
        <v>2018</v>
      </c>
      <c r="B1552" s="1" t="s">
        <v>1972</v>
      </c>
      <c r="C1552" t="s">
        <v>106</v>
      </c>
      <c r="D1552" t="s">
        <v>448</v>
      </c>
      <c r="E1552">
        <v>8</v>
      </c>
      <c r="F1552" t="s">
        <v>1901</v>
      </c>
      <c r="G1552">
        <v>2022</v>
      </c>
      <c r="H1552" t="s">
        <v>2019</v>
      </c>
      <c r="I1552" t="s">
        <v>2020</v>
      </c>
      <c r="J1552">
        <v>-899</v>
      </c>
      <c r="K1552">
        <v>375</v>
      </c>
      <c r="L1552">
        <f>J1552+K1552</f>
        <v>-524</v>
      </c>
      <c r="M1552">
        <v>240</v>
      </c>
      <c r="N1552">
        <f>L1552+M1552</f>
        <v>-284</v>
      </c>
    </row>
    <row r="1553" spans="1:14" x14ac:dyDescent="0.2">
      <c r="A1553" t="s">
        <v>2170</v>
      </c>
      <c r="B1553" s="1" t="s">
        <v>2169</v>
      </c>
      <c r="C1553" t="s">
        <v>43</v>
      </c>
      <c r="D1553" t="s">
        <v>573</v>
      </c>
      <c r="E1553">
        <v>31</v>
      </c>
      <c r="F1553" t="s">
        <v>1901</v>
      </c>
      <c r="G1553">
        <v>2022</v>
      </c>
      <c r="H1553" t="s">
        <v>173</v>
      </c>
      <c r="I1553" t="s">
        <v>62</v>
      </c>
      <c r="J1553">
        <v>0</v>
      </c>
      <c r="K1553">
        <v>0</v>
      </c>
      <c r="L1553">
        <v>0</v>
      </c>
      <c r="M1553">
        <v>0</v>
      </c>
      <c r="N1553">
        <v>0</v>
      </c>
    </row>
    <row r="1554" spans="1:14" x14ac:dyDescent="0.2">
      <c r="A1554" t="s">
        <v>2163</v>
      </c>
      <c r="B1554" s="1" t="s">
        <v>2150</v>
      </c>
      <c r="C1554" t="s">
        <v>106</v>
      </c>
      <c r="D1554" t="s">
        <v>834</v>
      </c>
      <c r="E1554">
        <v>22</v>
      </c>
      <c r="F1554" t="s">
        <v>1901</v>
      </c>
      <c r="G1554">
        <v>2022</v>
      </c>
      <c r="H1554" t="s">
        <v>2154</v>
      </c>
      <c r="I1554" t="s">
        <v>23</v>
      </c>
      <c r="J1554">
        <v>-849</v>
      </c>
      <c r="K1554">
        <v>345</v>
      </c>
      <c r="L1554">
        <f t="shared" ref="L1554:L1555" si="414">J1554+K1554</f>
        <v>-504</v>
      </c>
      <c r="M1554">
        <v>240</v>
      </c>
      <c r="N1554">
        <f t="shared" ref="N1554:N1555" si="415">L1554+M1554</f>
        <v>-264</v>
      </c>
    </row>
    <row r="1555" spans="1:14" x14ac:dyDescent="0.2">
      <c r="A1555" t="s">
        <v>2088</v>
      </c>
      <c r="B1555" s="1" t="s">
        <v>2079</v>
      </c>
      <c r="C1555" t="s">
        <v>106</v>
      </c>
      <c r="D1555" t="s">
        <v>2058</v>
      </c>
      <c r="E1555">
        <v>15</v>
      </c>
      <c r="F1555" t="s">
        <v>1901</v>
      </c>
      <c r="G1555">
        <v>2022</v>
      </c>
      <c r="H1555" t="s">
        <v>1854</v>
      </c>
      <c r="I1555" t="s">
        <v>135</v>
      </c>
      <c r="J1555">
        <v>-849</v>
      </c>
      <c r="K1555">
        <v>345</v>
      </c>
      <c r="L1555">
        <f t="shared" si="414"/>
        <v>-504</v>
      </c>
      <c r="M1555">
        <v>240</v>
      </c>
      <c r="N1555">
        <f t="shared" si="415"/>
        <v>-264</v>
      </c>
    </row>
    <row r="1556" spans="1:14" x14ac:dyDescent="0.2">
      <c r="A1556" t="s">
        <v>2171</v>
      </c>
      <c r="B1556" s="1" t="s">
        <v>2167</v>
      </c>
      <c r="C1556" t="s">
        <v>14</v>
      </c>
      <c r="D1556" t="s">
        <v>1076</v>
      </c>
      <c r="E1556">
        <v>30</v>
      </c>
      <c r="F1556" t="s">
        <v>1901</v>
      </c>
      <c r="G1556">
        <v>2022</v>
      </c>
      <c r="H1556" t="s">
        <v>193</v>
      </c>
      <c r="I1556" t="s">
        <v>62</v>
      </c>
      <c r="J1556">
        <v>849</v>
      </c>
      <c r="K1556">
        <v>250</v>
      </c>
      <c r="L1556">
        <f t="shared" ref="L1556:L1570" si="416">J1556-K1556</f>
        <v>599</v>
      </c>
      <c r="M1556">
        <v>240</v>
      </c>
      <c r="N1556">
        <f t="shared" ref="N1556:N1570" si="417">L1556-M1556</f>
        <v>359</v>
      </c>
    </row>
    <row r="1557" spans="1:14" x14ac:dyDescent="0.2">
      <c r="A1557" t="s">
        <v>2172</v>
      </c>
      <c r="B1557" s="1" t="s">
        <v>2167</v>
      </c>
      <c r="C1557" t="s">
        <v>14</v>
      </c>
      <c r="D1557" t="s">
        <v>133</v>
      </c>
      <c r="E1557">
        <v>30</v>
      </c>
      <c r="F1557" t="s">
        <v>1901</v>
      </c>
      <c r="G1557">
        <v>2022</v>
      </c>
      <c r="H1557" t="s">
        <v>2173</v>
      </c>
      <c r="I1557" t="s">
        <v>23</v>
      </c>
      <c r="J1557">
        <v>799</v>
      </c>
      <c r="K1557">
        <v>205</v>
      </c>
      <c r="L1557">
        <f t="shared" si="416"/>
        <v>594</v>
      </c>
      <c r="M1557">
        <v>240</v>
      </c>
      <c r="N1557">
        <f t="shared" si="417"/>
        <v>354</v>
      </c>
    </row>
    <row r="1558" spans="1:14" x14ac:dyDescent="0.2">
      <c r="A1558" t="s">
        <v>2174</v>
      </c>
      <c r="B1558" s="1" t="s">
        <v>2167</v>
      </c>
      <c r="C1558" t="s">
        <v>14</v>
      </c>
      <c r="D1558" t="s">
        <v>242</v>
      </c>
      <c r="E1558">
        <v>30</v>
      </c>
      <c r="F1558" t="s">
        <v>1901</v>
      </c>
      <c r="G1558">
        <v>2022</v>
      </c>
      <c r="H1558" t="s">
        <v>170</v>
      </c>
      <c r="I1558" t="s">
        <v>171</v>
      </c>
      <c r="J1558">
        <v>854.05</v>
      </c>
      <c r="K1558">
        <v>270</v>
      </c>
      <c r="L1558">
        <f t="shared" si="416"/>
        <v>584.04999999999995</v>
      </c>
      <c r="M1558">
        <v>240</v>
      </c>
      <c r="N1558">
        <f t="shared" si="417"/>
        <v>344.04999999999995</v>
      </c>
    </row>
    <row r="1559" spans="1:14" x14ac:dyDescent="0.2">
      <c r="A1559" t="s">
        <v>2175</v>
      </c>
      <c r="B1559" s="1" t="s">
        <v>2169</v>
      </c>
      <c r="C1559" t="s">
        <v>14</v>
      </c>
      <c r="D1559" t="s">
        <v>798</v>
      </c>
      <c r="E1559">
        <v>31</v>
      </c>
      <c r="F1559" t="s">
        <v>1901</v>
      </c>
      <c r="G1559">
        <v>2022</v>
      </c>
      <c r="H1559" t="s">
        <v>2165</v>
      </c>
      <c r="I1559" t="s">
        <v>135</v>
      </c>
      <c r="J1559">
        <v>799</v>
      </c>
      <c r="K1559">
        <v>205</v>
      </c>
      <c r="L1559">
        <f t="shared" si="416"/>
        <v>594</v>
      </c>
      <c r="M1559">
        <v>240</v>
      </c>
      <c r="N1559">
        <f t="shared" si="417"/>
        <v>354</v>
      </c>
    </row>
    <row r="1560" spans="1:14" x14ac:dyDescent="0.2">
      <c r="A1560" t="s">
        <v>2176</v>
      </c>
      <c r="B1560" s="1" t="s">
        <v>2167</v>
      </c>
      <c r="C1560" t="s">
        <v>14</v>
      </c>
      <c r="D1560" t="s">
        <v>2177</v>
      </c>
      <c r="E1560">
        <v>30</v>
      </c>
      <c r="F1560" t="s">
        <v>1901</v>
      </c>
      <c r="G1560">
        <v>2022</v>
      </c>
      <c r="H1560" t="s">
        <v>170</v>
      </c>
      <c r="I1560" t="s">
        <v>171</v>
      </c>
      <c r="J1560">
        <v>799</v>
      </c>
      <c r="K1560">
        <v>205</v>
      </c>
      <c r="L1560">
        <f t="shared" si="416"/>
        <v>594</v>
      </c>
      <c r="M1560">
        <v>240</v>
      </c>
      <c r="N1560">
        <f t="shared" si="417"/>
        <v>354</v>
      </c>
    </row>
    <row r="1561" spans="1:14" x14ac:dyDescent="0.2">
      <c r="A1561" t="s">
        <v>2178</v>
      </c>
      <c r="B1561" s="1" t="s">
        <v>2167</v>
      </c>
      <c r="C1561" t="s">
        <v>14</v>
      </c>
      <c r="D1561" t="s">
        <v>954</v>
      </c>
      <c r="E1561">
        <v>30</v>
      </c>
      <c r="F1561" t="s">
        <v>1901</v>
      </c>
      <c r="G1561">
        <v>2022</v>
      </c>
      <c r="H1561" t="s">
        <v>235</v>
      </c>
      <c r="I1561" t="s">
        <v>62</v>
      </c>
      <c r="J1561">
        <v>799</v>
      </c>
      <c r="K1561">
        <v>205</v>
      </c>
      <c r="L1561">
        <f t="shared" si="416"/>
        <v>594</v>
      </c>
      <c r="M1561">
        <v>240</v>
      </c>
      <c r="N1561">
        <f t="shared" si="417"/>
        <v>354</v>
      </c>
    </row>
    <row r="1562" spans="1:14" x14ac:dyDescent="0.2">
      <c r="A1562" t="s">
        <v>2179</v>
      </c>
      <c r="B1562" s="1" t="s">
        <v>2169</v>
      </c>
      <c r="C1562" t="s">
        <v>14</v>
      </c>
      <c r="D1562" t="s">
        <v>1105</v>
      </c>
      <c r="E1562">
        <v>31</v>
      </c>
      <c r="F1562" t="s">
        <v>1901</v>
      </c>
      <c r="G1562">
        <v>2022</v>
      </c>
      <c r="H1562" t="s">
        <v>246</v>
      </c>
      <c r="I1562" t="s">
        <v>58</v>
      </c>
      <c r="J1562">
        <v>806.55</v>
      </c>
      <c r="K1562">
        <v>227</v>
      </c>
      <c r="L1562">
        <f t="shared" si="416"/>
        <v>579.54999999999995</v>
      </c>
      <c r="M1562">
        <v>240</v>
      </c>
      <c r="N1562">
        <f t="shared" si="417"/>
        <v>339.54999999999995</v>
      </c>
    </row>
    <row r="1563" spans="1:14" x14ac:dyDescent="0.2">
      <c r="A1563" t="s">
        <v>2180</v>
      </c>
      <c r="B1563" s="1" t="s">
        <v>2167</v>
      </c>
      <c r="C1563" t="s">
        <v>14</v>
      </c>
      <c r="D1563" t="s">
        <v>1076</v>
      </c>
      <c r="E1563">
        <v>30</v>
      </c>
      <c r="F1563" t="s">
        <v>1901</v>
      </c>
      <c r="G1563">
        <v>2022</v>
      </c>
      <c r="H1563" t="s">
        <v>157</v>
      </c>
      <c r="I1563" t="s">
        <v>97</v>
      </c>
      <c r="J1563">
        <v>806.55</v>
      </c>
      <c r="K1563">
        <v>227</v>
      </c>
      <c r="L1563">
        <f t="shared" si="416"/>
        <v>579.54999999999995</v>
      </c>
      <c r="M1563">
        <v>240</v>
      </c>
      <c r="N1563">
        <f t="shared" si="417"/>
        <v>339.54999999999995</v>
      </c>
    </row>
    <row r="1564" spans="1:14" x14ac:dyDescent="0.2">
      <c r="A1564" t="s">
        <v>2181</v>
      </c>
      <c r="B1564" s="1" t="s">
        <v>2167</v>
      </c>
      <c r="C1564" t="s">
        <v>14</v>
      </c>
      <c r="D1564" t="s">
        <v>2182</v>
      </c>
      <c r="E1564">
        <v>30</v>
      </c>
      <c r="F1564" t="s">
        <v>1901</v>
      </c>
      <c r="G1564">
        <v>2022</v>
      </c>
      <c r="H1564" t="s">
        <v>173</v>
      </c>
      <c r="I1564" t="s">
        <v>62</v>
      </c>
      <c r="J1564">
        <v>999</v>
      </c>
      <c r="K1564">
        <v>325</v>
      </c>
      <c r="L1564">
        <f t="shared" si="416"/>
        <v>674</v>
      </c>
      <c r="M1564">
        <v>240</v>
      </c>
      <c r="N1564">
        <f t="shared" si="417"/>
        <v>434</v>
      </c>
    </row>
    <row r="1565" spans="1:14" x14ac:dyDescent="0.2">
      <c r="A1565" t="s">
        <v>2183</v>
      </c>
      <c r="B1565" s="1" t="s">
        <v>2167</v>
      </c>
      <c r="C1565" t="s">
        <v>14</v>
      </c>
      <c r="D1565" t="s">
        <v>2184</v>
      </c>
      <c r="E1565">
        <v>30</v>
      </c>
      <c r="F1565" t="s">
        <v>1901</v>
      </c>
      <c r="G1565">
        <v>2022</v>
      </c>
      <c r="H1565" t="s">
        <v>2185</v>
      </c>
      <c r="I1565" t="s">
        <v>85</v>
      </c>
      <c r="J1565">
        <v>799</v>
      </c>
      <c r="K1565">
        <v>205</v>
      </c>
      <c r="L1565">
        <f t="shared" si="416"/>
        <v>594</v>
      </c>
      <c r="M1565">
        <v>240</v>
      </c>
      <c r="N1565">
        <f t="shared" si="417"/>
        <v>354</v>
      </c>
    </row>
    <row r="1566" spans="1:14" x14ac:dyDescent="0.2">
      <c r="A1566" t="s">
        <v>2186</v>
      </c>
      <c r="B1566" s="1" t="s">
        <v>2167</v>
      </c>
      <c r="C1566" t="s">
        <v>14</v>
      </c>
      <c r="D1566" t="s">
        <v>380</v>
      </c>
      <c r="E1566">
        <v>30</v>
      </c>
      <c r="F1566" t="s">
        <v>1901</v>
      </c>
      <c r="G1566">
        <v>2022</v>
      </c>
      <c r="H1566" t="s">
        <v>198</v>
      </c>
      <c r="I1566" t="s">
        <v>32</v>
      </c>
      <c r="J1566">
        <v>806.55</v>
      </c>
      <c r="K1566">
        <v>227</v>
      </c>
      <c r="L1566">
        <f t="shared" si="416"/>
        <v>579.54999999999995</v>
      </c>
      <c r="M1566">
        <v>240</v>
      </c>
      <c r="N1566">
        <f t="shared" si="417"/>
        <v>339.54999999999995</v>
      </c>
    </row>
    <row r="1567" spans="1:14" x14ac:dyDescent="0.2">
      <c r="A1567" t="s">
        <v>2188</v>
      </c>
      <c r="B1567" s="1" t="s">
        <v>2187</v>
      </c>
      <c r="C1567" t="s">
        <v>14</v>
      </c>
      <c r="D1567" t="s">
        <v>81</v>
      </c>
      <c r="E1567">
        <v>29</v>
      </c>
      <c r="F1567" t="s">
        <v>1901</v>
      </c>
      <c r="G1567">
        <v>2022</v>
      </c>
      <c r="H1567" t="s">
        <v>84</v>
      </c>
      <c r="I1567" t="s">
        <v>85</v>
      </c>
      <c r="J1567">
        <v>806.55</v>
      </c>
      <c r="K1567">
        <v>227</v>
      </c>
      <c r="L1567">
        <f t="shared" si="416"/>
        <v>579.54999999999995</v>
      </c>
      <c r="M1567">
        <v>240</v>
      </c>
      <c r="N1567">
        <f t="shared" si="417"/>
        <v>339.54999999999995</v>
      </c>
    </row>
    <row r="1568" spans="1:14" x14ac:dyDescent="0.2">
      <c r="A1568" t="s">
        <v>2170</v>
      </c>
      <c r="B1568" s="1" t="s">
        <v>2169</v>
      </c>
      <c r="C1568" t="s">
        <v>14</v>
      </c>
      <c r="D1568" t="s">
        <v>573</v>
      </c>
      <c r="E1568">
        <v>31</v>
      </c>
      <c r="F1568" t="s">
        <v>1901</v>
      </c>
      <c r="G1568">
        <v>2022</v>
      </c>
      <c r="H1568" t="s">
        <v>173</v>
      </c>
      <c r="I1568" t="s">
        <v>62</v>
      </c>
      <c r="J1568">
        <v>899</v>
      </c>
      <c r="K1568">
        <v>295</v>
      </c>
      <c r="L1568">
        <f t="shared" si="416"/>
        <v>604</v>
      </c>
      <c r="M1568">
        <v>240</v>
      </c>
      <c r="N1568">
        <f t="shared" si="417"/>
        <v>364</v>
      </c>
    </row>
    <row r="1569" spans="1:14" x14ac:dyDescent="0.2">
      <c r="A1569" t="s">
        <v>2189</v>
      </c>
      <c r="B1569" s="1" t="s">
        <v>2169</v>
      </c>
      <c r="C1569" t="s">
        <v>14</v>
      </c>
      <c r="D1569" t="s">
        <v>1002</v>
      </c>
      <c r="E1569">
        <v>31</v>
      </c>
      <c r="F1569" t="s">
        <v>1901</v>
      </c>
      <c r="G1569">
        <v>2022</v>
      </c>
      <c r="H1569" t="s">
        <v>84</v>
      </c>
      <c r="I1569" t="s">
        <v>85</v>
      </c>
      <c r="J1569">
        <v>849</v>
      </c>
      <c r="K1569">
        <v>250</v>
      </c>
      <c r="L1569">
        <f t="shared" si="416"/>
        <v>599</v>
      </c>
      <c r="M1569">
        <v>240</v>
      </c>
      <c r="N1569">
        <f t="shared" si="417"/>
        <v>359</v>
      </c>
    </row>
    <row r="1570" spans="1:14" x14ac:dyDescent="0.2">
      <c r="A1570" t="s">
        <v>2190</v>
      </c>
      <c r="B1570" s="1" t="s">
        <v>2169</v>
      </c>
      <c r="C1570" t="s">
        <v>14</v>
      </c>
      <c r="D1570" t="s">
        <v>809</v>
      </c>
      <c r="E1570">
        <v>31</v>
      </c>
      <c r="F1570" t="s">
        <v>1901</v>
      </c>
      <c r="G1570">
        <v>2022</v>
      </c>
      <c r="H1570" t="s">
        <v>1230</v>
      </c>
      <c r="I1570" t="s">
        <v>28</v>
      </c>
      <c r="J1570">
        <v>949.05</v>
      </c>
      <c r="K1570">
        <v>306</v>
      </c>
      <c r="L1570">
        <f t="shared" si="416"/>
        <v>643.04999999999995</v>
      </c>
      <c r="M1570">
        <v>240</v>
      </c>
      <c r="N1570">
        <f t="shared" si="417"/>
        <v>403.04999999999995</v>
      </c>
    </row>
    <row r="1571" spans="1:14" x14ac:dyDescent="0.2">
      <c r="A1571" t="s">
        <v>1824</v>
      </c>
      <c r="B1571" s="1" t="s">
        <v>1790</v>
      </c>
      <c r="C1571" t="s">
        <v>106</v>
      </c>
      <c r="D1571" t="s">
        <v>1825</v>
      </c>
      <c r="E1571">
        <v>26</v>
      </c>
      <c r="F1571" t="s">
        <v>1605</v>
      </c>
      <c r="G1571">
        <v>2022</v>
      </c>
      <c r="H1571" t="s">
        <v>449</v>
      </c>
      <c r="I1571" t="s">
        <v>97</v>
      </c>
      <c r="J1571">
        <v>-849</v>
      </c>
      <c r="K1571">
        <v>345</v>
      </c>
      <c r="L1571">
        <f t="shared" ref="L1571:L1575" si="418">J1571+K1571</f>
        <v>-504</v>
      </c>
      <c r="M1571">
        <v>240</v>
      </c>
      <c r="N1571">
        <f t="shared" ref="N1571:N1575" si="419">L1571+M1571</f>
        <v>-264</v>
      </c>
    </row>
    <row r="1572" spans="1:14" x14ac:dyDescent="0.2">
      <c r="A1572" t="s">
        <v>1886</v>
      </c>
      <c r="B1572" s="1" t="s">
        <v>1872</v>
      </c>
      <c r="C1572" t="s">
        <v>106</v>
      </c>
      <c r="D1572" t="s">
        <v>487</v>
      </c>
      <c r="E1572">
        <v>29</v>
      </c>
      <c r="F1572" t="s">
        <v>1605</v>
      </c>
      <c r="G1572">
        <v>2022</v>
      </c>
      <c r="H1572" t="s">
        <v>215</v>
      </c>
      <c r="I1572" t="s">
        <v>135</v>
      </c>
      <c r="J1572">
        <v>-799</v>
      </c>
      <c r="K1572">
        <v>320</v>
      </c>
      <c r="L1572">
        <f t="shared" si="418"/>
        <v>-479</v>
      </c>
      <c r="M1572">
        <v>240</v>
      </c>
      <c r="N1572">
        <f t="shared" si="419"/>
        <v>-239</v>
      </c>
    </row>
    <row r="1573" spans="1:14" x14ac:dyDescent="0.2">
      <c r="A1573" t="s">
        <v>1856</v>
      </c>
      <c r="B1573" s="1" t="s">
        <v>1852</v>
      </c>
      <c r="C1573" t="s">
        <v>106</v>
      </c>
      <c r="D1573" t="s">
        <v>420</v>
      </c>
      <c r="E1573">
        <v>28</v>
      </c>
      <c r="F1573" t="s">
        <v>1605</v>
      </c>
      <c r="G1573">
        <v>2022</v>
      </c>
      <c r="H1573" t="s">
        <v>1857</v>
      </c>
      <c r="I1573" t="s">
        <v>135</v>
      </c>
      <c r="J1573">
        <v>-899</v>
      </c>
      <c r="K1573">
        <v>375</v>
      </c>
      <c r="L1573">
        <f t="shared" si="418"/>
        <v>-524</v>
      </c>
      <c r="M1573">
        <v>240</v>
      </c>
      <c r="N1573">
        <f t="shared" si="419"/>
        <v>-284</v>
      </c>
    </row>
    <row r="1574" spans="1:14" x14ac:dyDescent="0.2">
      <c r="A1574" t="s">
        <v>1860</v>
      </c>
      <c r="B1574" s="1" t="s">
        <v>1790</v>
      </c>
      <c r="C1574" t="s">
        <v>106</v>
      </c>
      <c r="D1574" t="s">
        <v>445</v>
      </c>
      <c r="E1574">
        <v>26</v>
      </c>
      <c r="F1574" t="s">
        <v>1605</v>
      </c>
      <c r="G1574">
        <v>2022</v>
      </c>
      <c r="H1574" t="s">
        <v>1861</v>
      </c>
      <c r="I1574" t="s">
        <v>212</v>
      </c>
      <c r="J1574">
        <v>-899</v>
      </c>
      <c r="K1574">
        <v>375</v>
      </c>
      <c r="L1574">
        <f t="shared" si="418"/>
        <v>-524</v>
      </c>
      <c r="M1574">
        <v>240</v>
      </c>
      <c r="N1574">
        <f t="shared" si="419"/>
        <v>-284</v>
      </c>
    </row>
    <row r="1575" spans="1:14" x14ac:dyDescent="0.2">
      <c r="A1575" t="s">
        <v>1797</v>
      </c>
      <c r="B1575" s="1" t="s">
        <v>1792</v>
      </c>
      <c r="C1575" t="s">
        <v>106</v>
      </c>
      <c r="D1575" t="s">
        <v>425</v>
      </c>
      <c r="E1575">
        <v>24</v>
      </c>
      <c r="F1575" t="s">
        <v>1605</v>
      </c>
      <c r="G1575">
        <v>2022</v>
      </c>
      <c r="H1575" t="s">
        <v>1798</v>
      </c>
      <c r="I1575" t="s">
        <v>250</v>
      </c>
      <c r="J1575">
        <v>-799</v>
      </c>
      <c r="K1575">
        <v>320</v>
      </c>
      <c r="L1575">
        <f t="shared" si="418"/>
        <v>-479</v>
      </c>
      <c r="M1575">
        <v>240</v>
      </c>
      <c r="N1575">
        <f t="shared" si="419"/>
        <v>-239</v>
      </c>
    </row>
    <row r="1576" spans="1:14" x14ac:dyDescent="0.2">
      <c r="A1576" t="s">
        <v>2191</v>
      </c>
      <c r="B1576" s="1" t="s">
        <v>1869</v>
      </c>
      <c r="C1576" t="s">
        <v>14</v>
      </c>
      <c r="D1576" t="s">
        <v>380</v>
      </c>
      <c r="E1576">
        <v>30</v>
      </c>
      <c r="F1576" t="s">
        <v>1605</v>
      </c>
      <c r="G1576">
        <v>2022</v>
      </c>
      <c r="H1576" t="s">
        <v>2042</v>
      </c>
      <c r="I1576" t="s">
        <v>171</v>
      </c>
      <c r="J1576">
        <v>849</v>
      </c>
      <c r="K1576">
        <v>250</v>
      </c>
      <c r="L1576">
        <f t="shared" ref="L1576:L1581" si="420">J1576-K1576</f>
        <v>599</v>
      </c>
      <c r="M1576">
        <v>240</v>
      </c>
      <c r="N1576">
        <f t="shared" ref="N1576:N1581" si="421">L1576-M1576</f>
        <v>359</v>
      </c>
    </row>
    <row r="1577" spans="1:14" x14ac:dyDescent="0.2">
      <c r="A1577" t="s">
        <v>1890</v>
      </c>
      <c r="B1577" s="1" t="s">
        <v>1869</v>
      </c>
      <c r="C1577" t="s">
        <v>14</v>
      </c>
      <c r="D1577" t="s">
        <v>452</v>
      </c>
      <c r="E1577">
        <v>30</v>
      </c>
      <c r="F1577" t="s">
        <v>1605</v>
      </c>
      <c r="G1577">
        <v>2022</v>
      </c>
      <c r="H1577" t="s">
        <v>1891</v>
      </c>
      <c r="I1577" t="s">
        <v>122</v>
      </c>
      <c r="J1577">
        <v>799</v>
      </c>
      <c r="K1577">
        <v>205</v>
      </c>
      <c r="L1577">
        <f t="shared" si="420"/>
        <v>594</v>
      </c>
      <c r="M1577">
        <v>240</v>
      </c>
      <c r="N1577">
        <f t="shared" si="421"/>
        <v>354</v>
      </c>
    </row>
    <row r="1578" spans="1:14" x14ac:dyDescent="0.2">
      <c r="A1578" t="s">
        <v>2192</v>
      </c>
      <c r="B1578" s="1" t="s">
        <v>1869</v>
      </c>
      <c r="C1578" t="s">
        <v>14</v>
      </c>
      <c r="D1578" t="s">
        <v>940</v>
      </c>
      <c r="E1578">
        <v>30</v>
      </c>
      <c r="F1578" t="s">
        <v>1605</v>
      </c>
      <c r="G1578">
        <v>2022</v>
      </c>
      <c r="H1578" t="s">
        <v>246</v>
      </c>
      <c r="I1578" t="s">
        <v>58</v>
      </c>
      <c r="J1578">
        <v>799</v>
      </c>
      <c r="K1578">
        <v>205</v>
      </c>
      <c r="L1578">
        <f t="shared" si="420"/>
        <v>594</v>
      </c>
      <c r="M1578">
        <v>240</v>
      </c>
      <c r="N1578">
        <f t="shared" si="421"/>
        <v>354</v>
      </c>
    </row>
    <row r="1579" spans="1:14" x14ac:dyDescent="0.2">
      <c r="A1579" t="s">
        <v>2193</v>
      </c>
      <c r="B1579" s="1" t="s">
        <v>1869</v>
      </c>
      <c r="C1579" t="s">
        <v>14</v>
      </c>
      <c r="D1579" t="s">
        <v>890</v>
      </c>
      <c r="E1579">
        <v>30</v>
      </c>
      <c r="F1579" t="s">
        <v>1605</v>
      </c>
      <c r="G1579">
        <v>2022</v>
      </c>
      <c r="H1579" t="s">
        <v>246</v>
      </c>
      <c r="I1579" t="s">
        <v>58</v>
      </c>
      <c r="J1579">
        <v>849</v>
      </c>
      <c r="K1579">
        <v>250</v>
      </c>
      <c r="L1579">
        <f t="shared" si="420"/>
        <v>599</v>
      </c>
      <c r="M1579">
        <v>240</v>
      </c>
      <c r="N1579">
        <f t="shared" si="421"/>
        <v>359</v>
      </c>
    </row>
    <row r="1580" spans="1:14" x14ac:dyDescent="0.2">
      <c r="A1580" t="s">
        <v>2194</v>
      </c>
      <c r="B1580" s="1" t="s">
        <v>1869</v>
      </c>
      <c r="C1580" t="s">
        <v>14</v>
      </c>
      <c r="D1580" t="s">
        <v>881</v>
      </c>
      <c r="E1580">
        <v>30</v>
      </c>
      <c r="F1580" t="s">
        <v>1605</v>
      </c>
      <c r="G1580">
        <v>2022</v>
      </c>
      <c r="H1580" t="s">
        <v>272</v>
      </c>
      <c r="I1580" t="s">
        <v>23</v>
      </c>
      <c r="J1580">
        <v>799</v>
      </c>
      <c r="K1580">
        <v>205</v>
      </c>
      <c r="L1580">
        <f t="shared" si="420"/>
        <v>594</v>
      </c>
      <c r="M1580">
        <v>240</v>
      </c>
      <c r="N1580">
        <f t="shared" si="421"/>
        <v>354</v>
      </c>
    </row>
    <row r="1581" spans="1:14" x14ac:dyDescent="0.2">
      <c r="A1581" t="s">
        <v>2195</v>
      </c>
      <c r="B1581" s="1" t="s">
        <v>1869</v>
      </c>
      <c r="C1581" t="s">
        <v>14</v>
      </c>
      <c r="D1581" t="s">
        <v>812</v>
      </c>
      <c r="E1581">
        <v>30</v>
      </c>
      <c r="F1581" t="s">
        <v>1605</v>
      </c>
      <c r="G1581">
        <v>2022</v>
      </c>
      <c r="H1581" t="s">
        <v>246</v>
      </c>
      <c r="I1581" t="s">
        <v>58</v>
      </c>
      <c r="J1581">
        <v>999</v>
      </c>
      <c r="K1581">
        <v>325</v>
      </c>
      <c r="L1581">
        <f t="shared" si="420"/>
        <v>674</v>
      </c>
      <c r="M1581">
        <v>240</v>
      </c>
      <c r="N1581">
        <f t="shared" si="421"/>
        <v>434</v>
      </c>
    </row>
    <row r="1582" spans="1:14" x14ac:dyDescent="0.2">
      <c r="A1582" t="s">
        <v>1830</v>
      </c>
      <c r="B1582" s="1" t="s">
        <v>1794</v>
      </c>
      <c r="C1582" t="s">
        <v>106</v>
      </c>
      <c r="D1582" t="s">
        <v>81</v>
      </c>
      <c r="E1582">
        <v>25</v>
      </c>
      <c r="F1582" t="s">
        <v>1605</v>
      </c>
      <c r="G1582">
        <v>2022</v>
      </c>
      <c r="H1582" t="s">
        <v>1831</v>
      </c>
      <c r="I1582" t="s">
        <v>32</v>
      </c>
      <c r="J1582">
        <v>-849</v>
      </c>
      <c r="K1582">
        <v>345</v>
      </c>
      <c r="L1582">
        <f t="shared" ref="L1582:L1598" si="422">J1582+K1582</f>
        <v>-504</v>
      </c>
      <c r="M1582">
        <v>240</v>
      </c>
      <c r="N1582">
        <f t="shared" ref="N1582:N1598" si="423">L1582+M1582</f>
        <v>-264</v>
      </c>
    </row>
    <row r="1583" spans="1:14" x14ac:dyDescent="0.2">
      <c r="A1583" t="s">
        <v>1806</v>
      </c>
      <c r="B1583" s="1" t="s">
        <v>1794</v>
      </c>
      <c r="C1583" t="s">
        <v>106</v>
      </c>
      <c r="D1583" t="s">
        <v>895</v>
      </c>
      <c r="E1583">
        <v>25</v>
      </c>
      <c r="F1583" t="s">
        <v>1605</v>
      </c>
      <c r="G1583">
        <v>2022</v>
      </c>
      <c r="H1583" t="s">
        <v>1807</v>
      </c>
      <c r="I1583" t="s">
        <v>160</v>
      </c>
      <c r="J1583">
        <v>-849</v>
      </c>
      <c r="K1583">
        <v>345</v>
      </c>
      <c r="L1583">
        <f t="shared" si="422"/>
        <v>-504</v>
      </c>
      <c r="M1583">
        <v>240</v>
      </c>
      <c r="N1583">
        <f t="shared" si="423"/>
        <v>-264</v>
      </c>
    </row>
    <row r="1584" spans="1:14" x14ac:dyDescent="0.2">
      <c r="A1584" t="s">
        <v>1847</v>
      </c>
      <c r="B1584" s="1" t="s">
        <v>1790</v>
      </c>
      <c r="C1584" t="s">
        <v>106</v>
      </c>
      <c r="D1584" t="s">
        <v>308</v>
      </c>
      <c r="E1584">
        <v>26</v>
      </c>
      <c r="F1584" t="s">
        <v>1605</v>
      </c>
      <c r="G1584">
        <v>2022</v>
      </c>
      <c r="H1584" t="s">
        <v>235</v>
      </c>
      <c r="I1584" t="s">
        <v>62</v>
      </c>
      <c r="J1584">
        <v>-899</v>
      </c>
      <c r="K1584">
        <v>375</v>
      </c>
      <c r="L1584">
        <f t="shared" si="422"/>
        <v>-524</v>
      </c>
      <c r="M1584">
        <v>240</v>
      </c>
      <c r="N1584">
        <f t="shared" si="423"/>
        <v>-284</v>
      </c>
    </row>
    <row r="1585" spans="1:14" x14ac:dyDescent="0.2">
      <c r="A1585" t="s">
        <v>1838</v>
      </c>
      <c r="B1585" s="1" t="s">
        <v>1790</v>
      </c>
      <c r="C1585" t="s">
        <v>106</v>
      </c>
      <c r="D1585" t="s">
        <v>81</v>
      </c>
      <c r="E1585">
        <v>26</v>
      </c>
      <c r="F1585" t="s">
        <v>1605</v>
      </c>
      <c r="G1585">
        <v>2022</v>
      </c>
      <c r="H1585" t="s">
        <v>1839</v>
      </c>
      <c r="I1585" t="s">
        <v>122</v>
      </c>
      <c r="J1585">
        <v>-849</v>
      </c>
      <c r="K1585">
        <v>345</v>
      </c>
      <c r="L1585">
        <f t="shared" si="422"/>
        <v>-504</v>
      </c>
      <c r="M1585">
        <v>240</v>
      </c>
      <c r="N1585">
        <f t="shared" si="423"/>
        <v>-264</v>
      </c>
    </row>
    <row r="1586" spans="1:14" x14ac:dyDescent="0.2">
      <c r="A1586" t="s">
        <v>1874</v>
      </c>
      <c r="B1586" s="1" t="s">
        <v>1872</v>
      </c>
      <c r="C1586" t="s">
        <v>106</v>
      </c>
      <c r="D1586" t="s">
        <v>425</v>
      </c>
      <c r="E1586">
        <v>29</v>
      </c>
      <c r="F1586" t="s">
        <v>1605</v>
      </c>
      <c r="G1586">
        <v>2022</v>
      </c>
      <c r="H1586" t="s">
        <v>49</v>
      </c>
      <c r="I1586" t="s">
        <v>32</v>
      </c>
      <c r="J1586">
        <v>-799</v>
      </c>
      <c r="K1586">
        <v>320</v>
      </c>
      <c r="L1586">
        <f t="shared" si="422"/>
        <v>-479</v>
      </c>
      <c r="M1586">
        <v>240</v>
      </c>
      <c r="N1586">
        <f t="shared" si="423"/>
        <v>-239</v>
      </c>
    </row>
    <row r="1587" spans="1:14" x14ac:dyDescent="0.2">
      <c r="A1587" t="s">
        <v>1813</v>
      </c>
      <c r="B1587" s="1" t="s">
        <v>1792</v>
      </c>
      <c r="C1587" t="s">
        <v>106</v>
      </c>
      <c r="D1587" t="s">
        <v>81</v>
      </c>
      <c r="E1587">
        <v>24</v>
      </c>
      <c r="F1587" t="s">
        <v>1605</v>
      </c>
      <c r="G1587">
        <v>2022</v>
      </c>
      <c r="H1587" t="s">
        <v>641</v>
      </c>
      <c r="I1587" t="s">
        <v>122</v>
      </c>
      <c r="J1587">
        <v>-849</v>
      </c>
      <c r="K1587">
        <v>345</v>
      </c>
      <c r="L1587">
        <f t="shared" si="422"/>
        <v>-504</v>
      </c>
      <c r="M1587">
        <v>240</v>
      </c>
      <c r="N1587">
        <f t="shared" si="423"/>
        <v>-264</v>
      </c>
    </row>
    <row r="1588" spans="1:14" x14ac:dyDescent="0.2">
      <c r="A1588" t="s">
        <v>1870</v>
      </c>
      <c r="B1588" s="1" t="s">
        <v>1869</v>
      </c>
      <c r="C1588" t="s">
        <v>106</v>
      </c>
      <c r="D1588" t="s">
        <v>380</v>
      </c>
      <c r="E1588">
        <v>30</v>
      </c>
      <c r="F1588" t="s">
        <v>1605</v>
      </c>
      <c r="G1588">
        <v>2022</v>
      </c>
      <c r="H1588" t="s">
        <v>84</v>
      </c>
      <c r="I1588" t="s">
        <v>85</v>
      </c>
      <c r="J1588">
        <v>-849</v>
      </c>
      <c r="K1588">
        <v>345</v>
      </c>
      <c r="L1588">
        <f t="shared" si="422"/>
        <v>-504</v>
      </c>
      <c r="M1588">
        <v>240</v>
      </c>
      <c r="N1588">
        <f t="shared" si="423"/>
        <v>-264</v>
      </c>
    </row>
    <row r="1589" spans="1:14" x14ac:dyDescent="0.2">
      <c r="A1589" t="s">
        <v>1898</v>
      </c>
      <c r="B1589" s="1" t="s">
        <v>1869</v>
      </c>
      <c r="C1589" t="s">
        <v>106</v>
      </c>
      <c r="D1589" t="s">
        <v>308</v>
      </c>
      <c r="E1589">
        <v>30</v>
      </c>
      <c r="F1589" t="s">
        <v>1605</v>
      </c>
      <c r="G1589">
        <v>2022</v>
      </c>
      <c r="H1589" t="s">
        <v>235</v>
      </c>
      <c r="I1589" t="s">
        <v>62</v>
      </c>
      <c r="J1589">
        <v>-899</v>
      </c>
      <c r="K1589">
        <v>375</v>
      </c>
      <c r="L1589">
        <f t="shared" si="422"/>
        <v>-524</v>
      </c>
      <c r="M1589">
        <v>240</v>
      </c>
      <c r="N1589">
        <f t="shared" si="423"/>
        <v>-284</v>
      </c>
    </row>
    <row r="1590" spans="1:14" x14ac:dyDescent="0.2">
      <c r="A1590" t="s">
        <v>1897</v>
      </c>
      <c r="B1590" s="1" t="s">
        <v>1872</v>
      </c>
      <c r="C1590" t="s">
        <v>106</v>
      </c>
      <c r="D1590" t="s">
        <v>834</v>
      </c>
      <c r="E1590">
        <v>29</v>
      </c>
      <c r="F1590" t="s">
        <v>1605</v>
      </c>
      <c r="G1590">
        <v>2022</v>
      </c>
      <c r="H1590" t="s">
        <v>235</v>
      </c>
      <c r="I1590" t="s">
        <v>62</v>
      </c>
      <c r="J1590">
        <v>-849</v>
      </c>
      <c r="K1590">
        <v>345</v>
      </c>
      <c r="L1590">
        <f t="shared" si="422"/>
        <v>-504</v>
      </c>
      <c r="M1590">
        <v>240</v>
      </c>
      <c r="N1590">
        <f t="shared" si="423"/>
        <v>-264</v>
      </c>
    </row>
    <row r="1591" spans="1:14" x14ac:dyDescent="0.2">
      <c r="A1591" t="s">
        <v>1893</v>
      </c>
      <c r="B1591" s="1" t="s">
        <v>1869</v>
      </c>
      <c r="C1591" t="s">
        <v>106</v>
      </c>
      <c r="D1591" t="s">
        <v>895</v>
      </c>
      <c r="E1591">
        <v>30</v>
      </c>
      <c r="F1591" t="s">
        <v>1605</v>
      </c>
      <c r="G1591">
        <v>2022</v>
      </c>
      <c r="H1591" t="s">
        <v>1894</v>
      </c>
      <c r="I1591" t="s">
        <v>85</v>
      </c>
      <c r="J1591">
        <v>-849</v>
      </c>
      <c r="K1591">
        <v>345</v>
      </c>
      <c r="L1591">
        <f t="shared" si="422"/>
        <v>-504</v>
      </c>
      <c r="M1591">
        <v>240</v>
      </c>
      <c r="N1591">
        <f t="shared" si="423"/>
        <v>-264</v>
      </c>
    </row>
    <row r="1592" spans="1:14" x14ac:dyDescent="0.2">
      <c r="A1592" t="s">
        <v>1836</v>
      </c>
      <c r="B1592" s="1" t="s">
        <v>1794</v>
      </c>
      <c r="C1592" t="s">
        <v>106</v>
      </c>
      <c r="D1592" t="s">
        <v>1780</v>
      </c>
      <c r="E1592">
        <v>25</v>
      </c>
      <c r="F1592" t="s">
        <v>1605</v>
      </c>
      <c r="G1592">
        <v>2022</v>
      </c>
      <c r="H1592" t="s">
        <v>1148</v>
      </c>
      <c r="I1592" t="s">
        <v>32</v>
      </c>
      <c r="J1592">
        <v>-799</v>
      </c>
      <c r="K1592">
        <v>320</v>
      </c>
      <c r="L1592">
        <f t="shared" si="422"/>
        <v>-479</v>
      </c>
      <c r="M1592">
        <v>240</v>
      </c>
      <c r="N1592">
        <f t="shared" si="423"/>
        <v>-239</v>
      </c>
    </row>
    <row r="1593" spans="1:14" x14ac:dyDescent="0.2">
      <c r="A1593" t="s">
        <v>2193</v>
      </c>
      <c r="B1593" s="1" t="s">
        <v>1869</v>
      </c>
      <c r="C1593" t="s">
        <v>106</v>
      </c>
      <c r="D1593" t="s">
        <v>890</v>
      </c>
      <c r="E1593">
        <v>30</v>
      </c>
      <c r="F1593" t="s">
        <v>1605</v>
      </c>
      <c r="G1593">
        <v>2022</v>
      </c>
      <c r="H1593" t="s">
        <v>246</v>
      </c>
      <c r="I1593" t="s">
        <v>58</v>
      </c>
      <c r="J1593">
        <v>-849</v>
      </c>
      <c r="K1593">
        <v>345</v>
      </c>
      <c r="L1593">
        <f t="shared" si="422"/>
        <v>-504</v>
      </c>
      <c r="M1593">
        <v>240</v>
      </c>
      <c r="N1593">
        <f t="shared" si="423"/>
        <v>-264</v>
      </c>
    </row>
    <row r="1594" spans="1:14" x14ac:dyDescent="0.2">
      <c r="A1594" t="s">
        <v>1788</v>
      </c>
      <c r="B1594" s="1" t="s">
        <v>1756</v>
      </c>
      <c r="C1594" t="s">
        <v>106</v>
      </c>
      <c r="D1594" t="s">
        <v>747</v>
      </c>
      <c r="E1594">
        <v>23</v>
      </c>
      <c r="F1594" t="s">
        <v>1605</v>
      </c>
      <c r="G1594">
        <v>2022</v>
      </c>
      <c r="H1594" t="s">
        <v>1230</v>
      </c>
      <c r="I1594" t="s">
        <v>28</v>
      </c>
      <c r="J1594">
        <v>-799</v>
      </c>
      <c r="K1594">
        <v>320</v>
      </c>
      <c r="L1594">
        <f t="shared" si="422"/>
        <v>-479</v>
      </c>
      <c r="M1594">
        <v>240</v>
      </c>
      <c r="N1594">
        <f t="shared" si="423"/>
        <v>-239</v>
      </c>
    </row>
    <row r="1595" spans="1:14" x14ac:dyDescent="0.2">
      <c r="A1595" t="s">
        <v>1823</v>
      </c>
      <c r="B1595" s="1" t="s">
        <v>1822</v>
      </c>
      <c r="C1595" t="s">
        <v>106</v>
      </c>
      <c r="D1595" t="s">
        <v>504</v>
      </c>
      <c r="E1595">
        <v>27</v>
      </c>
      <c r="F1595" t="s">
        <v>1605</v>
      </c>
      <c r="G1595">
        <v>2022</v>
      </c>
      <c r="H1595" t="s">
        <v>170</v>
      </c>
      <c r="I1595" t="s">
        <v>171</v>
      </c>
      <c r="J1595">
        <v>-899</v>
      </c>
      <c r="K1595">
        <v>375</v>
      </c>
      <c r="L1595">
        <f t="shared" si="422"/>
        <v>-524</v>
      </c>
      <c r="M1595">
        <v>240</v>
      </c>
      <c r="N1595">
        <f t="shared" si="423"/>
        <v>-284</v>
      </c>
    </row>
    <row r="1596" spans="1:14" x14ac:dyDescent="0.2">
      <c r="A1596" t="s">
        <v>1806</v>
      </c>
      <c r="B1596" s="1" t="s">
        <v>1794</v>
      </c>
      <c r="C1596" t="s">
        <v>106</v>
      </c>
      <c r="D1596" t="s">
        <v>809</v>
      </c>
      <c r="E1596">
        <v>25</v>
      </c>
      <c r="F1596" t="s">
        <v>1605</v>
      </c>
      <c r="G1596">
        <v>2022</v>
      </c>
      <c r="H1596" t="s">
        <v>1807</v>
      </c>
      <c r="I1596" t="s">
        <v>160</v>
      </c>
      <c r="J1596">
        <v>-999</v>
      </c>
      <c r="K1596">
        <v>395</v>
      </c>
      <c r="L1596">
        <f t="shared" si="422"/>
        <v>-604</v>
      </c>
      <c r="M1596">
        <v>240</v>
      </c>
      <c r="N1596">
        <f t="shared" si="423"/>
        <v>-364</v>
      </c>
    </row>
    <row r="1597" spans="1:14" x14ac:dyDescent="0.2">
      <c r="A1597" t="s">
        <v>1853</v>
      </c>
      <c r="B1597" s="1" t="s">
        <v>1852</v>
      </c>
      <c r="C1597" t="s">
        <v>106</v>
      </c>
      <c r="D1597" t="s">
        <v>834</v>
      </c>
      <c r="E1597">
        <v>28</v>
      </c>
      <c r="F1597" t="s">
        <v>1605</v>
      </c>
      <c r="G1597">
        <v>2022</v>
      </c>
      <c r="H1597" t="s">
        <v>1854</v>
      </c>
      <c r="I1597" t="s">
        <v>135</v>
      </c>
      <c r="J1597">
        <v>-849</v>
      </c>
      <c r="K1597">
        <v>345</v>
      </c>
      <c r="L1597">
        <f t="shared" si="422"/>
        <v>-504</v>
      </c>
      <c r="M1597">
        <v>240</v>
      </c>
      <c r="N1597">
        <f t="shared" si="423"/>
        <v>-264</v>
      </c>
    </row>
    <row r="1598" spans="1:14" x14ac:dyDescent="0.2">
      <c r="A1598" t="s">
        <v>1782</v>
      </c>
      <c r="B1598" s="1" t="s">
        <v>1756</v>
      </c>
      <c r="C1598" t="s">
        <v>106</v>
      </c>
      <c r="D1598" t="s">
        <v>308</v>
      </c>
      <c r="E1598">
        <v>23</v>
      </c>
      <c r="F1598" t="s">
        <v>1605</v>
      </c>
      <c r="G1598">
        <v>2022</v>
      </c>
      <c r="H1598" t="s">
        <v>641</v>
      </c>
      <c r="I1598" t="s">
        <v>122</v>
      </c>
      <c r="J1598">
        <v>-899</v>
      </c>
      <c r="K1598">
        <v>375</v>
      </c>
      <c r="L1598">
        <f t="shared" si="422"/>
        <v>-524</v>
      </c>
      <c r="M1598">
        <v>240</v>
      </c>
      <c r="N1598">
        <f t="shared" si="423"/>
        <v>-284</v>
      </c>
    </row>
    <row r="1599" spans="1:14" x14ac:dyDescent="0.2">
      <c r="A1599" t="s">
        <v>2197</v>
      </c>
      <c r="B1599" s="1" t="s">
        <v>2196</v>
      </c>
      <c r="C1599" t="s">
        <v>43</v>
      </c>
      <c r="D1599" t="s">
        <v>895</v>
      </c>
      <c r="E1599">
        <v>1</v>
      </c>
      <c r="F1599" t="s">
        <v>2198</v>
      </c>
      <c r="G1599">
        <v>2022</v>
      </c>
      <c r="H1599" t="s">
        <v>170</v>
      </c>
      <c r="I1599" t="s">
        <v>171</v>
      </c>
      <c r="J1599">
        <v>0</v>
      </c>
      <c r="K1599">
        <v>0</v>
      </c>
      <c r="L1599">
        <v>0</v>
      </c>
      <c r="M1599">
        <v>0</v>
      </c>
      <c r="N1599">
        <v>0</v>
      </c>
    </row>
    <row r="1600" spans="1:14" x14ac:dyDescent="0.2">
      <c r="A1600" t="s">
        <v>2197</v>
      </c>
      <c r="B1600" s="1" t="s">
        <v>2196</v>
      </c>
      <c r="C1600" t="s">
        <v>43</v>
      </c>
      <c r="D1600" t="s">
        <v>1171</v>
      </c>
      <c r="E1600">
        <v>1</v>
      </c>
      <c r="F1600" t="s">
        <v>2198</v>
      </c>
      <c r="G1600">
        <v>2022</v>
      </c>
      <c r="H1600" t="s">
        <v>170</v>
      </c>
      <c r="I1600" t="s">
        <v>171</v>
      </c>
      <c r="J1600">
        <v>0</v>
      </c>
      <c r="K1600">
        <v>0</v>
      </c>
      <c r="L1600">
        <v>0</v>
      </c>
      <c r="M1600">
        <v>0</v>
      </c>
      <c r="N1600">
        <v>0</v>
      </c>
    </row>
    <row r="1601" spans="1:14" x14ac:dyDescent="0.2">
      <c r="A1601" t="s">
        <v>2199</v>
      </c>
      <c r="B1601" s="1" t="s">
        <v>2196</v>
      </c>
      <c r="C1601" t="s">
        <v>14</v>
      </c>
      <c r="D1601" t="s">
        <v>452</v>
      </c>
      <c r="E1601">
        <v>1</v>
      </c>
      <c r="F1601" t="s">
        <v>2198</v>
      </c>
      <c r="G1601">
        <v>2022</v>
      </c>
      <c r="H1601" t="s">
        <v>1245</v>
      </c>
      <c r="I1601" t="s">
        <v>502</v>
      </c>
      <c r="J1601">
        <v>759.05</v>
      </c>
      <c r="K1601">
        <v>202</v>
      </c>
      <c r="L1601">
        <f>J1601-K1601</f>
        <v>557.04999999999995</v>
      </c>
      <c r="M1601">
        <v>240</v>
      </c>
      <c r="N1601">
        <f>L1601-M1601</f>
        <v>317.04999999999995</v>
      </c>
    </row>
    <row r="1602" spans="1:14" x14ac:dyDescent="0.2">
      <c r="A1602" t="s">
        <v>2201</v>
      </c>
      <c r="B1602" s="1" t="s">
        <v>2200</v>
      </c>
      <c r="C1602" t="s">
        <v>43</v>
      </c>
      <c r="D1602" t="s">
        <v>2202</v>
      </c>
      <c r="E1602">
        <v>2</v>
      </c>
      <c r="F1602" t="s">
        <v>2198</v>
      </c>
      <c r="G1602">
        <v>2022</v>
      </c>
      <c r="H1602" t="s">
        <v>838</v>
      </c>
      <c r="I1602" t="s">
        <v>253</v>
      </c>
      <c r="J1602">
        <v>0</v>
      </c>
      <c r="K1602">
        <v>0</v>
      </c>
      <c r="L1602">
        <v>0</v>
      </c>
      <c r="M1602">
        <v>0</v>
      </c>
      <c r="N1602">
        <v>0</v>
      </c>
    </row>
    <row r="1603" spans="1:14" x14ac:dyDescent="0.2">
      <c r="A1603" t="s">
        <v>2203</v>
      </c>
      <c r="B1603" s="1" t="s">
        <v>2196</v>
      </c>
      <c r="C1603" t="s">
        <v>14</v>
      </c>
      <c r="D1603" t="s">
        <v>2058</v>
      </c>
      <c r="E1603">
        <v>1</v>
      </c>
      <c r="F1603" t="s">
        <v>2198</v>
      </c>
      <c r="G1603">
        <v>2022</v>
      </c>
      <c r="H1603" t="s">
        <v>2204</v>
      </c>
      <c r="I1603" t="s">
        <v>85</v>
      </c>
      <c r="J1603">
        <v>849</v>
      </c>
      <c r="K1603">
        <v>250</v>
      </c>
      <c r="L1603">
        <f t="shared" ref="L1603:L1618" si="424">J1603-K1603</f>
        <v>599</v>
      </c>
      <c r="M1603">
        <v>240</v>
      </c>
      <c r="N1603">
        <f t="shared" ref="N1603:N1618" si="425">L1603-M1603</f>
        <v>359</v>
      </c>
    </row>
    <row r="1604" spans="1:14" x14ac:dyDescent="0.2">
      <c r="A1604" t="s">
        <v>2205</v>
      </c>
      <c r="B1604" s="1" t="s">
        <v>2196</v>
      </c>
      <c r="C1604" t="s">
        <v>14</v>
      </c>
      <c r="D1604" t="s">
        <v>380</v>
      </c>
      <c r="E1604">
        <v>1</v>
      </c>
      <c r="F1604" t="s">
        <v>2198</v>
      </c>
      <c r="G1604">
        <v>2022</v>
      </c>
      <c r="H1604" t="s">
        <v>1159</v>
      </c>
      <c r="I1604" t="s">
        <v>85</v>
      </c>
      <c r="J1604">
        <v>806.55</v>
      </c>
      <c r="K1604">
        <v>227</v>
      </c>
      <c r="L1604">
        <f t="shared" si="424"/>
        <v>579.54999999999995</v>
      </c>
      <c r="M1604">
        <v>240</v>
      </c>
      <c r="N1604">
        <f t="shared" si="425"/>
        <v>339.54999999999995</v>
      </c>
    </row>
    <row r="1605" spans="1:14" x14ac:dyDescent="0.2">
      <c r="A1605" t="s">
        <v>2206</v>
      </c>
      <c r="B1605" s="1" t="s">
        <v>2196</v>
      </c>
      <c r="C1605" t="s">
        <v>14</v>
      </c>
      <c r="D1605" t="s">
        <v>1348</v>
      </c>
      <c r="E1605">
        <v>1</v>
      </c>
      <c r="F1605" t="s">
        <v>2198</v>
      </c>
      <c r="G1605">
        <v>2022</v>
      </c>
      <c r="H1605" t="s">
        <v>2207</v>
      </c>
      <c r="I1605" t="s">
        <v>135</v>
      </c>
      <c r="J1605">
        <v>799</v>
      </c>
      <c r="K1605">
        <v>205</v>
      </c>
      <c r="L1605">
        <f t="shared" si="424"/>
        <v>594</v>
      </c>
      <c r="M1605">
        <v>240</v>
      </c>
      <c r="N1605">
        <f t="shared" si="425"/>
        <v>354</v>
      </c>
    </row>
    <row r="1606" spans="1:14" x14ac:dyDescent="0.2">
      <c r="A1606" t="s">
        <v>2206</v>
      </c>
      <c r="B1606" s="1" t="s">
        <v>2196</v>
      </c>
      <c r="C1606" t="s">
        <v>14</v>
      </c>
      <c r="D1606" t="s">
        <v>977</v>
      </c>
      <c r="E1606">
        <v>1</v>
      </c>
      <c r="F1606" t="s">
        <v>2198</v>
      </c>
      <c r="G1606">
        <v>2022</v>
      </c>
      <c r="H1606" t="s">
        <v>2207</v>
      </c>
      <c r="I1606" t="s">
        <v>135</v>
      </c>
      <c r="J1606">
        <v>799</v>
      </c>
      <c r="K1606">
        <v>205</v>
      </c>
      <c r="L1606">
        <f t="shared" si="424"/>
        <v>594</v>
      </c>
      <c r="M1606">
        <v>240</v>
      </c>
      <c r="N1606">
        <f t="shared" si="425"/>
        <v>354</v>
      </c>
    </row>
    <row r="1607" spans="1:14" x14ac:dyDescent="0.2">
      <c r="A1607" t="s">
        <v>2208</v>
      </c>
      <c r="B1607" s="1" t="s">
        <v>2196</v>
      </c>
      <c r="C1607" t="s">
        <v>14</v>
      </c>
      <c r="D1607" t="s">
        <v>1089</v>
      </c>
      <c r="E1607">
        <v>1</v>
      </c>
      <c r="F1607" t="s">
        <v>2198</v>
      </c>
      <c r="G1607">
        <v>2022</v>
      </c>
      <c r="H1607" t="s">
        <v>157</v>
      </c>
      <c r="I1607" t="s">
        <v>97</v>
      </c>
      <c r="J1607">
        <v>799</v>
      </c>
      <c r="K1607">
        <v>205</v>
      </c>
      <c r="L1607">
        <f t="shared" si="424"/>
        <v>594</v>
      </c>
      <c r="M1607">
        <v>240</v>
      </c>
      <c r="N1607">
        <f t="shared" si="425"/>
        <v>354</v>
      </c>
    </row>
    <row r="1608" spans="1:14" x14ac:dyDescent="0.2">
      <c r="A1608" t="s">
        <v>2197</v>
      </c>
      <c r="B1608" s="1" t="s">
        <v>2196</v>
      </c>
      <c r="C1608" t="s">
        <v>14</v>
      </c>
      <c r="D1608" t="s">
        <v>895</v>
      </c>
      <c r="E1608">
        <v>1</v>
      </c>
      <c r="F1608" t="s">
        <v>2198</v>
      </c>
      <c r="G1608">
        <v>2022</v>
      </c>
      <c r="H1608" t="s">
        <v>170</v>
      </c>
      <c r="I1608" t="s">
        <v>171</v>
      </c>
      <c r="J1608">
        <v>849</v>
      </c>
      <c r="K1608">
        <v>250</v>
      </c>
      <c r="L1608">
        <f t="shared" si="424"/>
        <v>599</v>
      </c>
      <c r="M1608">
        <v>240</v>
      </c>
      <c r="N1608">
        <f t="shared" si="425"/>
        <v>359</v>
      </c>
    </row>
    <row r="1609" spans="1:14" x14ac:dyDescent="0.2">
      <c r="A1609" t="s">
        <v>2197</v>
      </c>
      <c r="B1609" s="1" t="s">
        <v>2196</v>
      </c>
      <c r="C1609" t="s">
        <v>14</v>
      </c>
      <c r="D1609" t="s">
        <v>1171</v>
      </c>
      <c r="E1609">
        <v>1</v>
      </c>
      <c r="F1609" t="s">
        <v>2198</v>
      </c>
      <c r="G1609">
        <v>2022</v>
      </c>
      <c r="H1609" t="s">
        <v>170</v>
      </c>
      <c r="I1609" t="s">
        <v>171</v>
      </c>
      <c r="J1609">
        <v>799</v>
      </c>
      <c r="K1609">
        <v>205</v>
      </c>
      <c r="L1609">
        <f t="shared" si="424"/>
        <v>594</v>
      </c>
      <c r="M1609">
        <v>240</v>
      </c>
      <c r="N1609">
        <f t="shared" si="425"/>
        <v>354</v>
      </c>
    </row>
    <row r="1610" spans="1:14" x14ac:dyDescent="0.2">
      <c r="A1610" t="s">
        <v>2209</v>
      </c>
      <c r="B1610" s="1" t="s">
        <v>2200</v>
      </c>
      <c r="C1610" t="s">
        <v>14</v>
      </c>
      <c r="D1610" t="s">
        <v>1508</v>
      </c>
      <c r="E1610">
        <v>2</v>
      </c>
      <c r="F1610" t="s">
        <v>2198</v>
      </c>
      <c r="G1610">
        <v>2022</v>
      </c>
      <c r="H1610" t="s">
        <v>1159</v>
      </c>
      <c r="I1610" t="s">
        <v>85</v>
      </c>
      <c r="J1610">
        <v>949.05</v>
      </c>
      <c r="K1610">
        <v>306</v>
      </c>
      <c r="L1610">
        <f t="shared" si="424"/>
        <v>643.04999999999995</v>
      </c>
      <c r="M1610">
        <v>240</v>
      </c>
      <c r="N1610">
        <f t="shared" si="425"/>
        <v>403.04999999999995</v>
      </c>
    </row>
    <row r="1611" spans="1:14" x14ac:dyDescent="0.2">
      <c r="A1611" t="s">
        <v>2210</v>
      </c>
      <c r="B1611" s="1" t="s">
        <v>2200</v>
      </c>
      <c r="C1611" t="s">
        <v>14</v>
      </c>
      <c r="D1611" t="s">
        <v>81</v>
      </c>
      <c r="E1611">
        <v>2</v>
      </c>
      <c r="F1611" t="s">
        <v>2198</v>
      </c>
      <c r="G1611">
        <v>2022</v>
      </c>
      <c r="H1611" t="s">
        <v>1115</v>
      </c>
      <c r="I1611" t="s">
        <v>135</v>
      </c>
      <c r="J1611">
        <v>849</v>
      </c>
      <c r="K1611">
        <v>250</v>
      </c>
      <c r="L1611">
        <f t="shared" si="424"/>
        <v>599</v>
      </c>
      <c r="M1611">
        <v>240</v>
      </c>
      <c r="N1611">
        <f t="shared" si="425"/>
        <v>359</v>
      </c>
    </row>
    <row r="1612" spans="1:14" x14ac:dyDescent="0.2">
      <c r="A1612" t="s">
        <v>2211</v>
      </c>
      <c r="B1612" s="1" t="s">
        <v>2200</v>
      </c>
      <c r="C1612" t="s">
        <v>14</v>
      </c>
      <c r="D1612" t="s">
        <v>448</v>
      </c>
      <c r="E1612">
        <v>2</v>
      </c>
      <c r="F1612" t="s">
        <v>2198</v>
      </c>
      <c r="G1612">
        <v>2022</v>
      </c>
      <c r="H1612" t="s">
        <v>775</v>
      </c>
      <c r="I1612" t="s">
        <v>502</v>
      </c>
      <c r="J1612">
        <v>899</v>
      </c>
      <c r="K1612">
        <v>295</v>
      </c>
      <c r="L1612">
        <f t="shared" si="424"/>
        <v>604</v>
      </c>
      <c r="M1612">
        <v>240</v>
      </c>
      <c r="N1612">
        <f t="shared" si="425"/>
        <v>364</v>
      </c>
    </row>
    <row r="1613" spans="1:14" x14ac:dyDescent="0.2">
      <c r="A1613" t="s">
        <v>2201</v>
      </c>
      <c r="B1613" s="1" t="s">
        <v>2200</v>
      </c>
      <c r="C1613" t="s">
        <v>14</v>
      </c>
      <c r="D1613" t="s">
        <v>2202</v>
      </c>
      <c r="E1613">
        <v>2</v>
      </c>
      <c r="F1613" t="s">
        <v>2198</v>
      </c>
      <c r="G1613">
        <v>2022</v>
      </c>
      <c r="H1613" t="s">
        <v>838</v>
      </c>
      <c r="I1613" t="s">
        <v>253</v>
      </c>
      <c r="J1613">
        <v>799</v>
      </c>
      <c r="K1613">
        <v>205</v>
      </c>
      <c r="L1613">
        <f t="shared" si="424"/>
        <v>594</v>
      </c>
      <c r="M1613">
        <v>240</v>
      </c>
      <c r="N1613">
        <f t="shared" si="425"/>
        <v>354</v>
      </c>
    </row>
    <row r="1614" spans="1:14" x14ac:dyDescent="0.2">
      <c r="A1614" t="s">
        <v>2213</v>
      </c>
      <c r="B1614" s="1" t="s">
        <v>2212</v>
      </c>
      <c r="C1614" t="s">
        <v>14</v>
      </c>
      <c r="D1614" t="s">
        <v>308</v>
      </c>
      <c r="E1614">
        <v>3</v>
      </c>
      <c r="F1614" t="s">
        <v>2198</v>
      </c>
      <c r="G1614">
        <v>2022</v>
      </c>
      <c r="H1614" t="s">
        <v>235</v>
      </c>
      <c r="I1614" t="s">
        <v>62</v>
      </c>
      <c r="J1614">
        <v>854.05</v>
      </c>
      <c r="K1614">
        <v>270</v>
      </c>
      <c r="L1614">
        <f t="shared" si="424"/>
        <v>584.04999999999995</v>
      </c>
      <c r="M1614">
        <v>240</v>
      </c>
      <c r="N1614">
        <f t="shared" si="425"/>
        <v>344.04999999999995</v>
      </c>
    </row>
    <row r="1615" spans="1:14" x14ac:dyDescent="0.2">
      <c r="A1615" t="s">
        <v>2214</v>
      </c>
      <c r="B1615" s="1" t="s">
        <v>2212</v>
      </c>
      <c r="C1615" t="s">
        <v>14</v>
      </c>
      <c r="D1615" t="s">
        <v>133</v>
      </c>
      <c r="E1615">
        <v>3</v>
      </c>
      <c r="F1615" t="s">
        <v>2198</v>
      </c>
      <c r="G1615">
        <v>2022</v>
      </c>
      <c r="H1615" t="s">
        <v>173</v>
      </c>
      <c r="I1615" t="s">
        <v>62</v>
      </c>
      <c r="J1615">
        <v>759.05</v>
      </c>
      <c r="K1615">
        <v>202</v>
      </c>
      <c r="L1615">
        <f t="shared" si="424"/>
        <v>557.04999999999995</v>
      </c>
      <c r="M1615">
        <v>240</v>
      </c>
      <c r="N1615">
        <f t="shared" si="425"/>
        <v>317.04999999999995</v>
      </c>
    </row>
    <row r="1616" spans="1:14" x14ac:dyDescent="0.2">
      <c r="A1616" t="s">
        <v>2215</v>
      </c>
      <c r="B1616" s="1" t="s">
        <v>2212</v>
      </c>
      <c r="C1616" t="s">
        <v>14</v>
      </c>
      <c r="D1616" t="s">
        <v>993</v>
      </c>
      <c r="E1616">
        <v>3</v>
      </c>
      <c r="F1616" t="s">
        <v>2198</v>
      </c>
      <c r="G1616">
        <v>2022</v>
      </c>
      <c r="H1616" t="s">
        <v>779</v>
      </c>
      <c r="I1616" t="s">
        <v>58</v>
      </c>
      <c r="J1616">
        <v>799</v>
      </c>
      <c r="K1616">
        <v>205</v>
      </c>
      <c r="L1616">
        <f t="shared" si="424"/>
        <v>594</v>
      </c>
      <c r="M1616">
        <v>240</v>
      </c>
      <c r="N1616">
        <f t="shared" si="425"/>
        <v>354</v>
      </c>
    </row>
    <row r="1617" spans="1:14" x14ac:dyDescent="0.2">
      <c r="A1617" t="s">
        <v>2217</v>
      </c>
      <c r="B1617" s="1" t="s">
        <v>2216</v>
      </c>
      <c r="C1617" t="s">
        <v>14</v>
      </c>
      <c r="D1617" t="s">
        <v>504</v>
      </c>
      <c r="E1617">
        <v>4</v>
      </c>
      <c r="F1617" t="s">
        <v>2198</v>
      </c>
      <c r="G1617">
        <v>2022</v>
      </c>
      <c r="H1617" t="s">
        <v>2218</v>
      </c>
      <c r="I1617" t="s">
        <v>62</v>
      </c>
      <c r="J1617">
        <v>854.05</v>
      </c>
      <c r="K1617">
        <v>270</v>
      </c>
      <c r="L1617">
        <f t="shared" si="424"/>
        <v>584.04999999999995</v>
      </c>
      <c r="M1617">
        <v>240</v>
      </c>
      <c r="N1617">
        <f t="shared" si="425"/>
        <v>344.04999999999995</v>
      </c>
    </row>
    <row r="1618" spans="1:14" x14ac:dyDescent="0.2">
      <c r="A1618" t="s">
        <v>2219</v>
      </c>
      <c r="B1618" s="1" t="s">
        <v>2216</v>
      </c>
      <c r="C1618" t="s">
        <v>14</v>
      </c>
      <c r="D1618" t="s">
        <v>1805</v>
      </c>
      <c r="E1618">
        <v>4</v>
      </c>
      <c r="F1618" t="s">
        <v>2198</v>
      </c>
      <c r="G1618">
        <v>2022</v>
      </c>
      <c r="H1618" t="s">
        <v>246</v>
      </c>
      <c r="I1618" t="s">
        <v>58</v>
      </c>
      <c r="J1618">
        <v>849</v>
      </c>
      <c r="K1618">
        <v>250</v>
      </c>
      <c r="L1618">
        <f t="shared" si="424"/>
        <v>599</v>
      </c>
      <c r="M1618">
        <v>240</v>
      </c>
      <c r="N1618">
        <f t="shared" si="425"/>
        <v>359</v>
      </c>
    </row>
    <row r="1619" spans="1:14" x14ac:dyDescent="0.2">
      <c r="A1619" t="s">
        <v>2221</v>
      </c>
      <c r="B1619" s="1" t="s">
        <v>2220</v>
      </c>
      <c r="C1619" t="s">
        <v>43</v>
      </c>
      <c r="D1619" t="s">
        <v>819</v>
      </c>
      <c r="E1619">
        <v>5</v>
      </c>
      <c r="F1619" t="s">
        <v>2198</v>
      </c>
      <c r="G1619">
        <v>2022</v>
      </c>
      <c r="H1619" t="s">
        <v>84</v>
      </c>
      <c r="I1619" t="s">
        <v>85</v>
      </c>
      <c r="J1619">
        <v>0</v>
      </c>
      <c r="K1619">
        <v>0</v>
      </c>
      <c r="L1619">
        <v>0</v>
      </c>
      <c r="M1619">
        <v>0</v>
      </c>
      <c r="N1619">
        <v>0</v>
      </c>
    </row>
    <row r="1620" spans="1:14" x14ac:dyDescent="0.2">
      <c r="A1620" t="s">
        <v>2222</v>
      </c>
      <c r="B1620" s="1" t="s">
        <v>2216</v>
      </c>
      <c r="C1620" t="s">
        <v>14</v>
      </c>
      <c r="D1620" t="s">
        <v>284</v>
      </c>
      <c r="E1620">
        <v>4</v>
      </c>
      <c r="F1620" t="s">
        <v>2198</v>
      </c>
      <c r="G1620">
        <v>2022</v>
      </c>
      <c r="H1620" t="s">
        <v>104</v>
      </c>
      <c r="I1620" t="s">
        <v>62</v>
      </c>
      <c r="J1620">
        <v>899</v>
      </c>
      <c r="K1620">
        <v>295</v>
      </c>
      <c r="L1620">
        <f t="shared" ref="L1620:L1634" si="426">J1620-K1620</f>
        <v>604</v>
      </c>
      <c r="M1620">
        <v>240</v>
      </c>
      <c r="N1620">
        <f t="shared" ref="N1620:N1634" si="427">L1620-M1620</f>
        <v>364</v>
      </c>
    </row>
    <row r="1621" spans="1:14" x14ac:dyDescent="0.2">
      <c r="A1621" t="s">
        <v>2223</v>
      </c>
      <c r="B1621" s="1" t="s">
        <v>2220</v>
      </c>
      <c r="C1621" t="s">
        <v>14</v>
      </c>
      <c r="D1621" t="s">
        <v>940</v>
      </c>
      <c r="E1621">
        <v>5</v>
      </c>
      <c r="F1621" t="s">
        <v>2198</v>
      </c>
      <c r="G1621">
        <v>2022</v>
      </c>
      <c r="H1621" t="s">
        <v>246</v>
      </c>
      <c r="I1621" t="s">
        <v>58</v>
      </c>
      <c r="J1621">
        <v>799</v>
      </c>
      <c r="K1621">
        <v>205</v>
      </c>
      <c r="L1621">
        <f t="shared" si="426"/>
        <v>594</v>
      </c>
      <c r="M1621">
        <v>240</v>
      </c>
      <c r="N1621">
        <f t="shared" si="427"/>
        <v>354</v>
      </c>
    </row>
    <row r="1622" spans="1:14" x14ac:dyDescent="0.2">
      <c r="A1622" t="s">
        <v>2224</v>
      </c>
      <c r="B1622" s="1" t="s">
        <v>2220</v>
      </c>
      <c r="C1622" t="s">
        <v>14</v>
      </c>
      <c r="D1622" t="s">
        <v>1348</v>
      </c>
      <c r="E1622">
        <v>5</v>
      </c>
      <c r="F1622" t="s">
        <v>2198</v>
      </c>
      <c r="G1622">
        <v>2022</v>
      </c>
      <c r="H1622" t="s">
        <v>309</v>
      </c>
      <c r="I1622" t="s">
        <v>212</v>
      </c>
      <c r="J1622">
        <v>799</v>
      </c>
      <c r="K1622">
        <v>205</v>
      </c>
      <c r="L1622">
        <f t="shared" si="426"/>
        <v>594</v>
      </c>
      <c r="M1622">
        <v>240</v>
      </c>
      <c r="N1622">
        <f t="shared" si="427"/>
        <v>354</v>
      </c>
    </row>
    <row r="1623" spans="1:14" x14ac:dyDescent="0.2">
      <c r="A1623" t="s">
        <v>2225</v>
      </c>
      <c r="B1623" s="1" t="s">
        <v>2216</v>
      </c>
      <c r="C1623" t="s">
        <v>14</v>
      </c>
      <c r="D1623" t="s">
        <v>1186</v>
      </c>
      <c r="E1623">
        <v>4</v>
      </c>
      <c r="F1623" t="s">
        <v>2198</v>
      </c>
      <c r="G1623">
        <v>2022</v>
      </c>
      <c r="H1623" t="s">
        <v>157</v>
      </c>
      <c r="I1623" t="s">
        <v>97</v>
      </c>
      <c r="J1623">
        <v>799</v>
      </c>
      <c r="K1623">
        <v>205</v>
      </c>
      <c r="L1623">
        <f t="shared" si="426"/>
        <v>594</v>
      </c>
      <c r="M1623">
        <v>240</v>
      </c>
      <c r="N1623">
        <f t="shared" si="427"/>
        <v>354</v>
      </c>
    </row>
    <row r="1624" spans="1:14" x14ac:dyDescent="0.2">
      <c r="A1624" t="s">
        <v>2226</v>
      </c>
      <c r="B1624" s="1" t="s">
        <v>2216</v>
      </c>
      <c r="C1624" t="s">
        <v>14</v>
      </c>
      <c r="D1624" t="s">
        <v>81</v>
      </c>
      <c r="E1624">
        <v>4</v>
      </c>
      <c r="F1624" t="s">
        <v>2198</v>
      </c>
      <c r="G1624">
        <v>2022</v>
      </c>
      <c r="H1624" t="s">
        <v>2227</v>
      </c>
      <c r="I1624" t="s">
        <v>19</v>
      </c>
      <c r="J1624">
        <v>806.55</v>
      </c>
      <c r="K1624">
        <v>227</v>
      </c>
      <c r="L1624">
        <f t="shared" si="426"/>
        <v>579.54999999999995</v>
      </c>
      <c r="M1624">
        <v>240</v>
      </c>
      <c r="N1624">
        <f t="shared" si="427"/>
        <v>339.54999999999995</v>
      </c>
    </row>
    <row r="1625" spans="1:14" x14ac:dyDescent="0.2">
      <c r="A1625" t="s">
        <v>2228</v>
      </c>
      <c r="B1625" s="1" t="s">
        <v>2220</v>
      </c>
      <c r="C1625" t="s">
        <v>14</v>
      </c>
      <c r="D1625" t="s">
        <v>1338</v>
      </c>
      <c r="E1625">
        <v>5</v>
      </c>
      <c r="F1625" t="s">
        <v>2198</v>
      </c>
      <c r="G1625">
        <v>2022</v>
      </c>
      <c r="H1625" t="s">
        <v>246</v>
      </c>
      <c r="I1625" t="s">
        <v>58</v>
      </c>
      <c r="J1625">
        <v>799</v>
      </c>
      <c r="K1625">
        <v>205</v>
      </c>
      <c r="L1625">
        <f t="shared" si="426"/>
        <v>594</v>
      </c>
      <c r="M1625">
        <v>240</v>
      </c>
      <c r="N1625">
        <f t="shared" si="427"/>
        <v>354</v>
      </c>
    </row>
    <row r="1626" spans="1:14" x14ac:dyDescent="0.2">
      <c r="A1626" t="s">
        <v>2229</v>
      </c>
      <c r="B1626" s="1" t="s">
        <v>2216</v>
      </c>
      <c r="C1626" t="s">
        <v>14</v>
      </c>
      <c r="D1626" t="s">
        <v>1047</v>
      </c>
      <c r="E1626">
        <v>4</v>
      </c>
      <c r="F1626" t="s">
        <v>2198</v>
      </c>
      <c r="G1626">
        <v>2022</v>
      </c>
      <c r="H1626" t="s">
        <v>2230</v>
      </c>
      <c r="I1626" t="s">
        <v>32</v>
      </c>
      <c r="J1626">
        <v>799</v>
      </c>
      <c r="K1626">
        <v>205</v>
      </c>
      <c r="L1626">
        <f t="shared" si="426"/>
        <v>594</v>
      </c>
      <c r="M1626">
        <v>240</v>
      </c>
      <c r="N1626">
        <f t="shared" si="427"/>
        <v>354</v>
      </c>
    </row>
    <row r="1627" spans="1:14" x14ac:dyDescent="0.2">
      <c r="A1627" t="s">
        <v>2231</v>
      </c>
      <c r="B1627" s="1" t="s">
        <v>2216</v>
      </c>
      <c r="C1627" t="s">
        <v>14</v>
      </c>
      <c r="D1627" t="s">
        <v>35</v>
      </c>
      <c r="E1627">
        <v>4</v>
      </c>
      <c r="F1627" t="s">
        <v>2198</v>
      </c>
      <c r="G1627">
        <v>2022</v>
      </c>
      <c r="H1627" t="s">
        <v>104</v>
      </c>
      <c r="I1627" t="s">
        <v>62</v>
      </c>
      <c r="J1627">
        <v>849</v>
      </c>
      <c r="K1627">
        <v>250</v>
      </c>
      <c r="L1627">
        <f t="shared" si="426"/>
        <v>599</v>
      </c>
      <c r="M1627">
        <v>240</v>
      </c>
      <c r="N1627">
        <f t="shared" si="427"/>
        <v>359</v>
      </c>
    </row>
    <row r="1628" spans="1:14" x14ac:dyDescent="0.2">
      <c r="A1628" t="s">
        <v>2232</v>
      </c>
      <c r="B1628" s="1" t="s">
        <v>2220</v>
      </c>
      <c r="C1628" t="s">
        <v>14</v>
      </c>
      <c r="D1628" t="s">
        <v>81</v>
      </c>
      <c r="E1628">
        <v>5</v>
      </c>
      <c r="F1628" t="s">
        <v>2198</v>
      </c>
      <c r="G1628">
        <v>2022</v>
      </c>
      <c r="H1628" t="s">
        <v>104</v>
      </c>
      <c r="I1628" t="s">
        <v>62</v>
      </c>
      <c r="J1628">
        <v>849</v>
      </c>
      <c r="K1628">
        <v>250</v>
      </c>
      <c r="L1628">
        <f t="shared" si="426"/>
        <v>599</v>
      </c>
      <c r="M1628">
        <v>240</v>
      </c>
      <c r="N1628">
        <f t="shared" si="427"/>
        <v>359</v>
      </c>
    </row>
    <row r="1629" spans="1:14" x14ac:dyDescent="0.2">
      <c r="A1629" t="s">
        <v>2233</v>
      </c>
      <c r="B1629" s="1" t="s">
        <v>2220</v>
      </c>
      <c r="C1629" t="s">
        <v>14</v>
      </c>
      <c r="D1629" t="s">
        <v>1370</v>
      </c>
      <c r="E1629">
        <v>5</v>
      </c>
      <c r="F1629" t="s">
        <v>2198</v>
      </c>
      <c r="G1629">
        <v>2022</v>
      </c>
      <c r="H1629" t="s">
        <v>2234</v>
      </c>
      <c r="I1629" t="s">
        <v>257</v>
      </c>
      <c r="J1629">
        <v>799</v>
      </c>
      <c r="K1629">
        <v>205</v>
      </c>
      <c r="L1629">
        <f t="shared" si="426"/>
        <v>594</v>
      </c>
      <c r="M1629">
        <v>240</v>
      </c>
      <c r="N1629">
        <f t="shared" si="427"/>
        <v>354</v>
      </c>
    </row>
    <row r="1630" spans="1:14" x14ac:dyDescent="0.2">
      <c r="A1630" t="s">
        <v>2233</v>
      </c>
      <c r="B1630" s="1" t="s">
        <v>2220</v>
      </c>
      <c r="C1630" t="s">
        <v>14</v>
      </c>
      <c r="D1630" t="s">
        <v>425</v>
      </c>
      <c r="E1630">
        <v>5</v>
      </c>
      <c r="F1630" t="s">
        <v>2198</v>
      </c>
      <c r="G1630">
        <v>2022</v>
      </c>
      <c r="H1630" t="s">
        <v>2234</v>
      </c>
      <c r="I1630" t="s">
        <v>257</v>
      </c>
      <c r="J1630">
        <v>799</v>
      </c>
      <c r="K1630">
        <v>205</v>
      </c>
      <c r="L1630">
        <f t="shared" si="426"/>
        <v>594</v>
      </c>
      <c r="M1630">
        <v>240</v>
      </c>
      <c r="N1630">
        <f t="shared" si="427"/>
        <v>354</v>
      </c>
    </row>
    <row r="1631" spans="1:14" x14ac:dyDescent="0.2">
      <c r="A1631" t="s">
        <v>2235</v>
      </c>
      <c r="B1631" s="1" t="s">
        <v>2216</v>
      </c>
      <c r="C1631" t="s">
        <v>14</v>
      </c>
      <c r="D1631" t="s">
        <v>893</v>
      </c>
      <c r="E1631">
        <v>4</v>
      </c>
      <c r="F1631" t="s">
        <v>2198</v>
      </c>
      <c r="G1631">
        <v>2022</v>
      </c>
      <c r="H1631" t="s">
        <v>2236</v>
      </c>
      <c r="I1631" t="s">
        <v>28</v>
      </c>
      <c r="J1631">
        <v>849</v>
      </c>
      <c r="K1631">
        <v>250</v>
      </c>
      <c r="L1631">
        <f t="shared" si="426"/>
        <v>599</v>
      </c>
      <c r="M1631">
        <v>240</v>
      </c>
      <c r="N1631">
        <f t="shared" si="427"/>
        <v>359</v>
      </c>
    </row>
    <row r="1632" spans="1:14" x14ac:dyDescent="0.2">
      <c r="A1632" t="s">
        <v>2237</v>
      </c>
      <c r="B1632" s="1" t="s">
        <v>2216</v>
      </c>
      <c r="C1632" t="s">
        <v>14</v>
      </c>
      <c r="D1632" t="s">
        <v>1015</v>
      </c>
      <c r="E1632">
        <v>4</v>
      </c>
      <c r="F1632" t="s">
        <v>2198</v>
      </c>
      <c r="G1632">
        <v>2022</v>
      </c>
      <c r="H1632" t="s">
        <v>2238</v>
      </c>
      <c r="I1632" t="s">
        <v>58</v>
      </c>
      <c r="J1632">
        <v>849</v>
      </c>
      <c r="K1632">
        <v>250</v>
      </c>
      <c r="L1632">
        <f t="shared" si="426"/>
        <v>599</v>
      </c>
      <c r="M1632">
        <v>240</v>
      </c>
      <c r="N1632">
        <f t="shared" si="427"/>
        <v>359</v>
      </c>
    </row>
    <row r="1633" spans="1:14" x14ac:dyDescent="0.2">
      <c r="A1633" t="s">
        <v>2239</v>
      </c>
      <c r="B1633" s="1" t="s">
        <v>2216</v>
      </c>
      <c r="C1633" t="s">
        <v>14</v>
      </c>
      <c r="D1633" t="s">
        <v>81</v>
      </c>
      <c r="E1633">
        <v>4</v>
      </c>
      <c r="F1633" t="s">
        <v>2198</v>
      </c>
      <c r="G1633">
        <v>2022</v>
      </c>
      <c r="H1633" t="s">
        <v>2240</v>
      </c>
      <c r="I1633" t="s">
        <v>62</v>
      </c>
      <c r="J1633">
        <v>806.55</v>
      </c>
      <c r="K1633">
        <v>227</v>
      </c>
      <c r="L1633">
        <f t="shared" si="426"/>
        <v>579.54999999999995</v>
      </c>
      <c r="M1633">
        <v>240</v>
      </c>
      <c r="N1633">
        <f t="shared" si="427"/>
        <v>339.54999999999995</v>
      </c>
    </row>
    <row r="1634" spans="1:14" x14ac:dyDescent="0.2">
      <c r="A1634" t="s">
        <v>2241</v>
      </c>
      <c r="B1634" s="1" t="s">
        <v>2216</v>
      </c>
      <c r="C1634" t="s">
        <v>14</v>
      </c>
      <c r="D1634" t="s">
        <v>380</v>
      </c>
      <c r="E1634">
        <v>4</v>
      </c>
      <c r="F1634" t="s">
        <v>2198</v>
      </c>
      <c r="G1634">
        <v>2022</v>
      </c>
      <c r="H1634" t="s">
        <v>1405</v>
      </c>
      <c r="I1634" t="s">
        <v>257</v>
      </c>
      <c r="J1634">
        <v>1698</v>
      </c>
      <c r="K1634">
        <v>407</v>
      </c>
      <c r="L1634">
        <f t="shared" si="426"/>
        <v>1291</v>
      </c>
      <c r="M1634">
        <v>240</v>
      </c>
      <c r="N1634">
        <f t="shared" si="427"/>
        <v>1051</v>
      </c>
    </row>
    <row r="1635" spans="1:14" x14ac:dyDescent="0.2">
      <c r="A1635" t="s">
        <v>2243</v>
      </c>
      <c r="B1635" s="1" t="s">
        <v>2242</v>
      </c>
      <c r="C1635" t="s">
        <v>43</v>
      </c>
      <c r="D1635" t="s">
        <v>893</v>
      </c>
      <c r="E1635">
        <v>6</v>
      </c>
      <c r="F1635" t="s">
        <v>2198</v>
      </c>
      <c r="G1635">
        <v>2022</v>
      </c>
      <c r="H1635" t="s">
        <v>31</v>
      </c>
      <c r="I1635" t="s">
        <v>32</v>
      </c>
      <c r="J1635">
        <v>0</v>
      </c>
      <c r="K1635">
        <v>0</v>
      </c>
      <c r="L1635">
        <v>0</v>
      </c>
      <c r="M1635">
        <v>0</v>
      </c>
      <c r="N1635">
        <v>0</v>
      </c>
    </row>
    <row r="1636" spans="1:14" x14ac:dyDescent="0.2">
      <c r="A1636" t="s">
        <v>2244</v>
      </c>
      <c r="B1636" s="1" t="s">
        <v>2242</v>
      </c>
      <c r="C1636" t="s">
        <v>14</v>
      </c>
      <c r="D1636" t="s">
        <v>812</v>
      </c>
      <c r="E1636">
        <v>6</v>
      </c>
      <c r="F1636" t="s">
        <v>2198</v>
      </c>
      <c r="G1636">
        <v>2022</v>
      </c>
      <c r="H1636" t="s">
        <v>193</v>
      </c>
      <c r="I1636" t="s">
        <v>62</v>
      </c>
      <c r="J1636">
        <v>999</v>
      </c>
      <c r="K1636">
        <v>325</v>
      </c>
      <c r="L1636">
        <f t="shared" ref="L1636:L1637" si="428">J1636-K1636</f>
        <v>674</v>
      </c>
      <c r="M1636">
        <v>240</v>
      </c>
      <c r="N1636">
        <f t="shared" ref="N1636:N1637" si="429">L1636-M1636</f>
        <v>434</v>
      </c>
    </row>
    <row r="1637" spans="1:14" x14ac:dyDescent="0.2">
      <c r="A1637" t="s">
        <v>2244</v>
      </c>
      <c r="B1637" s="1" t="s">
        <v>2242</v>
      </c>
      <c r="C1637" t="s">
        <v>14</v>
      </c>
      <c r="D1637" t="s">
        <v>573</v>
      </c>
      <c r="E1637">
        <v>6</v>
      </c>
      <c r="F1637" t="s">
        <v>2198</v>
      </c>
      <c r="G1637">
        <v>2022</v>
      </c>
      <c r="H1637" t="s">
        <v>193</v>
      </c>
      <c r="I1637" t="s">
        <v>62</v>
      </c>
      <c r="J1637">
        <v>899</v>
      </c>
      <c r="K1637">
        <v>295</v>
      </c>
      <c r="L1637">
        <f t="shared" si="428"/>
        <v>604</v>
      </c>
      <c r="M1637">
        <v>240</v>
      </c>
      <c r="N1637">
        <f t="shared" si="429"/>
        <v>364</v>
      </c>
    </row>
    <row r="1638" spans="1:14" x14ac:dyDescent="0.2">
      <c r="A1638" t="s">
        <v>2197</v>
      </c>
      <c r="B1638" s="1" t="s">
        <v>2196</v>
      </c>
      <c r="C1638" t="s">
        <v>106</v>
      </c>
      <c r="D1638" t="s">
        <v>1171</v>
      </c>
      <c r="E1638">
        <v>1</v>
      </c>
      <c r="F1638" t="s">
        <v>2198</v>
      </c>
      <c r="G1638">
        <v>2022</v>
      </c>
      <c r="H1638" t="s">
        <v>170</v>
      </c>
      <c r="I1638" t="s">
        <v>171</v>
      </c>
      <c r="J1638">
        <v>-799</v>
      </c>
      <c r="K1638">
        <v>320</v>
      </c>
      <c r="L1638">
        <f t="shared" ref="L1638:L1640" si="430">J1638+K1638</f>
        <v>-479</v>
      </c>
      <c r="M1638">
        <v>240</v>
      </c>
      <c r="N1638">
        <f t="shared" ref="N1638:N1640" si="431">L1638+M1638</f>
        <v>-239</v>
      </c>
    </row>
    <row r="1639" spans="1:14" x14ac:dyDescent="0.2">
      <c r="A1639" t="s">
        <v>2228</v>
      </c>
      <c r="B1639" s="1" t="s">
        <v>2220</v>
      </c>
      <c r="C1639" t="s">
        <v>106</v>
      </c>
      <c r="D1639" t="s">
        <v>1338</v>
      </c>
      <c r="E1639">
        <v>5</v>
      </c>
      <c r="F1639" t="s">
        <v>2198</v>
      </c>
      <c r="G1639">
        <v>2022</v>
      </c>
      <c r="H1639" t="s">
        <v>246</v>
      </c>
      <c r="I1639" t="s">
        <v>58</v>
      </c>
      <c r="J1639">
        <v>-799</v>
      </c>
      <c r="K1639">
        <v>320</v>
      </c>
      <c r="L1639">
        <f t="shared" si="430"/>
        <v>-479</v>
      </c>
      <c r="M1639">
        <v>240</v>
      </c>
      <c r="N1639">
        <f t="shared" si="431"/>
        <v>-239</v>
      </c>
    </row>
    <row r="1640" spans="1:14" x14ac:dyDescent="0.2">
      <c r="A1640" t="s">
        <v>2208</v>
      </c>
      <c r="B1640" s="1" t="s">
        <v>2196</v>
      </c>
      <c r="C1640" t="s">
        <v>106</v>
      </c>
      <c r="D1640" t="s">
        <v>1089</v>
      </c>
      <c r="E1640">
        <v>1</v>
      </c>
      <c r="F1640" t="s">
        <v>2198</v>
      </c>
      <c r="G1640">
        <v>2022</v>
      </c>
      <c r="H1640" t="s">
        <v>157</v>
      </c>
      <c r="I1640" t="s">
        <v>97</v>
      </c>
      <c r="J1640">
        <v>-799</v>
      </c>
      <c r="K1640">
        <v>320</v>
      </c>
      <c r="L1640">
        <f t="shared" si="430"/>
        <v>-479</v>
      </c>
      <c r="M1640">
        <v>240</v>
      </c>
      <c r="N1640">
        <f t="shared" si="431"/>
        <v>-239</v>
      </c>
    </row>
    <row r="1641" spans="1:14" x14ac:dyDescent="0.2">
      <c r="A1641" t="s">
        <v>2245</v>
      </c>
      <c r="B1641" s="1" t="s">
        <v>2242</v>
      </c>
      <c r="C1641" t="s">
        <v>20</v>
      </c>
      <c r="D1641" t="s">
        <v>812</v>
      </c>
      <c r="E1641">
        <v>6</v>
      </c>
      <c r="F1641" t="s">
        <v>2198</v>
      </c>
      <c r="G1641">
        <v>2022</v>
      </c>
      <c r="H1641" t="s">
        <v>173</v>
      </c>
      <c r="I1641" t="s">
        <v>62</v>
      </c>
      <c r="J1641">
        <v>0</v>
      </c>
      <c r="K1641">
        <v>0</v>
      </c>
      <c r="L1641">
        <v>0</v>
      </c>
      <c r="M1641">
        <v>0</v>
      </c>
      <c r="N1641">
        <v>0</v>
      </c>
    </row>
    <row r="1642" spans="1:14" x14ac:dyDescent="0.2">
      <c r="A1642" t="s">
        <v>2246</v>
      </c>
      <c r="B1642" s="1" t="s">
        <v>2242</v>
      </c>
      <c r="C1642" t="s">
        <v>14</v>
      </c>
      <c r="D1642" t="s">
        <v>1508</v>
      </c>
      <c r="E1642">
        <v>6</v>
      </c>
      <c r="F1642" t="s">
        <v>2198</v>
      </c>
      <c r="G1642">
        <v>2022</v>
      </c>
      <c r="H1642" t="s">
        <v>18</v>
      </c>
      <c r="I1642" t="s">
        <v>19</v>
      </c>
      <c r="J1642">
        <v>949.05</v>
      </c>
      <c r="K1642">
        <v>306</v>
      </c>
      <c r="L1642">
        <f t="shared" ref="L1642:L1646" si="432">J1642-K1642</f>
        <v>643.04999999999995</v>
      </c>
      <c r="M1642">
        <v>240</v>
      </c>
      <c r="N1642">
        <f t="shared" ref="N1642:N1646" si="433">L1642-M1642</f>
        <v>403.04999999999995</v>
      </c>
    </row>
    <row r="1643" spans="1:14" x14ac:dyDescent="0.2">
      <c r="A1643" t="s">
        <v>2247</v>
      </c>
      <c r="B1643" s="1" t="s">
        <v>2242</v>
      </c>
      <c r="C1643" t="s">
        <v>14</v>
      </c>
      <c r="D1643" t="s">
        <v>242</v>
      </c>
      <c r="E1643">
        <v>6</v>
      </c>
      <c r="F1643" t="s">
        <v>2198</v>
      </c>
      <c r="G1643">
        <v>2022</v>
      </c>
      <c r="H1643" t="s">
        <v>157</v>
      </c>
      <c r="I1643" t="s">
        <v>97</v>
      </c>
      <c r="J1643">
        <v>854.05</v>
      </c>
      <c r="K1643">
        <v>270</v>
      </c>
      <c r="L1643">
        <f t="shared" si="432"/>
        <v>584.04999999999995</v>
      </c>
      <c r="M1643">
        <v>240</v>
      </c>
      <c r="N1643">
        <f t="shared" si="433"/>
        <v>344.04999999999995</v>
      </c>
    </row>
    <row r="1644" spans="1:14" x14ac:dyDescent="0.2">
      <c r="A1644" t="s">
        <v>2243</v>
      </c>
      <c r="B1644" s="1" t="s">
        <v>2242</v>
      </c>
      <c r="C1644" t="s">
        <v>14</v>
      </c>
      <c r="D1644" t="s">
        <v>893</v>
      </c>
      <c r="E1644">
        <v>6</v>
      </c>
      <c r="F1644" t="s">
        <v>2198</v>
      </c>
      <c r="G1644">
        <v>2022</v>
      </c>
      <c r="H1644" t="s">
        <v>31</v>
      </c>
      <c r="I1644" t="s">
        <v>32</v>
      </c>
      <c r="J1644">
        <v>849</v>
      </c>
      <c r="K1644">
        <v>250</v>
      </c>
      <c r="L1644">
        <f t="shared" si="432"/>
        <v>599</v>
      </c>
      <c r="M1644">
        <v>240</v>
      </c>
      <c r="N1644">
        <f t="shared" si="433"/>
        <v>359</v>
      </c>
    </row>
    <row r="1645" spans="1:14" x14ac:dyDescent="0.2">
      <c r="A1645" t="s">
        <v>2248</v>
      </c>
      <c r="B1645" s="1" t="s">
        <v>2242</v>
      </c>
      <c r="C1645" t="s">
        <v>14</v>
      </c>
      <c r="D1645" t="s">
        <v>81</v>
      </c>
      <c r="E1645">
        <v>6</v>
      </c>
      <c r="F1645" t="s">
        <v>2198</v>
      </c>
      <c r="G1645">
        <v>2022</v>
      </c>
      <c r="H1645" t="s">
        <v>2249</v>
      </c>
      <c r="I1645" t="s">
        <v>85</v>
      </c>
      <c r="J1645">
        <v>849</v>
      </c>
      <c r="K1645">
        <v>250</v>
      </c>
      <c r="L1645">
        <f t="shared" si="432"/>
        <v>599</v>
      </c>
      <c r="M1645">
        <v>240</v>
      </c>
      <c r="N1645">
        <f t="shared" si="433"/>
        <v>359</v>
      </c>
    </row>
    <row r="1646" spans="1:14" x14ac:dyDescent="0.2">
      <c r="A1646" t="s">
        <v>2250</v>
      </c>
      <c r="B1646" s="1" t="s">
        <v>2242</v>
      </c>
      <c r="C1646" t="s">
        <v>14</v>
      </c>
      <c r="D1646" t="s">
        <v>1002</v>
      </c>
      <c r="E1646">
        <v>6</v>
      </c>
      <c r="F1646" t="s">
        <v>2198</v>
      </c>
      <c r="G1646">
        <v>2022</v>
      </c>
      <c r="H1646" t="s">
        <v>18</v>
      </c>
      <c r="I1646" t="s">
        <v>19</v>
      </c>
      <c r="J1646">
        <v>849</v>
      </c>
      <c r="K1646">
        <v>250</v>
      </c>
      <c r="L1646">
        <f t="shared" si="432"/>
        <v>599</v>
      </c>
      <c r="M1646">
        <v>240</v>
      </c>
      <c r="N1646">
        <f t="shared" si="433"/>
        <v>359</v>
      </c>
    </row>
    <row r="1647" spans="1:14" x14ac:dyDescent="0.2">
      <c r="A1647" t="s">
        <v>2252</v>
      </c>
      <c r="B1647" s="1" t="s">
        <v>2251</v>
      </c>
      <c r="C1647" t="s">
        <v>43</v>
      </c>
      <c r="D1647" t="s">
        <v>1012</v>
      </c>
      <c r="E1647">
        <v>8</v>
      </c>
      <c r="F1647" t="s">
        <v>2198</v>
      </c>
      <c r="G1647">
        <v>2022</v>
      </c>
      <c r="H1647" t="s">
        <v>497</v>
      </c>
      <c r="I1647" t="s">
        <v>2020</v>
      </c>
      <c r="J1647">
        <v>0</v>
      </c>
      <c r="K1647">
        <v>0</v>
      </c>
      <c r="L1647">
        <v>0</v>
      </c>
      <c r="M1647">
        <v>0</v>
      </c>
      <c r="N1647">
        <v>0</v>
      </c>
    </row>
    <row r="1648" spans="1:14" x14ac:dyDescent="0.2">
      <c r="A1648" t="s">
        <v>2223</v>
      </c>
      <c r="B1648" s="1" t="s">
        <v>2220</v>
      </c>
      <c r="C1648" t="s">
        <v>106</v>
      </c>
      <c r="D1648" t="s">
        <v>940</v>
      </c>
      <c r="E1648">
        <v>5</v>
      </c>
      <c r="F1648" t="s">
        <v>2198</v>
      </c>
      <c r="G1648">
        <v>2022</v>
      </c>
      <c r="H1648" t="s">
        <v>246</v>
      </c>
      <c r="I1648" t="s">
        <v>58</v>
      </c>
      <c r="J1648">
        <v>-799</v>
      </c>
      <c r="K1648">
        <v>320</v>
      </c>
      <c r="L1648">
        <f>J1648+K1648</f>
        <v>-479</v>
      </c>
      <c r="M1648">
        <v>240</v>
      </c>
      <c r="N1648">
        <f>L1648+M1648</f>
        <v>-239</v>
      </c>
    </row>
    <row r="1649" spans="1:14" x14ac:dyDescent="0.2">
      <c r="A1649" t="s">
        <v>2254</v>
      </c>
      <c r="B1649" s="1" t="s">
        <v>2253</v>
      </c>
      <c r="C1649" t="s">
        <v>14</v>
      </c>
      <c r="D1649" t="s">
        <v>81</v>
      </c>
      <c r="E1649">
        <v>7</v>
      </c>
      <c r="F1649" t="s">
        <v>2198</v>
      </c>
      <c r="G1649">
        <v>2022</v>
      </c>
      <c r="H1649" t="s">
        <v>2255</v>
      </c>
      <c r="I1649" t="s">
        <v>160</v>
      </c>
      <c r="J1649">
        <v>849</v>
      </c>
      <c r="K1649">
        <v>250</v>
      </c>
      <c r="L1649">
        <f t="shared" ref="L1649:L1655" si="434">J1649-K1649</f>
        <v>599</v>
      </c>
      <c r="M1649">
        <v>240</v>
      </c>
      <c r="N1649">
        <f t="shared" ref="N1649:N1655" si="435">L1649-M1649</f>
        <v>359</v>
      </c>
    </row>
    <row r="1650" spans="1:14" x14ac:dyDescent="0.2">
      <c r="A1650" t="s">
        <v>2256</v>
      </c>
      <c r="B1650" s="1" t="s">
        <v>2251</v>
      </c>
      <c r="C1650" t="s">
        <v>14</v>
      </c>
      <c r="D1650" t="s">
        <v>548</v>
      </c>
      <c r="E1650">
        <v>8</v>
      </c>
      <c r="F1650" t="s">
        <v>2198</v>
      </c>
      <c r="G1650">
        <v>2022</v>
      </c>
      <c r="H1650" t="s">
        <v>246</v>
      </c>
      <c r="I1650" t="s">
        <v>58</v>
      </c>
      <c r="J1650">
        <v>854.05</v>
      </c>
      <c r="K1650">
        <v>270</v>
      </c>
      <c r="L1650">
        <f t="shared" si="434"/>
        <v>584.04999999999995</v>
      </c>
      <c r="M1650">
        <v>240</v>
      </c>
      <c r="N1650">
        <f t="shared" si="435"/>
        <v>344.04999999999995</v>
      </c>
    </row>
    <row r="1651" spans="1:14" x14ac:dyDescent="0.2">
      <c r="A1651" t="s">
        <v>2257</v>
      </c>
      <c r="B1651" s="1" t="s">
        <v>2253</v>
      </c>
      <c r="C1651" t="s">
        <v>14</v>
      </c>
      <c r="D1651" t="s">
        <v>881</v>
      </c>
      <c r="E1651">
        <v>7</v>
      </c>
      <c r="F1651" t="s">
        <v>2198</v>
      </c>
      <c r="G1651">
        <v>2022</v>
      </c>
      <c r="H1651" t="s">
        <v>170</v>
      </c>
      <c r="I1651" t="s">
        <v>171</v>
      </c>
      <c r="J1651">
        <v>799</v>
      </c>
      <c r="K1651">
        <v>205</v>
      </c>
      <c r="L1651">
        <f t="shared" si="434"/>
        <v>594</v>
      </c>
      <c r="M1651">
        <v>240</v>
      </c>
      <c r="N1651">
        <f t="shared" si="435"/>
        <v>354</v>
      </c>
    </row>
    <row r="1652" spans="1:14" x14ac:dyDescent="0.2">
      <c r="A1652" t="s">
        <v>2258</v>
      </c>
      <c r="B1652" s="1" t="s">
        <v>2253</v>
      </c>
      <c r="C1652" t="s">
        <v>14</v>
      </c>
      <c r="D1652" t="s">
        <v>1508</v>
      </c>
      <c r="E1652">
        <v>7</v>
      </c>
      <c r="F1652" t="s">
        <v>2198</v>
      </c>
      <c r="G1652">
        <v>2022</v>
      </c>
      <c r="H1652" t="s">
        <v>246</v>
      </c>
      <c r="I1652" t="s">
        <v>58</v>
      </c>
      <c r="J1652">
        <v>999</v>
      </c>
      <c r="K1652">
        <v>325</v>
      </c>
      <c r="L1652">
        <f t="shared" si="434"/>
        <v>674</v>
      </c>
      <c r="M1652">
        <v>240</v>
      </c>
      <c r="N1652">
        <f t="shared" si="435"/>
        <v>434</v>
      </c>
    </row>
    <row r="1653" spans="1:14" x14ac:dyDescent="0.2">
      <c r="A1653" t="s">
        <v>2259</v>
      </c>
      <c r="B1653" s="1" t="s">
        <v>2253</v>
      </c>
      <c r="C1653" t="s">
        <v>14</v>
      </c>
      <c r="D1653" t="s">
        <v>993</v>
      </c>
      <c r="E1653">
        <v>7</v>
      </c>
      <c r="F1653" t="s">
        <v>2198</v>
      </c>
      <c r="G1653">
        <v>2022</v>
      </c>
      <c r="H1653" t="s">
        <v>49</v>
      </c>
      <c r="I1653" t="s">
        <v>32</v>
      </c>
      <c r="J1653">
        <v>799</v>
      </c>
      <c r="K1653">
        <v>205</v>
      </c>
      <c r="L1653">
        <f t="shared" si="434"/>
        <v>594</v>
      </c>
      <c r="M1653">
        <v>240</v>
      </c>
      <c r="N1653">
        <f t="shared" si="435"/>
        <v>354</v>
      </c>
    </row>
    <row r="1654" spans="1:14" x14ac:dyDescent="0.2">
      <c r="A1654" t="s">
        <v>2260</v>
      </c>
      <c r="B1654" s="1" t="s">
        <v>2253</v>
      </c>
      <c r="C1654" t="s">
        <v>14</v>
      </c>
      <c r="D1654" t="s">
        <v>840</v>
      </c>
      <c r="E1654">
        <v>7</v>
      </c>
      <c r="F1654" t="s">
        <v>2198</v>
      </c>
      <c r="G1654">
        <v>2022</v>
      </c>
      <c r="H1654" t="s">
        <v>157</v>
      </c>
      <c r="I1654" t="s">
        <v>97</v>
      </c>
      <c r="J1654">
        <v>949.05</v>
      </c>
      <c r="K1654">
        <v>306</v>
      </c>
      <c r="L1654">
        <f t="shared" si="434"/>
        <v>643.04999999999995</v>
      </c>
      <c r="M1654">
        <v>240</v>
      </c>
      <c r="N1654">
        <f t="shared" si="435"/>
        <v>403.04999999999995</v>
      </c>
    </row>
    <row r="1655" spans="1:14" x14ac:dyDescent="0.2">
      <c r="A1655" t="s">
        <v>2261</v>
      </c>
      <c r="B1655" s="1" t="s">
        <v>2253</v>
      </c>
      <c r="C1655" t="s">
        <v>14</v>
      </c>
      <c r="D1655" t="s">
        <v>665</v>
      </c>
      <c r="E1655">
        <v>7</v>
      </c>
      <c r="F1655" t="s">
        <v>2198</v>
      </c>
      <c r="G1655">
        <v>2022</v>
      </c>
      <c r="H1655" t="s">
        <v>157</v>
      </c>
      <c r="I1655" t="s">
        <v>97</v>
      </c>
      <c r="J1655">
        <v>799</v>
      </c>
      <c r="K1655">
        <v>205</v>
      </c>
      <c r="L1655">
        <f t="shared" si="434"/>
        <v>594</v>
      </c>
      <c r="M1655">
        <v>240</v>
      </c>
      <c r="N1655">
        <f t="shared" si="435"/>
        <v>354</v>
      </c>
    </row>
    <row r="1656" spans="1:14" x14ac:dyDescent="0.2">
      <c r="A1656" t="s">
        <v>2206</v>
      </c>
      <c r="B1656" s="1" t="s">
        <v>2196</v>
      </c>
      <c r="C1656" t="s">
        <v>106</v>
      </c>
      <c r="D1656" t="s">
        <v>977</v>
      </c>
      <c r="E1656">
        <v>1</v>
      </c>
      <c r="F1656" t="s">
        <v>2198</v>
      </c>
      <c r="G1656">
        <v>2022</v>
      </c>
      <c r="H1656" t="s">
        <v>2207</v>
      </c>
      <c r="I1656" t="s">
        <v>135</v>
      </c>
      <c r="J1656">
        <v>-799</v>
      </c>
      <c r="K1656">
        <v>320</v>
      </c>
      <c r="L1656">
        <f t="shared" ref="L1656:L1657" si="436">J1656+K1656</f>
        <v>-479</v>
      </c>
      <c r="M1656">
        <v>240</v>
      </c>
      <c r="N1656">
        <f t="shared" ref="N1656:N1657" si="437">L1656+M1656</f>
        <v>-239</v>
      </c>
    </row>
    <row r="1657" spans="1:14" x14ac:dyDescent="0.2">
      <c r="A1657" t="s">
        <v>2197</v>
      </c>
      <c r="B1657" s="1" t="s">
        <v>2196</v>
      </c>
      <c r="C1657" t="s">
        <v>106</v>
      </c>
      <c r="D1657" t="s">
        <v>895</v>
      </c>
      <c r="E1657">
        <v>1</v>
      </c>
      <c r="F1657" t="s">
        <v>2198</v>
      </c>
      <c r="G1657">
        <v>2022</v>
      </c>
      <c r="H1657" t="s">
        <v>170</v>
      </c>
      <c r="I1657" t="s">
        <v>171</v>
      </c>
      <c r="J1657">
        <v>-849</v>
      </c>
      <c r="K1657">
        <v>345</v>
      </c>
      <c r="L1657">
        <f t="shared" si="436"/>
        <v>-504</v>
      </c>
      <c r="M1657">
        <v>240</v>
      </c>
      <c r="N1657">
        <f t="shared" si="437"/>
        <v>-264</v>
      </c>
    </row>
    <row r="1658" spans="1:14" x14ac:dyDescent="0.2">
      <c r="A1658" t="s">
        <v>2263</v>
      </c>
      <c r="B1658" s="1" t="s">
        <v>2262</v>
      </c>
      <c r="C1658" t="s">
        <v>43</v>
      </c>
      <c r="D1658" t="s">
        <v>1089</v>
      </c>
      <c r="E1658">
        <v>9</v>
      </c>
      <c r="F1658" t="s">
        <v>2198</v>
      </c>
      <c r="G1658">
        <v>2022</v>
      </c>
      <c r="H1658" t="s">
        <v>359</v>
      </c>
      <c r="I1658" t="s">
        <v>85</v>
      </c>
      <c r="J1658">
        <v>0</v>
      </c>
      <c r="K1658">
        <v>0</v>
      </c>
      <c r="L1658">
        <v>0</v>
      </c>
      <c r="M1658">
        <v>0</v>
      </c>
      <c r="N1658">
        <v>0</v>
      </c>
    </row>
    <row r="1659" spans="1:14" x14ac:dyDescent="0.2">
      <c r="A1659" t="s">
        <v>2264</v>
      </c>
      <c r="B1659" s="1" t="s">
        <v>2251</v>
      </c>
      <c r="C1659" t="s">
        <v>14</v>
      </c>
      <c r="D1659" t="s">
        <v>477</v>
      </c>
      <c r="E1659">
        <v>8</v>
      </c>
      <c r="F1659" t="s">
        <v>2198</v>
      </c>
      <c r="G1659">
        <v>2022</v>
      </c>
      <c r="H1659" t="s">
        <v>68</v>
      </c>
      <c r="I1659" t="s">
        <v>62</v>
      </c>
      <c r="J1659">
        <v>899</v>
      </c>
      <c r="K1659">
        <v>295</v>
      </c>
      <c r="L1659">
        <f t="shared" ref="L1659:L1686" si="438">J1659-K1659</f>
        <v>604</v>
      </c>
      <c r="M1659">
        <v>240</v>
      </c>
      <c r="N1659">
        <f t="shared" ref="N1659:N1686" si="439">L1659-M1659</f>
        <v>364</v>
      </c>
    </row>
    <row r="1660" spans="1:14" x14ac:dyDescent="0.2">
      <c r="A1660" t="s">
        <v>2265</v>
      </c>
      <c r="B1660" s="1" t="s">
        <v>2251</v>
      </c>
      <c r="C1660" t="s">
        <v>14</v>
      </c>
      <c r="D1660" t="s">
        <v>2266</v>
      </c>
      <c r="E1660">
        <v>8</v>
      </c>
      <c r="F1660" t="s">
        <v>2198</v>
      </c>
      <c r="G1660">
        <v>2022</v>
      </c>
      <c r="H1660" t="s">
        <v>18</v>
      </c>
      <c r="I1660" t="s">
        <v>19</v>
      </c>
      <c r="J1660">
        <v>799</v>
      </c>
      <c r="K1660">
        <v>205</v>
      </c>
      <c r="L1660">
        <f t="shared" si="438"/>
        <v>594</v>
      </c>
      <c r="M1660">
        <v>240</v>
      </c>
      <c r="N1660">
        <f t="shared" si="439"/>
        <v>354</v>
      </c>
    </row>
    <row r="1661" spans="1:14" x14ac:dyDescent="0.2">
      <c r="A1661" t="s">
        <v>2267</v>
      </c>
      <c r="B1661" s="1" t="s">
        <v>2262</v>
      </c>
      <c r="C1661" t="s">
        <v>14</v>
      </c>
      <c r="D1661" t="s">
        <v>573</v>
      </c>
      <c r="E1661">
        <v>9</v>
      </c>
      <c r="F1661" t="s">
        <v>2198</v>
      </c>
      <c r="G1661">
        <v>2022</v>
      </c>
      <c r="H1661" t="s">
        <v>2268</v>
      </c>
      <c r="I1661" t="s">
        <v>160</v>
      </c>
      <c r="J1661">
        <v>854.05</v>
      </c>
      <c r="K1661">
        <v>270</v>
      </c>
      <c r="L1661">
        <f t="shared" si="438"/>
        <v>584.04999999999995</v>
      </c>
      <c r="M1661">
        <v>240</v>
      </c>
      <c r="N1661">
        <f t="shared" si="439"/>
        <v>344.04999999999995</v>
      </c>
    </row>
    <row r="1662" spans="1:14" x14ac:dyDescent="0.2">
      <c r="A1662" t="s">
        <v>2269</v>
      </c>
      <c r="B1662" s="1" t="s">
        <v>2262</v>
      </c>
      <c r="C1662" t="s">
        <v>14</v>
      </c>
      <c r="D1662" t="s">
        <v>1386</v>
      </c>
      <c r="E1662">
        <v>9</v>
      </c>
      <c r="F1662" t="s">
        <v>2198</v>
      </c>
      <c r="G1662">
        <v>2022</v>
      </c>
      <c r="H1662" t="s">
        <v>1983</v>
      </c>
      <c r="I1662" t="s">
        <v>122</v>
      </c>
      <c r="J1662">
        <v>799</v>
      </c>
      <c r="K1662">
        <v>205</v>
      </c>
      <c r="L1662">
        <f t="shared" si="438"/>
        <v>594</v>
      </c>
      <c r="M1662">
        <v>240</v>
      </c>
      <c r="N1662">
        <f t="shared" si="439"/>
        <v>354</v>
      </c>
    </row>
    <row r="1663" spans="1:14" x14ac:dyDescent="0.2">
      <c r="A1663" t="s">
        <v>2270</v>
      </c>
      <c r="B1663" s="1" t="s">
        <v>2262</v>
      </c>
      <c r="C1663" t="s">
        <v>14</v>
      </c>
      <c r="D1663" t="s">
        <v>452</v>
      </c>
      <c r="E1663">
        <v>9</v>
      </c>
      <c r="F1663" t="s">
        <v>2198</v>
      </c>
      <c r="G1663">
        <v>2022</v>
      </c>
      <c r="H1663" t="s">
        <v>246</v>
      </c>
      <c r="I1663" t="s">
        <v>58</v>
      </c>
      <c r="J1663">
        <v>759.05</v>
      </c>
      <c r="K1663">
        <v>202</v>
      </c>
      <c r="L1663">
        <f t="shared" si="438"/>
        <v>557.04999999999995</v>
      </c>
      <c r="M1663">
        <v>240</v>
      </c>
      <c r="N1663">
        <f t="shared" si="439"/>
        <v>317.04999999999995</v>
      </c>
    </row>
    <row r="1664" spans="1:14" x14ac:dyDescent="0.2">
      <c r="A1664" t="s">
        <v>2271</v>
      </c>
      <c r="B1664" s="1" t="s">
        <v>2262</v>
      </c>
      <c r="C1664" t="s">
        <v>14</v>
      </c>
      <c r="D1664" t="s">
        <v>840</v>
      </c>
      <c r="E1664">
        <v>9</v>
      </c>
      <c r="F1664" t="s">
        <v>2198</v>
      </c>
      <c r="G1664">
        <v>2022</v>
      </c>
      <c r="H1664" t="s">
        <v>2272</v>
      </c>
      <c r="I1664" t="s">
        <v>32</v>
      </c>
      <c r="J1664">
        <v>999</v>
      </c>
      <c r="K1664">
        <v>325</v>
      </c>
      <c r="L1664">
        <f t="shared" si="438"/>
        <v>674</v>
      </c>
      <c r="M1664">
        <v>240</v>
      </c>
      <c r="N1664">
        <f t="shared" si="439"/>
        <v>434</v>
      </c>
    </row>
    <row r="1665" spans="1:14" x14ac:dyDescent="0.2">
      <c r="A1665" t="s">
        <v>2273</v>
      </c>
      <c r="B1665" s="1" t="s">
        <v>2262</v>
      </c>
      <c r="C1665" t="s">
        <v>14</v>
      </c>
      <c r="D1665" t="s">
        <v>81</v>
      </c>
      <c r="E1665">
        <v>9</v>
      </c>
      <c r="F1665" t="s">
        <v>2198</v>
      </c>
      <c r="G1665">
        <v>2022</v>
      </c>
      <c r="H1665" t="s">
        <v>150</v>
      </c>
      <c r="I1665" t="s">
        <v>62</v>
      </c>
      <c r="J1665">
        <v>806.55</v>
      </c>
      <c r="K1665">
        <v>227</v>
      </c>
      <c r="L1665">
        <f t="shared" si="438"/>
        <v>579.54999999999995</v>
      </c>
      <c r="M1665">
        <v>240</v>
      </c>
      <c r="N1665">
        <f t="shared" si="439"/>
        <v>339.54999999999995</v>
      </c>
    </row>
    <row r="1666" spans="1:14" x14ac:dyDescent="0.2">
      <c r="A1666" t="s">
        <v>2274</v>
      </c>
      <c r="B1666" s="1" t="s">
        <v>2262</v>
      </c>
      <c r="C1666" t="s">
        <v>14</v>
      </c>
      <c r="D1666" t="s">
        <v>380</v>
      </c>
      <c r="E1666">
        <v>9</v>
      </c>
      <c r="F1666" t="s">
        <v>2198</v>
      </c>
      <c r="G1666">
        <v>2022</v>
      </c>
      <c r="H1666" t="s">
        <v>2275</v>
      </c>
      <c r="I1666" t="s">
        <v>85</v>
      </c>
      <c r="J1666">
        <v>849</v>
      </c>
      <c r="K1666">
        <v>250</v>
      </c>
      <c r="L1666">
        <f t="shared" si="438"/>
        <v>599</v>
      </c>
      <c r="M1666">
        <v>240</v>
      </c>
      <c r="N1666">
        <f t="shared" si="439"/>
        <v>359</v>
      </c>
    </row>
    <row r="1667" spans="1:14" x14ac:dyDescent="0.2">
      <c r="A1667" t="s">
        <v>2276</v>
      </c>
      <c r="B1667" s="1" t="s">
        <v>2262</v>
      </c>
      <c r="C1667" t="s">
        <v>14</v>
      </c>
      <c r="D1667" t="s">
        <v>1714</v>
      </c>
      <c r="E1667">
        <v>9</v>
      </c>
      <c r="F1667" t="s">
        <v>2198</v>
      </c>
      <c r="G1667">
        <v>2022</v>
      </c>
      <c r="H1667" t="s">
        <v>173</v>
      </c>
      <c r="I1667" t="s">
        <v>62</v>
      </c>
      <c r="J1667">
        <v>799</v>
      </c>
      <c r="K1667">
        <v>205</v>
      </c>
      <c r="L1667">
        <f t="shared" si="438"/>
        <v>594</v>
      </c>
      <c r="M1667">
        <v>240</v>
      </c>
      <c r="N1667">
        <f t="shared" si="439"/>
        <v>354</v>
      </c>
    </row>
    <row r="1668" spans="1:14" x14ac:dyDescent="0.2">
      <c r="A1668" t="s">
        <v>2277</v>
      </c>
      <c r="B1668" s="1" t="s">
        <v>2251</v>
      </c>
      <c r="C1668" t="s">
        <v>14</v>
      </c>
      <c r="D1668" t="s">
        <v>1386</v>
      </c>
      <c r="E1668">
        <v>8</v>
      </c>
      <c r="F1668" t="s">
        <v>2198</v>
      </c>
      <c r="G1668">
        <v>2022</v>
      </c>
      <c r="H1668" t="s">
        <v>497</v>
      </c>
      <c r="I1668" t="s">
        <v>2020</v>
      </c>
      <c r="J1668">
        <v>799</v>
      </c>
      <c r="K1668">
        <v>205</v>
      </c>
      <c r="L1668">
        <f t="shared" si="438"/>
        <v>594</v>
      </c>
      <c r="M1668">
        <v>240</v>
      </c>
      <c r="N1668">
        <f t="shared" si="439"/>
        <v>354</v>
      </c>
    </row>
    <row r="1669" spans="1:14" x14ac:dyDescent="0.2">
      <c r="A1669" t="s">
        <v>2278</v>
      </c>
      <c r="B1669" s="1" t="s">
        <v>2262</v>
      </c>
      <c r="C1669" t="s">
        <v>14</v>
      </c>
      <c r="D1669" t="s">
        <v>1002</v>
      </c>
      <c r="E1669">
        <v>9</v>
      </c>
      <c r="F1669" t="s">
        <v>2198</v>
      </c>
      <c r="G1669">
        <v>2022</v>
      </c>
      <c r="H1669" t="s">
        <v>84</v>
      </c>
      <c r="I1669" t="s">
        <v>85</v>
      </c>
      <c r="J1669">
        <v>849</v>
      </c>
      <c r="K1669">
        <v>250</v>
      </c>
      <c r="L1669">
        <f t="shared" si="438"/>
        <v>599</v>
      </c>
      <c r="M1669">
        <v>240</v>
      </c>
      <c r="N1669">
        <f t="shared" si="439"/>
        <v>359</v>
      </c>
    </row>
    <row r="1670" spans="1:14" x14ac:dyDescent="0.2">
      <c r="A1670" t="s">
        <v>2279</v>
      </c>
      <c r="B1670" s="1" t="s">
        <v>2262</v>
      </c>
      <c r="C1670" t="s">
        <v>14</v>
      </c>
      <c r="D1670" t="s">
        <v>2280</v>
      </c>
      <c r="E1670">
        <v>9</v>
      </c>
      <c r="F1670" t="s">
        <v>2198</v>
      </c>
      <c r="G1670">
        <v>2022</v>
      </c>
      <c r="H1670" t="s">
        <v>2281</v>
      </c>
      <c r="I1670" t="s">
        <v>85</v>
      </c>
      <c r="J1670">
        <v>799</v>
      </c>
      <c r="K1670">
        <v>205</v>
      </c>
      <c r="L1670">
        <f t="shared" si="438"/>
        <v>594</v>
      </c>
      <c r="M1670">
        <v>240</v>
      </c>
      <c r="N1670">
        <f t="shared" si="439"/>
        <v>354</v>
      </c>
    </row>
    <row r="1671" spans="1:14" x14ac:dyDescent="0.2">
      <c r="A1671" t="s">
        <v>2283</v>
      </c>
      <c r="B1671" s="1" t="s">
        <v>2282</v>
      </c>
      <c r="C1671" t="s">
        <v>14</v>
      </c>
      <c r="D1671" t="s">
        <v>133</v>
      </c>
      <c r="E1671">
        <v>10</v>
      </c>
      <c r="F1671" t="s">
        <v>2198</v>
      </c>
      <c r="G1671">
        <v>2022</v>
      </c>
      <c r="H1671" t="s">
        <v>2284</v>
      </c>
      <c r="I1671" t="s">
        <v>85</v>
      </c>
      <c r="J1671">
        <v>759.05</v>
      </c>
      <c r="K1671">
        <v>202</v>
      </c>
      <c r="L1671">
        <f t="shared" si="438"/>
        <v>557.04999999999995</v>
      </c>
      <c r="M1671">
        <v>240</v>
      </c>
      <c r="N1671">
        <f t="shared" si="439"/>
        <v>317.04999999999995</v>
      </c>
    </row>
    <row r="1672" spans="1:14" x14ac:dyDescent="0.2">
      <c r="A1672" t="s">
        <v>2285</v>
      </c>
      <c r="B1672" s="1" t="s">
        <v>2282</v>
      </c>
      <c r="C1672" t="s">
        <v>14</v>
      </c>
      <c r="D1672" t="s">
        <v>420</v>
      </c>
      <c r="E1672">
        <v>10</v>
      </c>
      <c r="F1672" t="s">
        <v>2198</v>
      </c>
      <c r="G1672">
        <v>2022</v>
      </c>
      <c r="H1672" t="s">
        <v>2218</v>
      </c>
      <c r="I1672" t="s">
        <v>62</v>
      </c>
      <c r="J1672">
        <v>854.05</v>
      </c>
      <c r="K1672">
        <v>270</v>
      </c>
      <c r="L1672">
        <f t="shared" si="438"/>
        <v>584.04999999999995</v>
      </c>
      <c r="M1672">
        <v>240</v>
      </c>
      <c r="N1672">
        <f t="shared" si="439"/>
        <v>344.04999999999995</v>
      </c>
    </row>
    <row r="1673" spans="1:14" x14ac:dyDescent="0.2">
      <c r="A1673" t="s">
        <v>2286</v>
      </c>
      <c r="B1673" s="1" t="s">
        <v>2262</v>
      </c>
      <c r="C1673" t="s">
        <v>14</v>
      </c>
      <c r="D1673" t="s">
        <v>1508</v>
      </c>
      <c r="E1673">
        <v>9</v>
      </c>
      <c r="F1673" t="s">
        <v>2198</v>
      </c>
      <c r="G1673">
        <v>2022</v>
      </c>
      <c r="H1673" t="s">
        <v>2287</v>
      </c>
      <c r="I1673" t="s">
        <v>163</v>
      </c>
      <c r="J1673">
        <v>999</v>
      </c>
      <c r="K1673">
        <v>325</v>
      </c>
      <c r="L1673">
        <f t="shared" si="438"/>
        <v>674</v>
      </c>
      <c r="M1673">
        <v>240</v>
      </c>
      <c r="N1673">
        <f t="shared" si="439"/>
        <v>434</v>
      </c>
    </row>
    <row r="1674" spans="1:14" x14ac:dyDescent="0.2">
      <c r="A1674" t="s">
        <v>2288</v>
      </c>
      <c r="B1674" s="1" t="s">
        <v>2262</v>
      </c>
      <c r="C1674" t="s">
        <v>14</v>
      </c>
      <c r="D1674" t="s">
        <v>863</v>
      </c>
      <c r="E1674">
        <v>9</v>
      </c>
      <c r="F1674" t="s">
        <v>2198</v>
      </c>
      <c r="G1674">
        <v>2022</v>
      </c>
      <c r="H1674" t="s">
        <v>2289</v>
      </c>
      <c r="I1674" t="s">
        <v>32</v>
      </c>
      <c r="J1674">
        <v>799</v>
      </c>
      <c r="K1674">
        <v>205</v>
      </c>
      <c r="L1674">
        <f t="shared" si="438"/>
        <v>594</v>
      </c>
      <c r="M1674">
        <v>240</v>
      </c>
      <c r="N1674">
        <f t="shared" si="439"/>
        <v>354</v>
      </c>
    </row>
    <row r="1675" spans="1:14" x14ac:dyDescent="0.2">
      <c r="A1675" t="s">
        <v>2290</v>
      </c>
      <c r="B1675" s="1" t="s">
        <v>2262</v>
      </c>
      <c r="C1675" t="s">
        <v>14</v>
      </c>
      <c r="D1675" t="s">
        <v>1002</v>
      </c>
      <c r="E1675">
        <v>9</v>
      </c>
      <c r="F1675" t="s">
        <v>2198</v>
      </c>
      <c r="G1675">
        <v>2022</v>
      </c>
      <c r="H1675" t="s">
        <v>2291</v>
      </c>
      <c r="I1675" t="s">
        <v>58</v>
      </c>
      <c r="J1675">
        <v>849</v>
      </c>
      <c r="K1675">
        <v>250</v>
      </c>
      <c r="L1675">
        <f t="shared" si="438"/>
        <v>599</v>
      </c>
      <c r="M1675">
        <v>240</v>
      </c>
      <c r="N1675">
        <f t="shared" si="439"/>
        <v>359</v>
      </c>
    </row>
    <row r="1676" spans="1:14" x14ac:dyDescent="0.2">
      <c r="A1676" t="s">
        <v>2292</v>
      </c>
      <c r="B1676" s="1" t="s">
        <v>2282</v>
      </c>
      <c r="C1676" t="s">
        <v>14</v>
      </c>
      <c r="D1676" t="s">
        <v>1377</v>
      </c>
      <c r="E1676">
        <v>10</v>
      </c>
      <c r="F1676" t="s">
        <v>2198</v>
      </c>
      <c r="G1676">
        <v>2022</v>
      </c>
      <c r="H1676" t="s">
        <v>309</v>
      </c>
      <c r="I1676" t="s">
        <v>212</v>
      </c>
      <c r="J1676">
        <v>799</v>
      </c>
      <c r="K1676">
        <v>205</v>
      </c>
      <c r="L1676">
        <f t="shared" si="438"/>
        <v>594</v>
      </c>
      <c r="M1676">
        <v>240</v>
      </c>
      <c r="N1676">
        <f t="shared" si="439"/>
        <v>354</v>
      </c>
    </row>
    <row r="1677" spans="1:14" x14ac:dyDescent="0.2">
      <c r="A1677" t="s">
        <v>2293</v>
      </c>
      <c r="B1677" s="1" t="s">
        <v>2262</v>
      </c>
      <c r="C1677" t="s">
        <v>14</v>
      </c>
      <c r="D1677" t="s">
        <v>379</v>
      </c>
      <c r="E1677">
        <v>9</v>
      </c>
      <c r="F1677" t="s">
        <v>2198</v>
      </c>
      <c r="G1677">
        <v>2022</v>
      </c>
      <c r="H1677" t="s">
        <v>2294</v>
      </c>
      <c r="I1677" t="s">
        <v>62</v>
      </c>
      <c r="J1677">
        <v>799</v>
      </c>
      <c r="K1677">
        <v>205</v>
      </c>
      <c r="L1677">
        <f t="shared" si="438"/>
        <v>594</v>
      </c>
      <c r="M1677">
        <v>240</v>
      </c>
      <c r="N1677">
        <f t="shared" si="439"/>
        <v>354</v>
      </c>
    </row>
    <row r="1678" spans="1:14" x14ac:dyDescent="0.2">
      <c r="A1678" t="s">
        <v>2263</v>
      </c>
      <c r="B1678" s="1" t="s">
        <v>2262</v>
      </c>
      <c r="C1678" t="s">
        <v>14</v>
      </c>
      <c r="D1678" t="s">
        <v>1089</v>
      </c>
      <c r="E1678">
        <v>9</v>
      </c>
      <c r="F1678" t="s">
        <v>2198</v>
      </c>
      <c r="G1678">
        <v>2022</v>
      </c>
      <c r="H1678" t="s">
        <v>359</v>
      </c>
      <c r="I1678" t="s">
        <v>85</v>
      </c>
      <c r="J1678">
        <v>799</v>
      </c>
      <c r="K1678">
        <v>205</v>
      </c>
      <c r="L1678">
        <f t="shared" si="438"/>
        <v>594</v>
      </c>
      <c r="M1678">
        <v>240</v>
      </c>
      <c r="N1678">
        <f t="shared" si="439"/>
        <v>354</v>
      </c>
    </row>
    <row r="1679" spans="1:14" x14ac:dyDescent="0.2">
      <c r="A1679" t="s">
        <v>2295</v>
      </c>
      <c r="B1679" s="1" t="s">
        <v>2282</v>
      </c>
      <c r="C1679" t="s">
        <v>14</v>
      </c>
      <c r="D1679" t="s">
        <v>1012</v>
      </c>
      <c r="E1679">
        <v>10</v>
      </c>
      <c r="F1679" t="s">
        <v>2198</v>
      </c>
      <c r="G1679">
        <v>2022</v>
      </c>
      <c r="H1679" t="s">
        <v>2296</v>
      </c>
      <c r="I1679" t="s">
        <v>23</v>
      </c>
      <c r="J1679">
        <v>799</v>
      </c>
      <c r="K1679">
        <v>205</v>
      </c>
      <c r="L1679">
        <f t="shared" si="438"/>
        <v>594</v>
      </c>
      <c r="M1679">
        <v>240</v>
      </c>
      <c r="N1679">
        <f t="shared" si="439"/>
        <v>354</v>
      </c>
    </row>
    <row r="1680" spans="1:14" x14ac:dyDescent="0.2">
      <c r="A1680" t="s">
        <v>2298</v>
      </c>
      <c r="B1680" s="1" t="s">
        <v>2297</v>
      </c>
      <c r="C1680" t="s">
        <v>14</v>
      </c>
      <c r="D1680" t="s">
        <v>993</v>
      </c>
      <c r="E1680">
        <v>11</v>
      </c>
      <c r="F1680" t="s">
        <v>2198</v>
      </c>
      <c r="G1680">
        <v>2022</v>
      </c>
      <c r="H1680" t="s">
        <v>170</v>
      </c>
      <c r="I1680" t="s">
        <v>171</v>
      </c>
      <c r="J1680">
        <v>799</v>
      </c>
      <c r="K1680">
        <v>205</v>
      </c>
      <c r="L1680">
        <f t="shared" si="438"/>
        <v>594</v>
      </c>
      <c r="M1680">
        <v>240</v>
      </c>
      <c r="N1680">
        <f t="shared" si="439"/>
        <v>354</v>
      </c>
    </row>
    <row r="1681" spans="1:14" x14ac:dyDescent="0.2">
      <c r="A1681" t="s">
        <v>2299</v>
      </c>
      <c r="B1681" s="1" t="s">
        <v>2297</v>
      </c>
      <c r="C1681" t="s">
        <v>14</v>
      </c>
      <c r="D1681" t="s">
        <v>1193</v>
      </c>
      <c r="E1681">
        <v>11</v>
      </c>
      <c r="F1681" t="s">
        <v>2198</v>
      </c>
      <c r="G1681">
        <v>2022</v>
      </c>
      <c r="H1681" t="s">
        <v>104</v>
      </c>
      <c r="I1681" t="s">
        <v>62</v>
      </c>
      <c r="J1681">
        <v>899</v>
      </c>
      <c r="K1681">
        <v>295</v>
      </c>
      <c r="L1681">
        <f t="shared" si="438"/>
        <v>604</v>
      </c>
      <c r="M1681">
        <v>240</v>
      </c>
      <c r="N1681">
        <f t="shared" si="439"/>
        <v>364</v>
      </c>
    </row>
    <row r="1682" spans="1:14" x14ac:dyDescent="0.2">
      <c r="A1682" t="s">
        <v>2300</v>
      </c>
      <c r="B1682" s="1" t="s">
        <v>2297</v>
      </c>
      <c r="C1682" t="s">
        <v>14</v>
      </c>
      <c r="D1682" t="s">
        <v>448</v>
      </c>
      <c r="E1682">
        <v>11</v>
      </c>
      <c r="F1682" t="s">
        <v>2198</v>
      </c>
      <c r="G1682">
        <v>2022</v>
      </c>
      <c r="H1682" t="s">
        <v>567</v>
      </c>
      <c r="I1682" t="s">
        <v>23</v>
      </c>
      <c r="J1682">
        <v>854.05</v>
      </c>
      <c r="K1682">
        <v>270</v>
      </c>
      <c r="L1682">
        <f t="shared" si="438"/>
        <v>584.04999999999995</v>
      </c>
      <c r="M1682">
        <v>240</v>
      </c>
      <c r="N1682">
        <f t="shared" si="439"/>
        <v>344.04999999999995</v>
      </c>
    </row>
    <row r="1683" spans="1:14" x14ac:dyDescent="0.2">
      <c r="A1683" t="s">
        <v>2301</v>
      </c>
      <c r="B1683" s="1" t="s">
        <v>2297</v>
      </c>
      <c r="C1683" t="s">
        <v>14</v>
      </c>
      <c r="D1683" t="s">
        <v>504</v>
      </c>
      <c r="E1683">
        <v>11</v>
      </c>
      <c r="F1683" t="s">
        <v>2198</v>
      </c>
      <c r="G1683">
        <v>2022</v>
      </c>
      <c r="H1683" t="s">
        <v>1417</v>
      </c>
      <c r="I1683" t="s">
        <v>37</v>
      </c>
      <c r="J1683">
        <v>899</v>
      </c>
      <c r="K1683">
        <v>295</v>
      </c>
      <c r="L1683">
        <f t="shared" si="438"/>
        <v>604</v>
      </c>
      <c r="M1683">
        <v>240</v>
      </c>
      <c r="N1683">
        <f t="shared" si="439"/>
        <v>364</v>
      </c>
    </row>
    <row r="1684" spans="1:14" x14ac:dyDescent="0.2">
      <c r="A1684" t="s">
        <v>2302</v>
      </c>
      <c r="B1684" s="1" t="s">
        <v>2297</v>
      </c>
      <c r="C1684" t="s">
        <v>14</v>
      </c>
      <c r="D1684" t="s">
        <v>70</v>
      </c>
      <c r="E1684">
        <v>11</v>
      </c>
      <c r="F1684" t="s">
        <v>2198</v>
      </c>
      <c r="G1684">
        <v>2022</v>
      </c>
      <c r="H1684" t="s">
        <v>2303</v>
      </c>
      <c r="I1684" t="s">
        <v>62</v>
      </c>
      <c r="J1684">
        <v>849</v>
      </c>
      <c r="K1684">
        <v>250</v>
      </c>
      <c r="L1684">
        <f t="shared" si="438"/>
        <v>599</v>
      </c>
      <c r="M1684">
        <v>240</v>
      </c>
      <c r="N1684">
        <f t="shared" si="439"/>
        <v>359</v>
      </c>
    </row>
    <row r="1685" spans="1:14" x14ac:dyDescent="0.2">
      <c r="A1685" t="s">
        <v>2304</v>
      </c>
      <c r="B1685" s="1" t="s">
        <v>2297</v>
      </c>
      <c r="C1685" t="s">
        <v>14</v>
      </c>
      <c r="D1685" t="s">
        <v>133</v>
      </c>
      <c r="E1685">
        <v>11</v>
      </c>
      <c r="F1685" t="s">
        <v>2198</v>
      </c>
      <c r="G1685">
        <v>2022</v>
      </c>
      <c r="H1685" t="s">
        <v>549</v>
      </c>
      <c r="I1685" t="s">
        <v>163</v>
      </c>
      <c r="J1685">
        <v>759.05</v>
      </c>
      <c r="K1685">
        <v>202</v>
      </c>
      <c r="L1685">
        <f t="shared" si="438"/>
        <v>557.04999999999995</v>
      </c>
      <c r="M1685">
        <v>240</v>
      </c>
      <c r="N1685">
        <f t="shared" si="439"/>
        <v>317.04999999999995</v>
      </c>
    </row>
    <row r="1686" spans="1:14" x14ac:dyDescent="0.2">
      <c r="A1686" t="s">
        <v>2305</v>
      </c>
      <c r="B1686" s="1" t="s">
        <v>2282</v>
      </c>
      <c r="C1686" t="s">
        <v>14</v>
      </c>
      <c r="D1686" t="s">
        <v>792</v>
      </c>
      <c r="E1686">
        <v>10</v>
      </c>
      <c r="F1686" t="s">
        <v>2198</v>
      </c>
      <c r="G1686">
        <v>2022</v>
      </c>
      <c r="H1686" t="s">
        <v>2306</v>
      </c>
      <c r="I1686" t="s">
        <v>32</v>
      </c>
      <c r="J1686">
        <v>849</v>
      </c>
      <c r="K1686">
        <v>250</v>
      </c>
      <c r="L1686">
        <f t="shared" si="438"/>
        <v>599</v>
      </c>
      <c r="M1686">
        <v>240</v>
      </c>
      <c r="N1686">
        <f t="shared" si="439"/>
        <v>359</v>
      </c>
    </row>
    <row r="1687" spans="1:14" x14ac:dyDescent="0.2">
      <c r="A1687" t="s">
        <v>2308</v>
      </c>
      <c r="B1687" s="1" t="s">
        <v>2307</v>
      </c>
      <c r="C1687" t="s">
        <v>43</v>
      </c>
      <c r="D1687" t="s">
        <v>70</v>
      </c>
      <c r="E1687">
        <v>12</v>
      </c>
      <c r="F1687" t="s">
        <v>2198</v>
      </c>
      <c r="G1687">
        <v>2022</v>
      </c>
      <c r="H1687" t="s">
        <v>235</v>
      </c>
      <c r="I1687" t="s">
        <v>62</v>
      </c>
      <c r="J1687">
        <v>0</v>
      </c>
      <c r="K1687">
        <v>0</v>
      </c>
      <c r="L1687">
        <v>0</v>
      </c>
      <c r="M1687">
        <v>0</v>
      </c>
      <c r="N1687">
        <v>0</v>
      </c>
    </row>
    <row r="1688" spans="1:14" x14ac:dyDescent="0.2">
      <c r="A1688" t="s">
        <v>2309</v>
      </c>
      <c r="B1688" s="1" t="s">
        <v>2307</v>
      </c>
      <c r="C1688" t="s">
        <v>43</v>
      </c>
      <c r="D1688" t="s">
        <v>2310</v>
      </c>
      <c r="E1688">
        <v>12</v>
      </c>
      <c r="F1688" t="s">
        <v>2198</v>
      </c>
      <c r="G1688">
        <v>2022</v>
      </c>
      <c r="H1688" t="s">
        <v>272</v>
      </c>
      <c r="I1688" t="s">
        <v>23</v>
      </c>
      <c r="J1688">
        <v>0</v>
      </c>
      <c r="K1688">
        <v>0</v>
      </c>
      <c r="L1688">
        <v>0</v>
      </c>
      <c r="M1688">
        <v>0</v>
      </c>
      <c r="N1688">
        <v>0</v>
      </c>
    </row>
    <row r="1689" spans="1:14" x14ac:dyDescent="0.2">
      <c r="A1689" t="s">
        <v>2309</v>
      </c>
      <c r="B1689" s="1" t="s">
        <v>2307</v>
      </c>
      <c r="C1689" t="s">
        <v>43</v>
      </c>
      <c r="D1689" t="s">
        <v>452</v>
      </c>
      <c r="E1689">
        <v>12</v>
      </c>
      <c r="F1689" t="s">
        <v>2198</v>
      </c>
      <c r="G1689">
        <v>2022</v>
      </c>
      <c r="H1689" t="s">
        <v>272</v>
      </c>
      <c r="I1689" t="s">
        <v>23</v>
      </c>
      <c r="J1689">
        <v>0</v>
      </c>
      <c r="K1689">
        <v>0</v>
      </c>
      <c r="L1689">
        <v>0</v>
      </c>
      <c r="M1689">
        <v>0</v>
      </c>
      <c r="N1689">
        <v>0</v>
      </c>
    </row>
    <row r="1690" spans="1:14" x14ac:dyDescent="0.2">
      <c r="A1690" t="s">
        <v>2309</v>
      </c>
      <c r="B1690" s="1" t="s">
        <v>2307</v>
      </c>
      <c r="C1690" t="s">
        <v>43</v>
      </c>
      <c r="D1690" t="s">
        <v>798</v>
      </c>
      <c r="E1690">
        <v>12</v>
      </c>
      <c r="F1690" t="s">
        <v>2198</v>
      </c>
      <c r="G1690">
        <v>2022</v>
      </c>
      <c r="H1690" t="s">
        <v>272</v>
      </c>
      <c r="I1690" t="s">
        <v>23</v>
      </c>
      <c r="J1690">
        <v>0</v>
      </c>
      <c r="K1690">
        <v>0</v>
      </c>
      <c r="L1690">
        <v>0</v>
      </c>
      <c r="M1690">
        <v>0</v>
      </c>
      <c r="N1690">
        <v>0</v>
      </c>
    </row>
    <row r="1691" spans="1:14" x14ac:dyDescent="0.2">
      <c r="A1691" t="s">
        <v>2311</v>
      </c>
      <c r="B1691" s="1" t="s">
        <v>2307</v>
      </c>
      <c r="C1691" t="s">
        <v>14</v>
      </c>
      <c r="D1691" t="s">
        <v>901</v>
      </c>
      <c r="E1691">
        <v>12</v>
      </c>
      <c r="F1691" t="s">
        <v>2198</v>
      </c>
      <c r="G1691">
        <v>2022</v>
      </c>
      <c r="H1691" t="s">
        <v>157</v>
      </c>
      <c r="I1691" t="s">
        <v>97</v>
      </c>
      <c r="J1691">
        <v>799</v>
      </c>
      <c r="K1691">
        <v>205</v>
      </c>
      <c r="L1691">
        <f t="shared" ref="L1691:L1696" si="440">J1691-K1691</f>
        <v>594</v>
      </c>
      <c r="M1691">
        <v>240</v>
      </c>
      <c r="N1691">
        <f t="shared" ref="N1691:N1696" si="441">L1691-M1691</f>
        <v>354</v>
      </c>
    </row>
    <row r="1692" spans="1:14" x14ac:dyDescent="0.2">
      <c r="A1692" t="s">
        <v>2312</v>
      </c>
      <c r="B1692" s="1" t="s">
        <v>2297</v>
      </c>
      <c r="C1692" t="s">
        <v>14</v>
      </c>
      <c r="D1692" t="s">
        <v>895</v>
      </c>
      <c r="E1692">
        <v>11</v>
      </c>
      <c r="F1692" t="s">
        <v>2198</v>
      </c>
      <c r="G1692">
        <v>2022</v>
      </c>
      <c r="H1692" t="s">
        <v>2313</v>
      </c>
      <c r="I1692" t="s">
        <v>257</v>
      </c>
      <c r="J1692">
        <v>849</v>
      </c>
      <c r="K1692">
        <v>250</v>
      </c>
      <c r="L1692">
        <f t="shared" si="440"/>
        <v>599</v>
      </c>
      <c r="M1692">
        <v>240</v>
      </c>
      <c r="N1692">
        <f t="shared" si="441"/>
        <v>359</v>
      </c>
    </row>
    <row r="1693" spans="1:14" x14ac:dyDescent="0.2">
      <c r="A1693" t="s">
        <v>2314</v>
      </c>
      <c r="B1693" s="1" t="s">
        <v>2297</v>
      </c>
      <c r="C1693" t="s">
        <v>14</v>
      </c>
      <c r="D1693" t="s">
        <v>504</v>
      </c>
      <c r="E1693">
        <v>11</v>
      </c>
      <c r="F1693" t="s">
        <v>2198</v>
      </c>
      <c r="G1693">
        <v>2022</v>
      </c>
      <c r="H1693" t="s">
        <v>18</v>
      </c>
      <c r="I1693" t="s">
        <v>19</v>
      </c>
      <c r="J1693">
        <v>899</v>
      </c>
      <c r="K1693">
        <v>295</v>
      </c>
      <c r="L1693">
        <f t="shared" si="440"/>
        <v>604</v>
      </c>
      <c r="M1693">
        <v>240</v>
      </c>
      <c r="N1693">
        <f t="shared" si="441"/>
        <v>364</v>
      </c>
    </row>
    <row r="1694" spans="1:14" x14ac:dyDescent="0.2">
      <c r="A1694" t="s">
        <v>2315</v>
      </c>
      <c r="B1694" s="1" t="s">
        <v>2307</v>
      </c>
      <c r="C1694" t="s">
        <v>14</v>
      </c>
      <c r="D1694" t="s">
        <v>242</v>
      </c>
      <c r="E1694">
        <v>12</v>
      </c>
      <c r="F1694" t="s">
        <v>2198</v>
      </c>
      <c r="G1694">
        <v>2022</v>
      </c>
      <c r="H1694" t="s">
        <v>2316</v>
      </c>
      <c r="I1694" t="s">
        <v>144</v>
      </c>
      <c r="J1694">
        <v>899</v>
      </c>
      <c r="K1694">
        <v>295</v>
      </c>
      <c r="L1694">
        <f t="shared" si="440"/>
        <v>604</v>
      </c>
      <c r="M1694">
        <v>240</v>
      </c>
      <c r="N1694">
        <f t="shared" si="441"/>
        <v>364</v>
      </c>
    </row>
    <row r="1695" spans="1:14" x14ac:dyDescent="0.2">
      <c r="A1695" t="s">
        <v>2317</v>
      </c>
      <c r="B1695" s="1" t="s">
        <v>2307</v>
      </c>
      <c r="C1695" t="s">
        <v>14</v>
      </c>
      <c r="D1695" t="s">
        <v>133</v>
      </c>
      <c r="E1695">
        <v>12</v>
      </c>
      <c r="F1695" t="s">
        <v>2198</v>
      </c>
      <c r="G1695">
        <v>2022</v>
      </c>
      <c r="H1695" t="s">
        <v>170</v>
      </c>
      <c r="I1695" t="s">
        <v>171</v>
      </c>
      <c r="J1695">
        <v>799</v>
      </c>
      <c r="K1695">
        <v>205</v>
      </c>
      <c r="L1695">
        <f t="shared" si="440"/>
        <v>594</v>
      </c>
      <c r="M1695">
        <v>240</v>
      </c>
      <c r="N1695">
        <f t="shared" si="441"/>
        <v>354</v>
      </c>
    </row>
    <row r="1696" spans="1:14" x14ac:dyDescent="0.2">
      <c r="A1696" t="s">
        <v>2318</v>
      </c>
      <c r="B1696" s="1" t="s">
        <v>2297</v>
      </c>
      <c r="C1696" t="s">
        <v>14</v>
      </c>
      <c r="D1696" t="s">
        <v>2096</v>
      </c>
      <c r="E1696">
        <v>11</v>
      </c>
      <c r="F1696" t="s">
        <v>2198</v>
      </c>
      <c r="G1696">
        <v>2022</v>
      </c>
      <c r="H1696" t="s">
        <v>193</v>
      </c>
      <c r="I1696" t="s">
        <v>62</v>
      </c>
      <c r="J1696">
        <v>759.05</v>
      </c>
      <c r="K1696">
        <v>202</v>
      </c>
      <c r="L1696">
        <f t="shared" si="440"/>
        <v>557.04999999999995</v>
      </c>
      <c r="M1696">
        <v>240</v>
      </c>
      <c r="N1696">
        <f t="shared" si="441"/>
        <v>317.04999999999995</v>
      </c>
    </row>
    <row r="1697" spans="1:14" x14ac:dyDescent="0.2">
      <c r="A1697" t="s">
        <v>2241</v>
      </c>
      <c r="B1697" s="1" t="s">
        <v>2216</v>
      </c>
      <c r="C1697" t="s">
        <v>106</v>
      </c>
      <c r="D1697" t="s">
        <v>380</v>
      </c>
      <c r="E1697">
        <v>4</v>
      </c>
      <c r="F1697" t="s">
        <v>2198</v>
      </c>
      <c r="G1697">
        <v>2022</v>
      </c>
      <c r="H1697" t="s">
        <v>1405</v>
      </c>
      <c r="I1697" t="s">
        <v>257</v>
      </c>
      <c r="J1697">
        <v>-1698</v>
      </c>
      <c r="K1697">
        <v>425</v>
      </c>
      <c r="L1697">
        <f t="shared" ref="L1697:L1698" si="442">J1697+K1697</f>
        <v>-1273</v>
      </c>
      <c r="M1697">
        <v>240</v>
      </c>
      <c r="N1697">
        <f t="shared" ref="N1697:N1698" si="443">L1697+M1697</f>
        <v>-1033</v>
      </c>
    </row>
    <row r="1698" spans="1:14" x14ac:dyDescent="0.2">
      <c r="A1698" t="s">
        <v>2247</v>
      </c>
      <c r="B1698" s="1" t="s">
        <v>2242</v>
      </c>
      <c r="C1698" t="s">
        <v>106</v>
      </c>
      <c r="D1698" t="s">
        <v>242</v>
      </c>
      <c r="E1698">
        <v>6</v>
      </c>
      <c r="F1698" t="s">
        <v>2198</v>
      </c>
      <c r="G1698">
        <v>2022</v>
      </c>
      <c r="H1698" t="s">
        <v>157</v>
      </c>
      <c r="I1698" t="s">
        <v>97</v>
      </c>
      <c r="J1698">
        <v>-854.05</v>
      </c>
      <c r="K1698">
        <v>345</v>
      </c>
      <c r="L1698">
        <f t="shared" si="442"/>
        <v>-509.04999999999995</v>
      </c>
      <c r="M1698">
        <v>240</v>
      </c>
      <c r="N1698">
        <f t="shared" si="443"/>
        <v>-269.04999999999995</v>
      </c>
    </row>
    <row r="1699" spans="1:14" x14ac:dyDescent="0.2">
      <c r="A1699" t="s">
        <v>2320</v>
      </c>
      <c r="B1699" s="1" t="s">
        <v>2319</v>
      </c>
      <c r="C1699" t="s">
        <v>14</v>
      </c>
      <c r="D1699" t="s">
        <v>133</v>
      </c>
      <c r="E1699">
        <v>13</v>
      </c>
      <c r="F1699" t="s">
        <v>2198</v>
      </c>
      <c r="G1699">
        <v>2022</v>
      </c>
      <c r="H1699" t="s">
        <v>2321</v>
      </c>
      <c r="I1699" t="s">
        <v>85</v>
      </c>
      <c r="J1699">
        <v>759.05</v>
      </c>
      <c r="K1699">
        <v>202</v>
      </c>
      <c r="L1699">
        <f t="shared" ref="L1699:L1709" si="444">J1699-K1699</f>
        <v>557.04999999999995</v>
      </c>
      <c r="M1699">
        <v>240</v>
      </c>
      <c r="N1699">
        <f t="shared" ref="N1699:N1709" si="445">L1699-M1699</f>
        <v>317.04999999999995</v>
      </c>
    </row>
    <row r="1700" spans="1:14" x14ac:dyDescent="0.2">
      <c r="A1700" t="s">
        <v>2322</v>
      </c>
      <c r="B1700" s="1" t="s">
        <v>2319</v>
      </c>
      <c r="C1700" t="s">
        <v>14</v>
      </c>
      <c r="D1700" t="s">
        <v>1338</v>
      </c>
      <c r="E1700">
        <v>13</v>
      </c>
      <c r="F1700" t="s">
        <v>2198</v>
      </c>
      <c r="G1700">
        <v>2022</v>
      </c>
      <c r="H1700" t="s">
        <v>309</v>
      </c>
      <c r="I1700" t="s">
        <v>212</v>
      </c>
      <c r="J1700">
        <v>799</v>
      </c>
      <c r="K1700">
        <v>205</v>
      </c>
      <c r="L1700">
        <f t="shared" si="444"/>
        <v>594</v>
      </c>
      <c r="M1700">
        <v>240</v>
      </c>
      <c r="N1700">
        <f t="shared" si="445"/>
        <v>354</v>
      </c>
    </row>
    <row r="1701" spans="1:14" x14ac:dyDescent="0.2">
      <c r="A1701" t="s">
        <v>2323</v>
      </c>
      <c r="B1701" s="1" t="s">
        <v>2319</v>
      </c>
      <c r="C1701" t="s">
        <v>14</v>
      </c>
      <c r="D1701" t="s">
        <v>548</v>
      </c>
      <c r="E1701">
        <v>13</v>
      </c>
      <c r="F1701" t="s">
        <v>2198</v>
      </c>
      <c r="G1701">
        <v>2022</v>
      </c>
      <c r="H1701" t="s">
        <v>530</v>
      </c>
      <c r="I1701" t="s">
        <v>23</v>
      </c>
      <c r="J1701">
        <v>899</v>
      </c>
      <c r="K1701">
        <v>295</v>
      </c>
      <c r="L1701">
        <f t="shared" si="444"/>
        <v>604</v>
      </c>
      <c r="M1701">
        <v>240</v>
      </c>
      <c r="N1701">
        <f t="shared" si="445"/>
        <v>364</v>
      </c>
    </row>
    <row r="1702" spans="1:14" x14ac:dyDescent="0.2">
      <c r="A1702" t="s">
        <v>2324</v>
      </c>
      <c r="B1702" s="1" t="s">
        <v>2319</v>
      </c>
      <c r="C1702" t="s">
        <v>14</v>
      </c>
      <c r="D1702" t="s">
        <v>895</v>
      </c>
      <c r="E1702">
        <v>13</v>
      </c>
      <c r="F1702" t="s">
        <v>2198</v>
      </c>
      <c r="G1702">
        <v>2022</v>
      </c>
      <c r="H1702" t="s">
        <v>193</v>
      </c>
      <c r="I1702" t="s">
        <v>62</v>
      </c>
      <c r="J1702">
        <v>849</v>
      </c>
      <c r="K1702">
        <v>250</v>
      </c>
      <c r="L1702">
        <f t="shared" si="444"/>
        <v>599</v>
      </c>
      <c r="M1702">
        <v>240</v>
      </c>
      <c r="N1702">
        <f t="shared" si="445"/>
        <v>359</v>
      </c>
    </row>
    <row r="1703" spans="1:14" x14ac:dyDescent="0.2">
      <c r="A1703" t="s">
        <v>2324</v>
      </c>
      <c r="B1703" s="1" t="s">
        <v>2319</v>
      </c>
      <c r="C1703" t="s">
        <v>14</v>
      </c>
      <c r="D1703" t="s">
        <v>893</v>
      </c>
      <c r="E1703">
        <v>13</v>
      </c>
      <c r="F1703" t="s">
        <v>2198</v>
      </c>
      <c r="G1703">
        <v>2022</v>
      </c>
      <c r="H1703" t="s">
        <v>193</v>
      </c>
      <c r="I1703" t="s">
        <v>62</v>
      </c>
      <c r="J1703">
        <v>849</v>
      </c>
      <c r="K1703">
        <v>250</v>
      </c>
      <c r="L1703">
        <f t="shared" si="444"/>
        <v>599</v>
      </c>
      <c r="M1703">
        <v>240</v>
      </c>
      <c r="N1703">
        <f t="shared" si="445"/>
        <v>359</v>
      </c>
    </row>
    <row r="1704" spans="1:14" x14ac:dyDescent="0.2">
      <c r="A1704" t="s">
        <v>2325</v>
      </c>
      <c r="B1704" s="1" t="s">
        <v>2319</v>
      </c>
      <c r="C1704" t="s">
        <v>14</v>
      </c>
      <c r="D1704" t="s">
        <v>81</v>
      </c>
      <c r="E1704">
        <v>13</v>
      </c>
      <c r="F1704" t="s">
        <v>2198</v>
      </c>
      <c r="G1704">
        <v>2022</v>
      </c>
      <c r="H1704" t="s">
        <v>1137</v>
      </c>
      <c r="I1704" t="s">
        <v>58</v>
      </c>
      <c r="J1704">
        <v>849</v>
      </c>
      <c r="K1704">
        <v>250</v>
      </c>
      <c r="L1704">
        <f t="shared" si="444"/>
        <v>599</v>
      </c>
      <c r="M1704">
        <v>240</v>
      </c>
      <c r="N1704">
        <f t="shared" si="445"/>
        <v>359</v>
      </c>
    </row>
    <row r="1705" spans="1:14" x14ac:dyDescent="0.2">
      <c r="A1705" t="s">
        <v>2326</v>
      </c>
      <c r="B1705" s="1" t="s">
        <v>2307</v>
      </c>
      <c r="C1705" t="s">
        <v>14</v>
      </c>
      <c r="D1705" t="s">
        <v>2327</v>
      </c>
      <c r="E1705">
        <v>12</v>
      </c>
      <c r="F1705" t="s">
        <v>2198</v>
      </c>
      <c r="G1705">
        <v>2022</v>
      </c>
      <c r="H1705" t="s">
        <v>272</v>
      </c>
      <c r="I1705" t="s">
        <v>23</v>
      </c>
      <c r="J1705">
        <v>799</v>
      </c>
      <c r="K1705">
        <v>205</v>
      </c>
      <c r="L1705">
        <f t="shared" si="444"/>
        <v>594</v>
      </c>
      <c r="M1705">
        <v>240</v>
      </c>
      <c r="N1705">
        <f t="shared" si="445"/>
        <v>354</v>
      </c>
    </row>
    <row r="1706" spans="1:14" x14ac:dyDescent="0.2">
      <c r="A1706" t="s">
        <v>2326</v>
      </c>
      <c r="B1706" s="1" t="s">
        <v>2307</v>
      </c>
      <c r="C1706" t="s">
        <v>14</v>
      </c>
      <c r="D1706" t="s">
        <v>2328</v>
      </c>
      <c r="E1706">
        <v>12</v>
      </c>
      <c r="F1706" t="s">
        <v>2198</v>
      </c>
      <c r="G1706">
        <v>2022</v>
      </c>
      <c r="H1706" t="s">
        <v>272</v>
      </c>
      <c r="I1706" t="s">
        <v>23</v>
      </c>
      <c r="J1706">
        <v>799</v>
      </c>
      <c r="K1706">
        <v>205</v>
      </c>
      <c r="L1706">
        <f t="shared" si="444"/>
        <v>594</v>
      </c>
      <c r="M1706">
        <v>240</v>
      </c>
      <c r="N1706">
        <f t="shared" si="445"/>
        <v>354</v>
      </c>
    </row>
    <row r="1707" spans="1:14" x14ac:dyDescent="0.2">
      <c r="A1707" t="s">
        <v>2329</v>
      </c>
      <c r="B1707" s="1" t="s">
        <v>2307</v>
      </c>
      <c r="C1707" t="s">
        <v>14</v>
      </c>
      <c r="D1707" t="s">
        <v>2310</v>
      </c>
      <c r="E1707">
        <v>12</v>
      </c>
      <c r="F1707" t="s">
        <v>2198</v>
      </c>
      <c r="G1707">
        <v>2022</v>
      </c>
      <c r="H1707" t="s">
        <v>272</v>
      </c>
      <c r="I1707" t="s">
        <v>23</v>
      </c>
      <c r="J1707">
        <v>799</v>
      </c>
      <c r="K1707">
        <v>205</v>
      </c>
      <c r="L1707">
        <f t="shared" si="444"/>
        <v>594</v>
      </c>
      <c r="M1707">
        <v>240</v>
      </c>
      <c r="N1707">
        <f t="shared" si="445"/>
        <v>354</v>
      </c>
    </row>
    <row r="1708" spans="1:14" x14ac:dyDescent="0.2">
      <c r="A1708" t="s">
        <v>2330</v>
      </c>
      <c r="B1708" s="1" t="s">
        <v>2319</v>
      </c>
      <c r="C1708" t="s">
        <v>14</v>
      </c>
      <c r="D1708" t="s">
        <v>812</v>
      </c>
      <c r="E1708">
        <v>13</v>
      </c>
      <c r="F1708" t="s">
        <v>2198</v>
      </c>
      <c r="G1708">
        <v>2022</v>
      </c>
      <c r="H1708" t="s">
        <v>2331</v>
      </c>
      <c r="I1708" t="s">
        <v>144</v>
      </c>
      <c r="J1708">
        <v>999</v>
      </c>
      <c r="K1708">
        <v>325</v>
      </c>
      <c r="L1708">
        <f t="shared" si="444"/>
        <v>674</v>
      </c>
      <c r="M1708">
        <v>240</v>
      </c>
      <c r="N1708">
        <f t="shared" si="445"/>
        <v>434</v>
      </c>
    </row>
    <row r="1709" spans="1:14" x14ac:dyDescent="0.2">
      <c r="A1709" t="s">
        <v>2332</v>
      </c>
      <c r="B1709" s="1" t="s">
        <v>2307</v>
      </c>
      <c r="C1709" t="s">
        <v>14</v>
      </c>
      <c r="D1709" t="s">
        <v>1324</v>
      </c>
      <c r="E1709">
        <v>12</v>
      </c>
      <c r="F1709" t="s">
        <v>2198</v>
      </c>
      <c r="G1709">
        <v>2022</v>
      </c>
      <c r="H1709" t="s">
        <v>2333</v>
      </c>
      <c r="I1709" t="s">
        <v>122</v>
      </c>
      <c r="J1709">
        <v>849</v>
      </c>
      <c r="K1709">
        <v>250</v>
      </c>
      <c r="L1709">
        <f t="shared" si="444"/>
        <v>599</v>
      </c>
      <c r="M1709">
        <v>240</v>
      </c>
      <c r="N1709">
        <f t="shared" si="445"/>
        <v>359</v>
      </c>
    </row>
    <row r="1710" spans="1:14" x14ac:dyDescent="0.2">
      <c r="A1710" t="s">
        <v>2261</v>
      </c>
      <c r="B1710" s="1" t="s">
        <v>2253</v>
      </c>
      <c r="C1710" t="s">
        <v>106</v>
      </c>
      <c r="D1710" t="s">
        <v>665</v>
      </c>
      <c r="E1710">
        <v>7</v>
      </c>
      <c r="F1710" t="s">
        <v>2198</v>
      </c>
      <c r="G1710">
        <v>2022</v>
      </c>
      <c r="H1710" t="s">
        <v>157</v>
      </c>
      <c r="I1710" t="s">
        <v>97</v>
      </c>
      <c r="J1710">
        <v>-799</v>
      </c>
      <c r="K1710">
        <v>320</v>
      </c>
      <c r="L1710">
        <f t="shared" ref="L1710:L1711" si="446">J1710+K1710</f>
        <v>-479</v>
      </c>
      <c r="M1710">
        <v>240</v>
      </c>
      <c r="N1710">
        <f t="shared" ref="N1710:N1711" si="447">L1710+M1710</f>
        <v>-239</v>
      </c>
    </row>
    <row r="1711" spans="1:14" x14ac:dyDescent="0.2">
      <c r="A1711" t="s">
        <v>2206</v>
      </c>
      <c r="B1711" s="1" t="s">
        <v>2196</v>
      </c>
      <c r="C1711" t="s">
        <v>106</v>
      </c>
      <c r="D1711" t="s">
        <v>1348</v>
      </c>
      <c r="E1711">
        <v>1</v>
      </c>
      <c r="F1711" t="s">
        <v>2198</v>
      </c>
      <c r="G1711">
        <v>2022</v>
      </c>
      <c r="H1711" t="s">
        <v>2207</v>
      </c>
      <c r="I1711" t="s">
        <v>135</v>
      </c>
      <c r="J1711">
        <v>-799</v>
      </c>
      <c r="K1711">
        <v>320</v>
      </c>
      <c r="L1711">
        <f t="shared" si="446"/>
        <v>-479</v>
      </c>
      <c r="M1711">
        <v>240</v>
      </c>
      <c r="N1711">
        <f t="shared" si="447"/>
        <v>-239</v>
      </c>
    </row>
    <row r="1712" spans="1:14" x14ac:dyDescent="0.2">
      <c r="A1712" t="s">
        <v>2335</v>
      </c>
      <c r="B1712" s="1" t="s">
        <v>2334</v>
      </c>
      <c r="C1712" t="s">
        <v>43</v>
      </c>
      <c r="D1712" t="s">
        <v>117</v>
      </c>
      <c r="E1712">
        <v>14</v>
      </c>
      <c r="F1712" t="s">
        <v>2198</v>
      </c>
      <c r="G1712">
        <v>2022</v>
      </c>
      <c r="H1712" t="s">
        <v>2336</v>
      </c>
      <c r="I1712" t="s">
        <v>62</v>
      </c>
      <c r="J1712">
        <v>0</v>
      </c>
      <c r="K1712">
        <v>0</v>
      </c>
      <c r="L1712">
        <v>0</v>
      </c>
      <c r="M1712">
        <v>0</v>
      </c>
      <c r="N1712">
        <v>0</v>
      </c>
    </row>
    <row r="1713" spans="1:14" x14ac:dyDescent="0.2">
      <c r="A1713" t="s">
        <v>2337</v>
      </c>
      <c r="B1713" s="1" t="s">
        <v>2334</v>
      </c>
      <c r="C1713" t="s">
        <v>14</v>
      </c>
      <c r="D1713" t="s">
        <v>81</v>
      </c>
      <c r="E1713">
        <v>14</v>
      </c>
      <c r="F1713" t="s">
        <v>2198</v>
      </c>
      <c r="G1713">
        <v>2022</v>
      </c>
      <c r="H1713" t="s">
        <v>449</v>
      </c>
      <c r="I1713" t="s">
        <v>97</v>
      </c>
      <c r="J1713">
        <v>849</v>
      </c>
      <c r="K1713">
        <v>250</v>
      </c>
      <c r="L1713">
        <f t="shared" ref="L1713:L1725" si="448">J1713-K1713</f>
        <v>599</v>
      </c>
      <c r="M1713">
        <v>240</v>
      </c>
      <c r="N1713">
        <f t="shared" ref="N1713:N1725" si="449">L1713-M1713</f>
        <v>359</v>
      </c>
    </row>
    <row r="1714" spans="1:14" x14ac:dyDescent="0.2">
      <c r="A1714" t="s">
        <v>2338</v>
      </c>
      <c r="B1714" s="1" t="s">
        <v>2319</v>
      </c>
      <c r="C1714" t="s">
        <v>14</v>
      </c>
      <c r="D1714" t="s">
        <v>573</v>
      </c>
      <c r="E1714">
        <v>13</v>
      </c>
      <c r="F1714" t="s">
        <v>2198</v>
      </c>
      <c r="G1714">
        <v>2022</v>
      </c>
      <c r="H1714" t="s">
        <v>2055</v>
      </c>
      <c r="I1714" t="s">
        <v>28</v>
      </c>
      <c r="J1714">
        <v>899</v>
      </c>
      <c r="K1714">
        <v>295</v>
      </c>
      <c r="L1714">
        <f t="shared" si="448"/>
        <v>604</v>
      </c>
      <c r="M1714">
        <v>240</v>
      </c>
      <c r="N1714">
        <f t="shared" si="449"/>
        <v>364</v>
      </c>
    </row>
    <row r="1715" spans="1:14" x14ac:dyDescent="0.2">
      <c r="A1715" t="s">
        <v>2339</v>
      </c>
      <c r="B1715" s="1" t="s">
        <v>2334</v>
      </c>
      <c r="C1715" t="s">
        <v>14</v>
      </c>
      <c r="D1715" t="s">
        <v>1010</v>
      </c>
      <c r="E1715">
        <v>14</v>
      </c>
      <c r="F1715" t="s">
        <v>2198</v>
      </c>
      <c r="G1715">
        <v>2022</v>
      </c>
      <c r="H1715" t="s">
        <v>173</v>
      </c>
      <c r="I1715" t="s">
        <v>62</v>
      </c>
      <c r="J1715">
        <v>799</v>
      </c>
      <c r="K1715">
        <v>205</v>
      </c>
      <c r="L1715">
        <f t="shared" si="448"/>
        <v>594</v>
      </c>
      <c r="M1715">
        <v>240</v>
      </c>
      <c r="N1715">
        <f t="shared" si="449"/>
        <v>354</v>
      </c>
    </row>
    <row r="1716" spans="1:14" x14ac:dyDescent="0.2">
      <c r="A1716" t="s">
        <v>2340</v>
      </c>
      <c r="B1716" s="1" t="s">
        <v>2334</v>
      </c>
      <c r="C1716" t="s">
        <v>14</v>
      </c>
      <c r="D1716" t="s">
        <v>893</v>
      </c>
      <c r="E1716">
        <v>14</v>
      </c>
      <c r="F1716" t="s">
        <v>2198</v>
      </c>
      <c r="G1716">
        <v>2022</v>
      </c>
      <c r="H1716" t="s">
        <v>104</v>
      </c>
      <c r="I1716" t="s">
        <v>62</v>
      </c>
      <c r="J1716">
        <v>849</v>
      </c>
      <c r="K1716">
        <v>250</v>
      </c>
      <c r="L1716">
        <f t="shared" si="448"/>
        <v>599</v>
      </c>
      <c r="M1716">
        <v>240</v>
      </c>
      <c r="N1716">
        <f t="shared" si="449"/>
        <v>359</v>
      </c>
    </row>
    <row r="1717" spans="1:14" x14ac:dyDescent="0.2">
      <c r="A1717" t="s">
        <v>2341</v>
      </c>
      <c r="B1717" s="1" t="s">
        <v>2319</v>
      </c>
      <c r="C1717" t="s">
        <v>14</v>
      </c>
      <c r="D1717" t="s">
        <v>1178</v>
      </c>
      <c r="E1717">
        <v>13</v>
      </c>
      <c r="F1717" t="s">
        <v>2198</v>
      </c>
      <c r="G1717">
        <v>2022</v>
      </c>
      <c r="H1717" t="s">
        <v>2342</v>
      </c>
      <c r="I1717" t="s">
        <v>32</v>
      </c>
      <c r="J1717">
        <v>799</v>
      </c>
      <c r="K1717">
        <v>205</v>
      </c>
      <c r="L1717">
        <f t="shared" si="448"/>
        <v>594</v>
      </c>
      <c r="M1717">
        <v>240</v>
      </c>
      <c r="N1717">
        <f t="shared" si="449"/>
        <v>354</v>
      </c>
    </row>
    <row r="1718" spans="1:14" x14ac:dyDescent="0.2">
      <c r="A1718" t="s">
        <v>2343</v>
      </c>
      <c r="B1718" s="1" t="s">
        <v>2319</v>
      </c>
      <c r="C1718" t="s">
        <v>14</v>
      </c>
      <c r="D1718" t="s">
        <v>1699</v>
      </c>
      <c r="E1718">
        <v>13</v>
      </c>
      <c r="F1718" t="s">
        <v>2198</v>
      </c>
      <c r="G1718">
        <v>2022</v>
      </c>
      <c r="H1718" t="s">
        <v>173</v>
      </c>
      <c r="I1718" t="s">
        <v>62</v>
      </c>
      <c r="J1718">
        <v>799</v>
      </c>
      <c r="K1718">
        <v>205</v>
      </c>
      <c r="L1718">
        <f t="shared" si="448"/>
        <v>594</v>
      </c>
      <c r="M1718">
        <v>240</v>
      </c>
      <c r="N1718">
        <f t="shared" si="449"/>
        <v>354</v>
      </c>
    </row>
    <row r="1719" spans="1:14" x14ac:dyDescent="0.2">
      <c r="A1719" t="s">
        <v>2344</v>
      </c>
      <c r="B1719" s="1" t="s">
        <v>2334</v>
      </c>
      <c r="C1719" t="s">
        <v>14</v>
      </c>
      <c r="D1719" t="s">
        <v>380</v>
      </c>
      <c r="E1719">
        <v>14</v>
      </c>
      <c r="F1719" t="s">
        <v>2198</v>
      </c>
      <c r="G1719">
        <v>2022</v>
      </c>
      <c r="H1719" t="s">
        <v>272</v>
      </c>
      <c r="I1719" t="s">
        <v>23</v>
      </c>
      <c r="J1719">
        <v>849</v>
      </c>
      <c r="K1719">
        <v>250</v>
      </c>
      <c r="L1719">
        <f t="shared" si="448"/>
        <v>599</v>
      </c>
      <c r="M1719">
        <v>240</v>
      </c>
      <c r="N1719">
        <f t="shared" si="449"/>
        <v>359</v>
      </c>
    </row>
    <row r="1720" spans="1:14" x14ac:dyDescent="0.2">
      <c r="A1720" t="s">
        <v>2345</v>
      </c>
      <c r="B1720" s="1" t="s">
        <v>2334</v>
      </c>
      <c r="C1720" t="s">
        <v>14</v>
      </c>
      <c r="D1720" t="s">
        <v>81</v>
      </c>
      <c r="E1720">
        <v>14</v>
      </c>
      <c r="F1720" t="s">
        <v>2198</v>
      </c>
      <c r="G1720">
        <v>2022</v>
      </c>
      <c r="H1720" t="s">
        <v>2346</v>
      </c>
      <c r="I1720" t="s">
        <v>160</v>
      </c>
      <c r="J1720">
        <v>806.55</v>
      </c>
      <c r="K1720">
        <v>227</v>
      </c>
      <c r="L1720">
        <f t="shared" si="448"/>
        <v>579.54999999999995</v>
      </c>
      <c r="M1720">
        <v>240</v>
      </c>
      <c r="N1720">
        <f t="shared" si="449"/>
        <v>339.54999999999995</v>
      </c>
    </row>
    <row r="1721" spans="1:14" x14ac:dyDescent="0.2">
      <c r="A1721" t="s">
        <v>2347</v>
      </c>
      <c r="B1721" s="1" t="s">
        <v>2334</v>
      </c>
      <c r="C1721" t="s">
        <v>14</v>
      </c>
      <c r="D1721" t="s">
        <v>573</v>
      </c>
      <c r="E1721">
        <v>14</v>
      </c>
      <c r="F1721" t="s">
        <v>2198</v>
      </c>
      <c r="G1721">
        <v>2022</v>
      </c>
      <c r="H1721" t="s">
        <v>2348</v>
      </c>
      <c r="I1721" t="s">
        <v>257</v>
      </c>
      <c r="J1721">
        <v>899</v>
      </c>
      <c r="K1721">
        <v>295</v>
      </c>
      <c r="L1721">
        <f t="shared" si="448"/>
        <v>604</v>
      </c>
      <c r="M1721">
        <v>240</v>
      </c>
      <c r="N1721">
        <f t="shared" si="449"/>
        <v>364</v>
      </c>
    </row>
    <row r="1722" spans="1:14" x14ac:dyDescent="0.2">
      <c r="A1722" t="s">
        <v>2349</v>
      </c>
      <c r="B1722" s="1" t="s">
        <v>2319</v>
      </c>
      <c r="C1722" t="s">
        <v>14</v>
      </c>
      <c r="D1722" t="s">
        <v>923</v>
      </c>
      <c r="E1722">
        <v>13</v>
      </c>
      <c r="F1722" t="s">
        <v>2198</v>
      </c>
      <c r="G1722">
        <v>2022</v>
      </c>
      <c r="H1722" t="s">
        <v>314</v>
      </c>
      <c r="I1722" t="s">
        <v>58</v>
      </c>
      <c r="J1722">
        <v>849</v>
      </c>
      <c r="K1722">
        <v>250</v>
      </c>
      <c r="L1722">
        <f t="shared" si="448"/>
        <v>599</v>
      </c>
      <c r="M1722">
        <v>240</v>
      </c>
      <c r="N1722">
        <f t="shared" si="449"/>
        <v>359</v>
      </c>
    </row>
    <row r="1723" spans="1:14" x14ac:dyDescent="0.2">
      <c r="A1723" t="s">
        <v>2350</v>
      </c>
      <c r="B1723" s="1" t="s">
        <v>2319</v>
      </c>
      <c r="C1723" t="s">
        <v>14</v>
      </c>
      <c r="D1723" t="s">
        <v>1141</v>
      </c>
      <c r="E1723">
        <v>13</v>
      </c>
      <c r="F1723" t="s">
        <v>2198</v>
      </c>
      <c r="G1723">
        <v>2022</v>
      </c>
      <c r="H1723" t="s">
        <v>170</v>
      </c>
      <c r="I1723" t="s">
        <v>171</v>
      </c>
      <c r="J1723">
        <v>799</v>
      </c>
      <c r="K1723">
        <v>205</v>
      </c>
      <c r="L1723">
        <f t="shared" si="448"/>
        <v>594</v>
      </c>
      <c r="M1723">
        <v>240</v>
      </c>
      <c r="N1723">
        <f t="shared" si="449"/>
        <v>354</v>
      </c>
    </row>
    <row r="1724" spans="1:14" x14ac:dyDescent="0.2">
      <c r="A1724" t="s">
        <v>2351</v>
      </c>
      <c r="B1724" s="1" t="s">
        <v>2334</v>
      </c>
      <c r="C1724" t="s">
        <v>14</v>
      </c>
      <c r="D1724" t="s">
        <v>890</v>
      </c>
      <c r="E1724">
        <v>14</v>
      </c>
      <c r="F1724" t="s">
        <v>2198</v>
      </c>
      <c r="G1724">
        <v>2022</v>
      </c>
      <c r="H1724" t="s">
        <v>2352</v>
      </c>
      <c r="I1724" t="s">
        <v>23</v>
      </c>
      <c r="J1724">
        <v>849</v>
      </c>
      <c r="K1724">
        <v>250</v>
      </c>
      <c r="L1724">
        <f t="shared" si="448"/>
        <v>599</v>
      </c>
      <c r="M1724">
        <v>240</v>
      </c>
      <c r="N1724">
        <f t="shared" si="449"/>
        <v>359</v>
      </c>
    </row>
    <row r="1725" spans="1:14" x14ac:dyDescent="0.2">
      <c r="A1725" t="s">
        <v>2353</v>
      </c>
      <c r="B1725" s="1" t="s">
        <v>2334</v>
      </c>
      <c r="C1725" t="s">
        <v>14</v>
      </c>
      <c r="D1725" t="s">
        <v>379</v>
      </c>
      <c r="E1725">
        <v>14</v>
      </c>
      <c r="F1725" t="s">
        <v>2198</v>
      </c>
      <c r="G1725">
        <v>2022</v>
      </c>
      <c r="H1725" t="s">
        <v>104</v>
      </c>
      <c r="I1725" t="s">
        <v>62</v>
      </c>
      <c r="J1725">
        <v>759.05</v>
      </c>
      <c r="K1725">
        <v>202</v>
      </c>
      <c r="L1725">
        <f t="shared" si="448"/>
        <v>557.04999999999995</v>
      </c>
      <c r="M1725">
        <v>240</v>
      </c>
      <c r="N1725">
        <f t="shared" si="449"/>
        <v>317.04999999999995</v>
      </c>
    </row>
    <row r="1726" spans="1:14" x14ac:dyDescent="0.2">
      <c r="A1726" t="s">
        <v>2256</v>
      </c>
      <c r="B1726" s="1" t="s">
        <v>2251</v>
      </c>
      <c r="C1726" t="s">
        <v>106</v>
      </c>
      <c r="D1726" t="s">
        <v>548</v>
      </c>
      <c r="E1726">
        <v>8</v>
      </c>
      <c r="F1726" t="s">
        <v>2198</v>
      </c>
      <c r="G1726">
        <v>2022</v>
      </c>
      <c r="H1726" t="s">
        <v>246</v>
      </c>
      <c r="I1726" t="s">
        <v>58</v>
      </c>
      <c r="J1726">
        <v>-854.05</v>
      </c>
      <c r="K1726">
        <v>345</v>
      </c>
      <c r="L1726">
        <f t="shared" ref="L1726:L1728" si="450">J1726+K1726</f>
        <v>-509.04999999999995</v>
      </c>
      <c r="M1726">
        <v>240</v>
      </c>
      <c r="N1726">
        <f t="shared" ref="N1726:N1728" si="451">L1726+M1726</f>
        <v>-269.04999999999995</v>
      </c>
    </row>
    <row r="1727" spans="1:14" x14ac:dyDescent="0.2">
      <c r="A1727" t="s">
        <v>2298</v>
      </c>
      <c r="B1727" s="1" t="s">
        <v>2297</v>
      </c>
      <c r="C1727" t="s">
        <v>106</v>
      </c>
      <c r="D1727" t="s">
        <v>993</v>
      </c>
      <c r="E1727">
        <v>11</v>
      </c>
      <c r="F1727" t="s">
        <v>2198</v>
      </c>
      <c r="G1727">
        <v>2022</v>
      </c>
      <c r="H1727" t="s">
        <v>170</v>
      </c>
      <c r="I1727" t="s">
        <v>171</v>
      </c>
      <c r="J1727">
        <v>-799</v>
      </c>
      <c r="K1727">
        <v>320</v>
      </c>
      <c r="L1727">
        <f t="shared" si="450"/>
        <v>-479</v>
      </c>
      <c r="M1727">
        <v>240</v>
      </c>
      <c r="N1727">
        <f t="shared" si="451"/>
        <v>-239</v>
      </c>
    </row>
    <row r="1728" spans="1:14" x14ac:dyDescent="0.2">
      <c r="A1728" t="s">
        <v>2254</v>
      </c>
      <c r="B1728" s="1" t="s">
        <v>2253</v>
      </c>
      <c r="C1728" t="s">
        <v>106</v>
      </c>
      <c r="D1728" t="s">
        <v>81</v>
      </c>
      <c r="E1728">
        <v>7</v>
      </c>
      <c r="F1728" t="s">
        <v>2198</v>
      </c>
      <c r="G1728">
        <v>2022</v>
      </c>
      <c r="H1728" t="s">
        <v>2255</v>
      </c>
      <c r="I1728" t="s">
        <v>160</v>
      </c>
      <c r="J1728">
        <v>-849</v>
      </c>
      <c r="K1728">
        <v>345</v>
      </c>
      <c r="L1728">
        <f t="shared" si="450"/>
        <v>-504</v>
      </c>
      <c r="M1728">
        <v>240</v>
      </c>
      <c r="N1728">
        <f t="shared" si="451"/>
        <v>-264</v>
      </c>
    </row>
    <row r="1729" spans="1:14" x14ac:dyDescent="0.2">
      <c r="A1729" t="s">
        <v>2354</v>
      </c>
      <c r="B1729" s="1" t="s">
        <v>2334</v>
      </c>
      <c r="C1729" t="s">
        <v>14</v>
      </c>
      <c r="D1729" t="s">
        <v>893</v>
      </c>
      <c r="E1729">
        <v>14</v>
      </c>
      <c r="F1729" t="s">
        <v>2198</v>
      </c>
      <c r="G1729">
        <v>2022</v>
      </c>
      <c r="H1729" t="s">
        <v>579</v>
      </c>
      <c r="I1729" t="s">
        <v>62</v>
      </c>
      <c r="J1729">
        <v>849</v>
      </c>
      <c r="K1729">
        <v>250</v>
      </c>
      <c r="L1729">
        <f t="shared" ref="L1729:L1749" si="452">J1729-K1729</f>
        <v>599</v>
      </c>
      <c r="M1729">
        <v>240</v>
      </c>
      <c r="N1729">
        <f t="shared" ref="N1729:N1749" si="453">L1729-M1729</f>
        <v>359</v>
      </c>
    </row>
    <row r="1730" spans="1:14" x14ac:dyDescent="0.2">
      <c r="A1730" t="s">
        <v>2356</v>
      </c>
      <c r="B1730" s="1" t="s">
        <v>2355</v>
      </c>
      <c r="C1730" t="s">
        <v>14</v>
      </c>
      <c r="D1730" t="s">
        <v>452</v>
      </c>
      <c r="E1730">
        <v>15</v>
      </c>
      <c r="F1730" t="s">
        <v>2198</v>
      </c>
      <c r="G1730">
        <v>2022</v>
      </c>
      <c r="H1730" t="s">
        <v>2357</v>
      </c>
      <c r="I1730" t="s">
        <v>23</v>
      </c>
      <c r="J1730">
        <v>759.05</v>
      </c>
      <c r="K1730">
        <v>202</v>
      </c>
      <c r="L1730">
        <f t="shared" si="452"/>
        <v>557.04999999999995</v>
      </c>
      <c r="M1730">
        <v>240</v>
      </c>
      <c r="N1730">
        <f t="shared" si="453"/>
        <v>317.04999999999995</v>
      </c>
    </row>
    <row r="1731" spans="1:14" x14ac:dyDescent="0.2">
      <c r="A1731" t="s">
        <v>2358</v>
      </c>
      <c r="B1731" s="1" t="s">
        <v>2355</v>
      </c>
      <c r="C1731" t="s">
        <v>14</v>
      </c>
      <c r="D1731" t="s">
        <v>1012</v>
      </c>
      <c r="E1731">
        <v>15</v>
      </c>
      <c r="F1731" t="s">
        <v>2198</v>
      </c>
      <c r="G1731">
        <v>2022</v>
      </c>
      <c r="H1731" t="s">
        <v>2359</v>
      </c>
      <c r="I1731" t="s">
        <v>212</v>
      </c>
      <c r="J1731">
        <v>799</v>
      </c>
      <c r="K1731">
        <v>205</v>
      </c>
      <c r="L1731">
        <f t="shared" si="452"/>
        <v>594</v>
      </c>
      <c r="M1731">
        <v>240</v>
      </c>
      <c r="N1731">
        <f t="shared" si="453"/>
        <v>354</v>
      </c>
    </row>
    <row r="1732" spans="1:14" x14ac:dyDescent="0.2">
      <c r="A1732" t="s">
        <v>2360</v>
      </c>
      <c r="B1732" s="1" t="s">
        <v>2355</v>
      </c>
      <c r="C1732" t="s">
        <v>14</v>
      </c>
      <c r="D1732" t="s">
        <v>1212</v>
      </c>
      <c r="E1732">
        <v>15</v>
      </c>
      <c r="F1732" t="s">
        <v>2198</v>
      </c>
      <c r="G1732">
        <v>2022</v>
      </c>
      <c r="H1732" t="s">
        <v>882</v>
      </c>
      <c r="I1732" t="s">
        <v>883</v>
      </c>
      <c r="J1732">
        <v>759.05</v>
      </c>
      <c r="K1732">
        <v>202</v>
      </c>
      <c r="L1732">
        <f t="shared" si="452"/>
        <v>557.04999999999995</v>
      </c>
      <c r="M1732">
        <v>240</v>
      </c>
      <c r="N1732">
        <f t="shared" si="453"/>
        <v>317.04999999999995</v>
      </c>
    </row>
    <row r="1733" spans="1:14" x14ac:dyDescent="0.2">
      <c r="A1733" t="s">
        <v>2361</v>
      </c>
      <c r="B1733" s="1" t="s">
        <v>2355</v>
      </c>
      <c r="C1733" t="s">
        <v>14</v>
      </c>
      <c r="D1733" t="s">
        <v>379</v>
      </c>
      <c r="E1733">
        <v>15</v>
      </c>
      <c r="F1733" t="s">
        <v>2198</v>
      </c>
      <c r="G1733">
        <v>2022</v>
      </c>
      <c r="H1733" t="s">
        <v>2362</v>
      </c>
      <c r="I1733" t="s">
        <v>212</v>
      </c>
      <c r="J1733">
        <v>799</v>
      </c>
      <c r="K1733">
        <v>205</v>
      </c>
      <c r="L1733">
        <f t="shared" si="452"/>
        <v>594</v>
      </c>
      <c r="M1733">
        <v>240</v>
      </c>
      <c r="N1733">
        <f t="shared" si="453"/>
        <v>354</v>
      </c>
    </row>
    <row r="1734" spans="1:14" x14ac:dyDescent="0.2">
      <c r="A1734" t="s">
        <v>2363</v>
      </c>
      <c r="B1734" s="1" t="s">
        <v>2334</v>
      </c>
      <c r="C1734" t="s">
        <v>14</v>
      </c>
      <c r="D1734" t="s">
        <v>893</v>
      </c>
      <c r="E1734">
        <v>14</v>
      </c>
      <c r="F1734" t="s">
        <v>2198</v>
      </c>
      <c r="G1734">
        <v>2022</v>
      </c>
      <c r="H1734" t="s">
        <v>157</v>
      </c>
      <c r="I1734" t="s">
        <v>97</v>
      </c>
      <c r="J1734">
        <v>849</v>
      </c>
      <c r="K1734">
        <v>250</v>
      </c>
      <c r="L1734">
        <f t="shared" si="452"/>
        <v>599</v>
      </c>
      <c r="M1734">
        <v>240</v>
      </c>
      <c r="N1734">
        <f t="shared" si="453"/>
        <v>359</v>
      </c>
    </row>
    <row r="1735" spans="1:14" x14ac:dyDescent="0.2">
      <c r="A1735" t="s">
        <v>2364</v>
      </c>
      <c r="B1735" s="1" t="s">
        <v>2334</v>
      </c>
      <c r="C1735" t="s">
        <v>14</v>
      </c>
      <c r="D1735" t="s">
        <v>1539</v>
      </c>
      <c r="E1735">
        <v>14</v>
      </c>
      <c r="F1735" t="s">
        <v>2198</v>
      </c>
      <c r="G1735">
        <v>2022</v>
      </c>
      <c r="H1735" t="s">
        <v>84</v>
      </c>
      <c r="I1735" t="s">
        <v>85</v>
      </c>
      <c r="J1735">
        <v>799</v>
      </c>
      <c r="K1735">
        <v>205</v>
      </c>
      <c r="L1735">
        <f t="shared" si="452"/>
        <v>594</v>
      </c>
      <c r="M1735">
        <v>240</v>
      </c>
      <c r="N1735">
        <f t="shared" si="453"/>
        <v>354</v>
      </c>
    </row>
    <row r="1736" spans="1:14" x14ac:dyDescent="0.2">
      <c r="A1736" t="s">
        <v>2365</v>
      </c>
      <c r="B1736" s="1" t="s">
        <v>2355</v>
      </c>
      <c r="C1736" t="s">
        <v>14</v>
      </c>
      <c r="D1736" t="s">
        <v>2366</v>
      </c>
      <c r="E1736">
        <v>15</v>
      </c>
      <c r="F1736" t="s">
        <v>2198</v>
      </c>
      <c r="G1736">
        <v>2022</v>
      </c>
      <c r="H1736" t="s">
        <v>2367</v>
      </c>
      <c r="I1736" t="s">
        <v>135</v>
      </c>
      <c r="J1736">
        <v>799</v>
      </c>
      <c r="K1736">
        <v>205</v>
      </c>
      <c r="L1736">
        <f t="shared" si="452"/>
        <v>594</v>
      </c>
      <c r="M1736">
        <v>240</v>
      </c>
      <c r="N1736">
        <f t="shared" si="453"/>
        <v>354</v>
      </c>
    </row>
    <row r="1737" spans="1:14" x14ac:dyDescent="0.2">
      <c r="A1737" t="s">
        <v>2368</v>
      </c>
      <c r="B1737" s="1" t="s">
        <v>2355</v>
      </c>
      <c r="C1737" t="s">
        <v>14</v>
      </c>
      <c r="D1737" t="s">
        <v>798</v>
      </c>
      <c r="E1737">
        <v>15</v>
      </c>
      <c r="F1737" t="s">
        <v>2198</v>
      </c>
      <c r="G1737">
        <v>2022</v>
      </c>
      <c r="H1737" t="s">
        <v>162</v>
      </c>
      <c r="I1737" t="s">
        <v>163</v>
      </c>
      <c r="J1737">
        <v>759.05</v>
      </c>
      <c r="K1737">
        <v>202</v>
      </c>
      <c r="L1737">
        <f t="shared" si="452"/>
        <v>557.04999999999995</v>
      </c>
      <c r="M1737">
        <v>240</v>
      </c>
      <c r="N1737">
        <f t="shared" si="453"/>
        <v>317.04999999999995</v>
      </c>
    </row>
    <row r="1738" spans="1:14" x14ac:dyDescent="0.2">
      <c r="A1738" t="s">
        <v>2369</v>
      </c>
      <c r="B1738" s="1" t="s">
        <v>2355</v>
      </c>
      <c r="C1738" t="s">
        <v>14</v>
      </c>
      <c r="D1738" t="s">
        <v>2152</v>
      </c>
      <c r="E1738">
        <v>15</v>
      </c>
      <c r="F1738" t="s">
        <v>2198</v>
      </c>
      <c r="G1738">
        <v>2022</v>
      </c>
      <c r="H1738" t="s">
        <v>170</v>
      </c>
      <c r="I1738" t="s">
        <v>171</v>
      </c>
      <c r="J1738">
        <v>799</v>
      </c>
      <c r="K1738">
        <v>205</v>
      </c>
      <c r="L1738">
        <f t="shared" si="452"/>
        <v>594</v>
      </c>
      <c r="M1738">
        <v>240</v>
      </c>
      <c r="N1738">
        <f t="shared" si="453"/>
        <v>354</v>
      </c>
    </row>
    <row r="1739" spans="1:14" x14ac:dyDescent="0.2">
      <c r="A1739" t="s">
        <v>2370</v>
      </c>
      <c r="B1739" s="1" t="s">
        <v>2334</v>
      </c>
      <c r="C1739" t="s">
        <v>14</v>
      </c>
      <c r="D1739" t="s">
        <v>81</v>
      </c>
      <c r="E1739">
        <v>14</v>
      </c>
      <c r="F1739" t="s">
        <v>2198</v>
      </c>
      <c r="G1739">
        <v>2022</v>
      </c>
      <c r="H1739" t="s">
        <v>170</v>
      </c>
      <c r="I1739" t="s">
        <v>171</v>
      </c>
      <c r="J1739">
        <v>806.55</v>
      </c>
      <c r="K1739">
        <v>227</v>
      </c>
      <c r="L1739">
        <f t="shared" si="452"/>
        <v>579.54999999999995</v>
      </c>
      <c r="M1739">
        <v>240</v>
      </c>
      <c r="N1739">
        <f t="shared" si="453"/>
        <v>339.54999999999995</v>
      </c>
    </row>
    <row r="1740" spans="1:14" x14ac:dyDescent="0.2">
      <c r="A1740" t="s">
        <v>2371</v>
      </c>
      <c r="B1740" s="1" t="s">
        <v>2334</v>
      </c>
      <c r="C1740" t="s">
        <v>14</v>
      </c>
      <c r="D1740" t="s">
        <v>81</v>
      </c>
      <c r="E1740">
        <v>14</v>
      </c>
      <c r="F1740" t="s">
        <v>2198</v>
      </c>
      <c r="G1740">
        <v>2022</v>
      </c>
      <c r="H1740" t="s">
        <v>2303</v>
      </c>
      <c r="I1740" t="s">
        <v>62</v>
      </c>
      <c r="J1740">
        <v>806.55</v>
      </c>
      <c r="K1740">
        <v>227</v>
      </c>
      <c r="L1740">
        <f t="shared" si="452"/>
        <v>579.54999999999995</v>
      </c>
      <c r="M1740">
        <v>240</v>
      </c>
      <c r="N1740">
        <f t="shared" si="453"/>
        <v>339.54999999999995</v>
      </c>
    </row>
    <row r="1741" spans="1:14" x14ac:dyDescent="0.2">
      <c r="A1741" t="s">
        <v>2372</v>
      </c>
      <c r="B1741" s="1" t="s">
        <v>2355</v>
      </c>
      <c r="C1741" t="s">
        <v>14</v>
      </c>
      <c r="D1741" t="s">
        <v>1486</v>
      </c>
      <c r="E1741">
        <v>15</v>
      </c>
      <c r="F1741" t="s">
        <v>2198</v>
      </c>
      <c r="G1741">
        <v>2022</v>
      </c>
      <c r="H1741" t="s">
        <v>314</v>
      </c>
      <c r="I1741" t="s">
        <v>58</v>
      </c>
      <c r="J1741">
        <v>949.05</v>
      </c>
      <c r="K1741">
        <v>306</v>
      </c>
      <c r="L1741">
        <f t="shared" si="452"/>
        <v>643.04999999999995</v>
      </c>
      <c r="M1741">
        <v>240</v>
      </c>
      <c r="N1741">
        <f t="shared" si="453"/>
        <v>403.04999999999995</v>
      </c>
    </row>
    <row r="1742" spans="1:14" x14ac:dyDescent="0.2">
      <c r="A1742" t="s">
        <v>2373</v>
      </c>
      <c r="B1742" s="1" t="s">
        <v>2355</v>
      </c>
      <c r="C1742" t="s">
        <v>14</v>
      </c>
      <c r="D1742" t="s">
        <v>308</v>
      </c>
      <c r="E1742">
        <v>15</v>
      </c>
      <c r="F1742" t="s">
        <v>2198</v>
      </c>
      <c r="G1742">
        <v>2022</v>
      </c>
      <c r="H1742" t="s">
        <v>1137</v>
      </c>
      <c r="I1742" t="s">
        <v>58</v>
      </c>
      <c r="J1742">
        <v>899</v>
      </c>
      <c r="K1742">
        <v>295</v>
      </c>
      <c r="L1742">
        <f t="shared" si="452"/>
        <v>604</v>
      </c>
      <c r="M1742">
        <v>240</v>
      </c>
      <c r="N1742">
        <f t="shared" si="453"/>
        <v>364</v>
      </c>
    </row>
    <row r="1743" spans="1:14" x14ac:dyDescent="0.2">
      <c r="A1743" t="s">
        <v>2374</v>
      </c>
      <c r="B1743" s="1" t="s">
        <v>2355</v>
      </c>
      <c r="C1743" t="s">
        <v>14</v>
      </c>
      <c r="D1743" t="s">
        <v>380</v>
      </c>
      <c r="E1743">
        <v>15</v>
      </c>
      <c r="F1743" t="s">
        <v>2198</v>
      </c>
      <c r="G1743">
        <v>2022</v>
      </c>
      <c r="H1743" t="s">
        <v>2375</v>
      </c>
      <c r="I1743" t="s">
        <v>28</v>
      </c>
      <c r="J1743">
        <v>849</v>
      </c>
      <c r="K1743">
        <v>250</v>
      </c>
      <c r="L1743">
        <f t="shared" si="452"/>
        <v>599</v>
      </c>
      <c r="M1743">
        <v>240</v>
      </c>
      <c r="N1743">
        <f t="shared" si="453"/>
        <v>359</v>
      </c>
    </row>
    <row r="1744" spans="1:14" x14ac:dyDescent="0.2">
      <c r="A1744" t="s">
        <v>2376</v>
      </c>
      <c r="B1744" s="1" t="s">
        <v>2355</v>
      </c>
      <c r="C1744" t="s">
        <v>14</v>
      </c>
      <c r="D1744" t="s">
        <v>308</v>
      </c>
      <c r="E1744">
        <v>15</v>
      </c>
      <c r="F1744" t="s">
        <v>2198</v>
      </c>
      <c r="G1744">
        <v>2022</v>
      </c>
      <c r="H1744" t="s">
        <v>2359</v>
      </c>
      <c r="I1744" t="s">
        <v>212</v>
      </c>
      <c r="J1744">
        <v>854.05</v>
      </c>
      <c r="K1744">
        <v>270</v>
      </c>
      <c r="L1744">
        <f t="shared" si="452"/>
        <v>584.04999999999995</v>
      </c>
      <c r="M1744">
        <v>240</v>
      </c>
      <c r="N1744">
        <f t="shared" si="453"/>
        <v>344.04999999999995</v>
      </c>
    </row>
    <row r="1745" spans="1:14" x14ac:dyDescent="0.2">
      <c r="A1745" t="s">
        <v>2377</v>
      </c>
      <c r="B1745" s="1" t="s">
        <v>2355</v>
      </c>
      <c r="C1745" t="s">
        <v>14</v>
      </c>
      <c r="D1745" t="s">
        <v>308</v>
      </c>
      <c r="E1745">
        <v>15</v>
      </c>
      <c r="F1745" t="s">
        <v>2198</v>
      </c>
      <c r="G1745">
        <v>2022</v>
      </c>
      <c r="H1745" t="s">
        <v>2378</v>
      </c>
      <c r="I1745" t="s">
        <v>135</v>
      </c>
      <c r="J1745">
        <v>854.05</v>
      </c>
      <c r="K1745">
        <v>270</v>
      </c>
      <c r="L1745">
        <f t="shared" si="452"/>
        <v>584.04999999999995</v>
      </c>
      <c r="M1745">
        <v>240</v>
      </c>
      <c r="N1745">
        <f t="shared" si="453"/>
        <v>344.04999999999995</v>
      </c>
    </row>
    <row r="1746" spans="1:14" x14ac:dyDescent="0.2">
      <c r="A1746" t="s">
        <v>2379</v>
      </c>
      <c r="B1746" s="1" t="s">
        <v>2355</v>
      </c>
      <c r="C1746" t="s">
        <v>14</v>
      </c>
      <c r="D1746" t="s">
        <v>1556</v>
      </c>
      <c r="E1746">
        <v>15</v>
      </c>
      <c r="F1746" t="s">
        <v>2198</v>
      </c>
      <c r="G1746">
        <v>2022</v>
      </c>
      <c r="H1746" t="s">
        <v>101</v>
      </c>
      <c r="I1746" t="s">
        <v>62</v>
      </c>
      <c r="J1746">
        <v>899</v>
      </c>
      <c r="K1746">
        <v>295</v>
      </c>
      <c r="L1746">
        <f t="shared" si="452"/>
        <v>604</v>
      </c>
      <c r="M1746">
        <v>240</v>
      </c>
      <c r="N1746">
        <f t="shared" si="453"/>
        <v>364</v>
      </c>
    </row>
    <row r="1747" spans="1:14" x14ac:dyDescent="0.2">
      <c r="A1747" t="s">
        <v>2380</v>
      </c>
      <c r="B1747" s="1" t="s">
        <v>2355</v>
      </c>
      <c r="C1747" t="s">
        <v>14</v>
      </c>
      <c r="D1747" t="s">
        <v>169</v>
      </c>
      <c r="E1747">
        <v>15</v>
      </c>
      <c r="F1747" t="s">
        <v>2198</v>
      </c>
      <c r="G1747">
        <v>2022</v>
      </c>
      <c r="H1747" t="s">
        <v>84</v>
      </c>
      <c r="I1747" t="s">
        <v>85</v>
      </c>
      <c r="J1747">
        <v>799</v>
      </c>
      <c r="K1747">
        <v>205</v>
      </c>
      <c r="L1747">
        <f t="shared" si="452"/>
        <v>594</v>
      </c>
      <c r="M1747">
        <v>240</v>
      </c>
      <c r="N1747">
        <f t="shared" si="453"/>
        <v>354</v>
      </c>
    </row>
    <row r="1748" spans="1:14" x14ac:dyDescent="0.2">
      <c r="A1748" t="s">
        <v>2381</v>
      </c>
      <c r="B1748" s="1" t="s">
        <v>2355</v>
      </c>
      <c r="C1748" t="s">
        <v>14</v>
      </c>
      <c r="D1748" t="s">
        <v>425</v>
      </c>
      <c r="E1748">
        <v>15</v>
      </c>
      <c r="F1748" t="s">
        <v>2198</v>
      </c>
      <c r="G1748">
        <v>2022</v>
      </c>
      <c r="H1748" t="s">
        <v>2382</v>
      </c>
      <c r="I1748" t="s">
        <v>58</v>
      </c>
      <c r="J1748">
        <v>799</v>
      </c>
      <c r="K1748">
        <v>205</v>
      </c>
      <c r="L1748">
        <f t="shared" si="452"/>
        <v>594</v>
      </c>
      <c r="M1748">
        <v>240</v>
      </c>
      <c r="N1748">
        <f t="shared" si="453"/>
        <v>354</v>
      </c>
    </row>
    <row r="1749" spans="1:14" x14ac:dyDescent="0.2">
      <c r="A1749" t="s">
        <v>2383</v>
      </c>
      <c r="B1749" s="1" t="s">
        <v>2355</v>
      </c>
      <c r="C1749" t="s">
        <v>14</v>
      </c>
      <c r="D1749" t="s">
        <v>1228</v>
      </c>
      <c r="E1749">
        <v>15</v>
      </c>
      <c r="F1749" t="s">
        <v>2198</v>
      </c>
      <c r="G1749">
        <v>2022</v>
      </c>
      <c r="H1749" t="s">
        <v>641</v>
      </c>
      <c r="I1749" t="s">
        <v>122</v>
      </c>
      <c r="J1749">
        <v>759.05</v>
      </c>
      <c r="K1749">
        <v>202</v>
      </c>
      <c r="L1749">
        <f t="shared" si="452"/>
        <v>557.04999999999995</v>
      </c>
      <c r="M1749">
        <v>240</v>
      </c>
      <c r="N1749">
        <f t="shared" si="453"/>
        <v>317.04999999999995</v>
      </c>
    </row>
    <row r="1750" spans="1:14" x14ac:dyDescent="0.2">
      <c r="A1750" t="s">
        <v>2286</v>
      </c>
      <c r="B1750" s="1" t="s">
        <v>2262</v>
      </c>
      <c r="C1750" t="s">
        <v>106</v>
      </c>
      <c r="D1750" t="s">
        <v>1508</v>
      </c>
      <c r="E1750">
        <v>9</v>
      </c>
      <c r="F1750" t="s">
        <v>2198</v>
      </c>
      <c r="G1750">
        <v>2022</v>
      </c>
      <c r="H1750" t="s">
        <v>2287</v>
      </c>
      <c r="I1750" t="s">
        <v>163</v>
      </c>
      <c r="J1750">
        <v>-999</v>
      </c>
      <c r="K1750">
        <v>395</v>
      </c>
      <c r="L1750">
        <f t="shared" ref="L1750:L1752" si="454">J1750+K1750</f>
        <v>-604</v>
      </c>
      <c r="M1750">
        <v>240</v>
      </c>
      <c r="N1750">
        <f t="shared" ref="N1750:N1752" si="455">L1750+M1750</f>
        <v>-364</v>
      </c>
    </row>
    <row r="1751" spans="1:14" x14ac:dyDescent="0.2">
      <c r="A1751" t="s">
        <v>2244</v>
      </c>
      <c r="B1751" s="1" t="s">
        <v>2242</v>
      </c>
      <c r="C1751" t="s">
        <v>106</v>
      </c>
      <c r="D1751" t="s">
        <v>573</v>
      </c>
      <c r="E1751">
        <v>6</v>
      </c>
      <c r="F1751" t="s">
        <v>2198</v>
      </c>
      <c r="G1751">
        <v>2022</v>
      </c>
      <c r="H1751" t="s">
        <v>193</v>
      </c>
      <c r="I1751" t="s">
        <v>62</v>
      </c>
      <c r="J1751">
        <v>-899</v>
      </c>
      <c r="K1751">
        <v>375</v>
      </c>
      <c r="L1751">
        <f t="shared" si="454"/>
        <v>-524</v>
      </c>
      <c r="M1751">
        <v>240</v>
      </c>
      <c r="N1751">
        <f t="shared" si="455"/>
        <v>-284</v>
      </c>
    </row>
    <row r="1752" spans="1:14" x14ac:dyDescent="0.2">
      <c r="A1752" t="s">
        <v>2302</v>
      </c>
      <c r="B1752" s="1" t="s">
        <v>2297</v>
      </c>
      <c r="C1752" t="s">
        <v>106</v>
      </c>
      <c r="D1752" t="s">
        <v>70</v>
      </c>
      <c r="E1752">
        <v>11</v>
      </c>
      <c r="F1752" t="s">
        <v>2198</v>
      </c>
      <c r="G1752">
        <v>2022</v>
      </c>
      <c r="H1752" t="s">
        <v>2303</v>
      </c>
      <c r="I1752" t="s">
        <v>62</v>
      </c>
      <c r="J1752">
        <v>-849</v>
      </c>
      <c r="K1752">
        <v>345</v>
      </c>
      <c r="L1752">
        <f t="shared" si="454"/>
        <v>-504</v>
      </c>
      <c r="M1752">
        <v>240</v>
      </c>
      <c r="N1752">
        <f t="shared" si="455"/>
        <v>-264</v>
      </c>
    </row>
    <row r="1753" spans="1:14" x14ac:dyDescent="0.2">
      <c r="A1753" t="s">
        <v>2385</v>
      </c>
      <c r="B1753" s="1" t="s">
        <v>2384</v>
      </c>
      <c r="C1753" t="s">
        <v>14</v>
      </c>
      <c r="D1753" t="s">
        <v>809</v>
      </c>
      <c r="E1753">
        <v>16</v>
      </c>
      <c r="F1753" t="s">
        <v>2198</v>
      </c>
      <c r="G1753">
        <v>2022</v>
      </c>
      <c r="H1753" t="s">
        <v>104</v>
      </c>
      <c r="I1753" t="s">
        <v>62</v>
      </c>
      <c r="J1753">
        <v>949.05</v>
      </c>
      <c r="K1753">
        <v>306</v>
      </c>
      <c r="L1753">
        <f t="shared" ref="L1753:L1766" si="456">J1753-K1753</f>
        <v>643.04999999999995</v>
      </c>
      <c r="M1753">
        <v>240</v>
      </c>
      <c r="N1753">
        <f t="shared" ref="N1753:N1766" si="457">L1753-M1753</f>
        <v>403.04999999999995</v>
      </c>
    </row>
    <row r="1754" spans="1:14" x14ac:dyDescent="0.2">
      <c r="A1754" t="s">
        <v>2386</v>
      </c>
      <c r="B1754" s="1" t="s">
        <v>2384</v>
      </c>
      <c r="C1754" t="s">
        <v>14</v>
      </c>
      <c r="D1754" t="s">
        <v>809</v>
      </c>
      <c r="E1754">
        <v>16</v>
      </c>
      <c r="F1754" t="s">
        <v>2198</v>
      </c>
      <c r="G1754">
        <v>2022</v>
      </c>
      <c r="H1754" t="s">
        <v>157</v>
      </c>
      <c r="I1754" t="s">
        <v>97</v>
      </c>
      <c r="J1754">
        <v>999</v>
      </c>
      <c r="K1754">
        <v>325</v>
      </c>
      <c r="L1754">
        <f t="shared" si="456"/>
        <v>674</v>
      </c>
      <c r="M1754">
        <v>240</v>
      </c>
      <c r="N1754">
        <f t="shared" si="457"/>
        <v>434</v>
      </c>
    </row>
    <row r="1755" spans="1:14" x14ac:dyDescent="0.2">
      <c r="A1755" t="s">
        <v>2387</v>
      </c>
      <c r="B1755" s="1" t="s">
        <v>2384</v>
      </c>
      <c r="C1755" t="s">
        <v>14</v>
      </c>
      <c r="D1755" t="s">
        <v>1037</v>
      </c>
      <c r="E1755">
        <v>16</v>
      </c>
      <c r="F1755" t="s">
        <v>2198</v>
      </c>
      <c r="G1755">
        <v>2022</v>
      </c>
      <c r="H1755" t="s">
        <v>2388</v>
      </c>
      <c r="I1755" t="s">
        <v>144</v>
      </c>
      <c r="J1755">
        <v>799</v>
      </c>
      <c r="K1755">
        <v>205</v>
      </c>
      <c r="L1755">
        <f t="shared" si="456"/>
        <v>594</v>
      </c>
      <c r="M1755">
        <v>240</v>
      </c>
      <c r="N1755">
        <f t="shared" si="457"/>
        <v>354</v>
      </c>
    </row>
    <row r="1756" spans="1:14" x14ac:dyDescent="0.2">
      <c r="A1756" t="s">
        <v>2389</v>
      </c>
      <c r="B1756" s="1" t="s">
        <v>2384</v>
      </c>
      <c r="C1756" t="s">
        <v>14</v>
      </c>
      <c r="D1756" t="s">
        <v>169</v>
      </c>
      <c r="E1756">
        <v>16</v>
      </c>
      <c r="F1756" t="s">
        <v>2198</v>
      </c>
      <c r="G1756">
        <v>2022</v>
      </c>
      <c r="H1756" t="s">
        <v>1159</v>
      </c>
      <c r="I1756" t="s">
        <v>85</v>
      </c>
      <c r="J1756">
        <v>759.05</v>
      </c>
      <c r="K1756">
        <v>202</v>
      </c>
      <c r="L1756">
        <f t="shared" si="456"/>
        <v>557.04999999999995</v>
      </c>
      <c r="M1756">
        <v>240</v>
      </c>
      <c r="N1756">
        <f t="shared" si="457"/>
        <v>317.04999999999995</v>
      </c>
    </row>
    <row r="1757" spans="1:14" x14ac:dyDescent="0.2">
      <c r="A1757" t="s">
        <v>2390</v>
      </c>
      <c r="B1757" s="1" t="s">
        <v>2384</v>
      </c>
      <c r="C1757" t="s">
        <v>14</v>
      </c>
      <c r="D1757" t="s">
        <v>840</v>
      </c>
      <c r="E1757">
        <v>16</v>
      </c>
      <c r="F1757" t="s">
        <v>2198</v>
      </c>
      <c r="G1757">
        <v>2022</v>
      </c>
      <c r="H1757" t="s">
        <v>193</v>
      </c>
      <c r="I1757" t="s">
        <v>62</v>
      </c>
      <c r="J1757">
        <v>999</v>
      </c>
      <c r="K1757">
        <v>325</v>
      </c>
      <c r="L1757">
        <f t="shared" si="456"/>
        <v>674</v>
      </c>
      <c r="M1757">
        <v>240</v>
      </c>
      <c r="N1757">
        <f t="shared" si="457"/>
        <v>434</v>
      </c>
    </row>
    <row r="1758" spans="1:14" x14ac:dyDescent="0.2">
      <c r="A1758" t="s">
        <v>2391</v>
      </c>
      <c r="B1758" s="1" t="s">
        <v>2384</v>
      </c>
      <c r="C1758" t="s">
        <v>14</v>
      </c>
      <c r="D1758" t="s">
        <v>308</v>
      </c>
      <c r="E1758">
        <v>16</v>
      </c>
      <c r="F1758" t="s">
        <v>2198</v>
      </c>
      <c r="G1758">
        <v>2022</v>
      </c>
      <c r="H1758" t="s">
        <v>2336</v>
      </c>
      <c r="I1758" t="s">
        <v>62</v>
      </c>
      <c r="J1758">
        <v>899</v>
      </c>
      <c r="K1758">
        <v>295</v>
      </c>
      <c r="L1758">
        <f t="shared" si="456"/>
        <v>604</v>
      </c>
      <c r="M1758">
        <v>240</v>
      </c>
      <c r="N1758">
        <f t="shared" si="457"/>
        <v>364</v>
      </c>
    </row>
    <row r="1759" spans="1:14" x14ac:dyDescent="0.2">
      <c r="A1759" t="s">
        <v>2392</v>
      </c>
      <c r="B1759" s="1" t="s">
        <v>2384</v>
      </c>
      <c r="C1759" t="s">
        <v>14</v>
      </c>
      <c r="D1759" t="s">
        <v>895</v>
      </c>
      <c r="E1759">
        <v>16</v>
      </c>
      <c r="F1759" t="s">
        <v>2198</v>
      </c>
      <c r="G1759">
        <v>2022</v>
      </c>
      <c r="H1759" t="s">
        <v>2393</v>
      </c>
      <c r="I1759" t="s">
        <v>19</v>
      </c>
      <c r="J1759">
        <v>849</v>
      </c>
      <c r="K1759">
        <v>250</v>
      </c>
      <c r="L1759">
        <f t="shared" si="456"/>
        <v>599</v>
      </c>
      <c r="M1759">
        <v>240</v>
      </c>
      <c r="N1759">
        <f t="shared" si="457"/>
        <v>359</v>
      </c>
    </row>
    <row r="1760" spans="1:14" x14ac:dyDescent="0.2">
      <c r="A1760" t="s">
        <v>2394</v>
      </c>
      <c r="B1760" s="1" t="s">
        <v>2384</v>
      </c>
      <c r="C1760" t="s">
        <v>14</v>
      </c>
      <c r="D1760" t="s">
        <v>117</v>
      </c>
      <c r="E1760">
        <v>16</v>
      </c>
      <c r="F1760" t="s">
        <v>2198</v>
      </c>
      <c r="G1760">
        <v>2022</v>
      </c>
      <c r="H1760" t="s">
        <v>246</v>
      </c>
      <c r="I1760" t="s">
        <v>58</v>
      </c>
      <c r="J1760">
        <v>854.05</v>
      </c>
      <c r="K1760">
        <v>270</v>
      </c>
      <c r="L1760">
        <f t="shared" si="456"/>
        <v>584.04999999999995</v>
      </c>
      <c r="M1760">
        <v>240</v>
      </c>
      <c r="N1760">
        <f t="shared" si="457"/>
        <v>344.04999999999995</v>
      </c>
    </row>
    <row r="1761" spans="1:14" x14ac:dyDescent="0.2">
      <c r="A1761" t="s">
        <v>2395</v>
      </c>
      <c r="B1761" s="1" t="s">
        <v>2384</v>
      </c>
      <c r="C1761" t="s">
        <v>14</v>
      </c>
      <c r="D1761" t="s">
        <v>1338</v>
      </c>
      <c r="E1761">
        <v>16</v>
      </c>
      <c r="F1761" t="s">
        <v>2198</v>
      </c>
      <c r="G1761">
        <v>2022</v>
      </c>
      <c r="H1761" t="s">
        <v>2396</v>
      </c>
      <c r="I1761" t="s">
        <v>455</v>
      </c>
      <c r="J1761">
        <v>799</v>
      </c>
      <c r="K1761">
        <v>205</v>
      </c>
      <c r="L1761">
        <f t="shared" si="456"/>
        <v>594</v>
      </c>
      <c r="M1761">
        <v>240</v>
      </c>
      <c r="N1761">
        <f t="shared" si="457"/>
        <v>354</v>
      </c>
    </row>
    <row r="1762" spans="1:14" x14ac:dyDescent="0.2">
      <c r="A1762" t="s">
        <v>2397</v>
      </c>
      <c r="B1762" s="1" t="s">
        <v>2384</v>
      </c>
      <c r="C1762" t="s">
        <v>14</v>
      </c>
      <c r="D1762" t="s">
        <v>284</v>
      </c>
      <c r="E1762">
        <v>16</v>
      </c>
      <c r="F1762" t="s">
        <v>2198</v>
      </c>
      <c r="G1762">
        <v>2022</v>
      </c>
      <c r="H1762" t="s">
        <v>2313</v>
      </c>
      <c r="I1762" t="s">
        <v>257</v>
      </c>
      <c r="J1762">
        <v>899</v>
      </c>
      <c r="K1762">
        <v>295</v>
      </c>
      <c r="L1762">
        <f t="shared" si="456"/>
        <v>604</v>
      </c>
      <c r="M1762">
        <v>240</v>
      </c>
      <c r="N1762">
        <f t="shared" si="457"/>
        <v>364</v>
      </c>
    </row>
    <row r="1763" spans="1:14" x14ac:dyDescent="0.2">
      <c r="A1763" t="s">
        <v>2398</v>
      </c>
      <c r="B1763" s="1" t="s">
        <v>2384</v>
      </c>
      <c r="C1763" t="s">
        <v>14</v>
      </c>
      <c r="D1763" t="s">
        <v>573</v>
      </c>
      <c r="E1763">
        <v>16</v>
      </c>
      <c r="F1763" t="s">
        <v>2198</v>
      </c>
      <c r="G1763">
        <v>2022</v>
      </c>
      <c r="H1763" t="s">
        <v>567</v>
      </c>
      <c r="I1763" t="s">
        <v>23</v>
      </c>
      <c r="J1763">
        <v>899</v>
      </c>
      <c r="K1763">
        <v>295</v>
      </c>
      <c r="L1763">
        <f t="shared" si="456"/>
        <v>604</v>
      </c>
      <c r="M1763">
        <v>240</v>
      </c>
      <c r="N1763">
        <f t="shared" si="457"/>
        <v>364</v>
      </c>
    </row>
    <row r="1764" spans="1:14" x14ac:dyDescent="0.2">
      <c r="A1764" t="s">
        <v>2399</v>
      </c>
      <c r="B1764" s="1" t="s">
        <v>2384</v>
      </c>
      <c r="C1764" t="s">
        <v>14</v>
      </c>
      <c r="D1764" t="s">
        <v>308</v>
      </c>
      <c r="E1764">
        <v>16</v>
      </c>
      <c r="F1764" t="s">
        <v>2198</v>
      </c>
      <c r="G1764">
        <v>2022</v>
      </c>
      <c r="H1764" t="s">
        <v>549</v>
      </c>
      <c r="I1764" t="s">
        <v>163</v>
      </c>
      <c r="J1764">
        <v>899</v>
      </c>
      <c r="K1764">
        <v>295</v>
      </c>
      <c r="L1764">
        <f t="shared" si="456"/>
        <v>604</v>
      </c>
      <c r="M1764">
        <v>240</v>
      </c>
      <c r="N1764">
        <f t="shared" si="457"/>
        <v>364</v>
      </c>
    </row>
    <row r="1765" spans="1:14" x14ac:dyDescent="0.2">
      <c r="A1765" t="s">
        <v>2400</v>
      </c>
      <c r="B1765" s="1" t="s">
        <v>2384</v>
      </c>
      <c r="C1765" t="s">
        <v>14</v>
      </c>
      <c r="D1765" t="s">
        <v>915</v>
      </c>
      <c r="E1765">
        <v>16</v>
      </c>
      <c r="F1765" t="s">
        <v>2198</v>
      </c>
      <c r="G1765">
        <v>2022</v>
      </c>
      <c r="H1765" t="s">
        <v>2401</v>
      </c>
      <c r="I1765" t="s">
        <v>62</v>
      </c>
      <c r="J1765">
        <v>799</v>
      </c>
      <c r="K1765">
        <v>205</v>
      </c>
      <c r="L1765">
        <f t="shared" si="456"/>
        <v>594</v>
      </c>
      <c r="M1765">
        <v>240</v>
      </c>
      <c r="N1765">
        <f t="shared" si="457"/>
        <v>354</v>
      </c>
    </row>
    <row r="1766" spans="1:14" x14ac:dyDescent="0.2">
      <c r="A1766" t="s">
        <v>2402</v>
      </c>
      <c r="B1766" s="1" t="s">
        <v>2384</v>
      </c>
      <c r="C1766" t="s">
        <v>14</v>
      </c>
      <c r="D1766" t="s">
        <v>2403</v>
      </c>
      <c r="E1766">
        <v>16</v>
      </c>
      <c r="F1766" t="s">
        <v>2198</v>
      </c>
      <c r="G1766">
        <v>2022</v>
      </c>
      <c r="H1766" t="s">
        <v>2234</v>
      </c>
      <c r="I1766" t="s">
        <v>257</v>
      </c>
      <c r="J1766">
        <v>1598</v>
      </c>
      <c r="K1766">
        <v>365</v>
      </c>
      <c r="L1766">
        <f t="shared" si="456"/>
        <v>1233</v>
      </c>
      <c r="M1766">
        <v>240</v>
      </c>
      <c r="N1766">
        <f t="shared" si="457"/>
        <v>993</v>
      </c>
    </row>
    <row r="1767" spans="1:14" x14ac:dyDescent="0.2">
      <c r="A1767" t="s">
        <v>2405</v>
      </c>
      <c r="B1767" s="1" t="s">
        <v>2404</v>
      </c>
      <c r="C1767" t="s">
        <v>43</v>
      </c>
      <c r="D1767" t="s">
        <v>1303</v>
      </c>
      <c r="E1767">
        <v>17</v>
      </c>
      <c r="F1767" t="s">
        <v>2198</v>
      </c>
      <c r="G1767">
        <v>2022</v>
      </c>
      <c r="H1767" t="s">
        <v>157</v>
      </c>
      <c r="I1767" t="s">
        <v>97</v>
      </c>
      <c r="J1767">
        <v>0</v>
      </c>
      <c r="K1767">
        <v>0</v>
      </c>
      <c r="L1767">
        <v>0</v>
      </c>
      <c r="M1767">
        <v>0</v>
      </c>
      <c r="N1767">
        <v>0</v>
      </c>
    </row>
    <row r="1768" spans="1:14" x14ac:dyDescent="0.2">
      <c r="A1768" t="s">
        <v>2250</v>
      </c>
      <c r="B1768" s="1" t="s">
        <v>2242</v>
      </c>
      <c r="C1768" t="s">
        <v>106</v>
      </c>
      <c r="D1768" t="s">
        <v>1002</v>
      </c>
      <c r="E1768">
        <v>6</v>
      </c>
      <c r="F1768" t="s">
        <v>2198</v>
      </c>
      <c r="G1768">
        <v>2022</v>
      </c>
      <c r="H1768" t="s">
        <v>18</v>
      </c>
      <c r="I1768" t="s">
        <v>19</v>
      </c>
      <c r="J1768">
        <v>-849</v>
      </c>
      <c r="K1768">
        <v>345</v>
      </c>
      <c r="L1768">
        <f>J1768+K1768</f>
        <v>-504</v>
      </c>
      <c r="M1768">
        <v>240</v>
      </c>
      <c r="N1768">
        <f>L1768+M1768</f>
        <v>-264</v>
      </c>
    </row>
    <row r="1769" spans="1:14" x14ac:dyDescent="0.2">
      <c r="A1769" t="s">
        <v>2406</v>
      </c>
      <c r="B1769" s="1" t="s">
        <v>2404</v>
      </c>
      <c r="C1769" t="s">
        <v>14</v>
      </c>
      <c r="D1769" t="s">
        <v>895</v>
      </c>
      <c r="E1769">
        <v>17</v>
      </c>
      <c r="F1769" t="s">
        <v>2198</v>
      </c>
      <c r="G1769">
        <v>2022</v>
      </c>
      <c r="H1769" t="s">
        <v>2407</v>
      </c>
      <c r="I1769" t="s">
        <v>85</v>
      </c>
      <c r="J1769">
        <v>849</v>
      </c>
      <c r="K1769">
        <v>250</v>
      </c>
      <c r="L1769">
        <f t="shared" ref="L1769:L1781" si="458">J1769-K1769</f>
        <v>599</v>
      </c>
      <c r="M1769">
        <v>240</v>
      </c>
      <c r="N1769">
        <f t="shared" ref="N1769:N1781" si="459">L1769-M1769</f>
        <v>359</v>
      </c>
    </row>
    <row r="1770" spans="1:14" x14ac:dyDescent="0.2">
      <c r="A1770" t="s">
        <v>2408</v>
      </c>
      <c r="B1770" s="1" t="s">
        <v>2404</v>
      </c>
      <c r="C1770" t="s">
        <v>14</v>
      </c>
      <c r="D1770" t="s">
        <v>2409</v>
      </c>
      <c r="E1770">
        <v>17</v>
      </c>
      <c r="F1770" t="s">
        <v>2198</v>
      </c>
      <c r="G1770">
        <v>2022</v>
      </c>
      <c r="H1770" t="s">
        <v>2410</v>
      </c>
      <c r="I1770" t="s">
        <v>32</v>
      </c>
      <c r="J1770">
        <v>799</v>
      </c>
      <c r="K1770">
        <v>205</v>
      </c>
      <c r="L1770">
        <f t="shared" si="458"/>
        <v>594</v>
      </c>
      <c r="M1770">
        <v>240</v>
      </c>
      <c r="N1770">
        <f t="shared" si="459"/>
        <v>354</v>
      </c>
    </row>
    <row r="1771" spans="1:14" x14ac:dyDescent="0.2">
      <c r="A1771" t="s">
        <v>2411</v>
      </c>
      <c r="B1771" s="1" t="s">
        <v>2404</v>
      </c>
      <c r="C1771" t="s">
        <v>14</v>
      </c>
      <c r="D1771" t="s">
        <v>425</v>
      </c>
      <c r="E1771">
        <v>17</v>
      </c>
      <c r="F1771" t="s">
        <v>2198</v>
      </c>
      <c r="G1771">
        <v>2022</v>
      </c>
      <c r="H1771" t="s">
        <v>866</v>
      </c>
      <c r="I1771" t="s">
        <v>866</v>
      </c>
      <c r="J1771">
        <v>799</v>
      </c>
      <c r="K1771">
        <v>205</v>
      </c>
      <c r="L1771">
        <f t="shared" si="458"/>
        <v>594</v>
      </c>
      <c r="M1771">
        <v>240</v>
      </c>
      <c r="N1771">
        <f t="shared" si="459"/>
        <v>354</v>
      </c>
    </row>
    <row r="1772" spans="1:14" x14ac:dyDescent="0.2">
      <c r="A1772" t="s">
        <v>2412</v>
      </c>
      <c r="B1772" s="1" t="s">
        <v>2404</v>
      </c>
      <c r="C1772" t="s">
        <v>14</v>
      </c>
      <c r="D1772" t="s">
        <v>893</v>
      </c>
      <c r="E1772">
        <v>17</v>
      </c>
      <c r="F1772" t="s">
        <v>2198</v>
      </c>
      <c r="G1772">
        <v>2022</v>
      </c>
      <c r="H1772" t="s">
        <v>2413</v>
      </c>
      <c r="I1772" t="s">
        <v>212</v>
      </c>
      <c r="J1772">
        <v>849</v>
      </c>
      <c r="K1772">
        <v>250</v>
      </c>
      <c r="L1772">
        <f t="shared" si="458"/>
        <v>599</v>
      </c>
      <c r="M1772">
        <v>240</v>
      </c>
      <c r="N1772">
        <f t="shared" si="459"/>
        <v>359</v>
      </c>
    </row>
    <row r="1773" spans="1:14" x14ac:dyDescent="0.2">
      <c r="A1773" t="s">
        <v>2414</v>
      </c>
      <c r="B1773" s="1" t="s">
        <v>2404</v>
      </c>
      <c r="C1773" t="s">
        <v>14</v>
      </c>
      <c r="D1773" t="s">
        <v>1105</v>
      </c>
      <c r="E1773">
        <v>17</v>
      </c>
      <c r="F1773" t="s">
        <v>2198</v>
      </c>
      <c r="G1773">
        <v>2022</v>
      </c>
      <c r="H1773" t="s">
        <v>157</v>
      </c>
      <c r="I1773" t="s">
        <v>97</v>
      </c>
      <c r="J1773">
        <v>849</v>
      </c>
      <c r="K1773">
        <v>250</v>
      </c>
      <c r="L1773">
        <f t="shared" si="458"/>
        <v>599</v>
      </c>
      <c r="M1773">
        <v>240</v>
      </c>
      <c r="N1773">
        <f t="shared" si="459"/>
        <v>359</v>
      </c>
    </row>
    <row r="1774" spans="1:14" x14ac:dyDescent="0.2">
      <c r="A1774" t="s">
        <v>2414</v>
      </c>
      <c r="B1774" s="1" t="s">
        <v>2404</v>
      </c>
      <c r="C1774" t="s">
        <v>14</v>
      </c>
      <c r="D1774" t="s">
        <v>380</v>
      </c>
      <c r="E1774">
        <v>17</v>
      </c>
      <c r="F1774" t="s">
        <v>2198</v>
      </c>
      <c r="G1774">
        <v>2022</v>
      </c>
      <c r="H1774" t="s">
        <v>157</v>
      </c>
      <c r="I1774" t="s">
        <v>97</v>
      </c>
      <c r="J1774">
        <v>849</v>
      </c>
      <c r="K1774">
        <v>250</v>
      </c>
      <c r="L1774">
        <f t="shared" si="458"/>
        <v>599</v>
      </c>
      <c r="M1774">
        <v>240</v>
      </c>
      <c r="N1774">
        <f t="shared" si="459"/>
        <v>359</v>
      </c>
    </row>
    <row r="1775" spans="1:14" x14ac:dyDescent="0.2">
      <c r="A1775" t="s">
        <v>2405</v>
      </c>
      <c r="B1775" s="1" t="s">
        <v>2404</v>
      </c>
      <c r="C1775" t="s">
        <v>14</v>
      </c>
      <c r="D1775" t="s">
        <v>1303</v>
      </c>
      <c r="E1775">
        <v>17</v>
      </c>
      <c r="F1775" t="s">
        <v>2198</v>
      </c>
      <c r="G1775">
        <v>2022</v>
      </c>
      <c r="H1775" t="s">
        <v>157</v>
      </c>
      <c r="I1775" t="s">
        <v>97</v>
      </c>
      <c r="J1775">
        <v>849</v>
      </c>
      <c r="K1775">
        <v>250</v>
      </c>
      <c r="L1775">
        <f t="shared" si="458"/>
        <v>599</v>
      </c>
      <c r="M1775">
        <v>240</v>
      </c>
      <c r="N1775">
        <f t="shared" si="459"/>
        <v>359</v>
      </c>
    </row>
    <row r="1776" spans="1:14" x14ac:dyDescent="0.2">
      <c r="A1776" t="s">
        <v>2414</v>
      </c>
      <c r="B1776" s="1" t="s">
        <v>2404</v>
      </c>
      <c r="C1776" t="s">
        <v>14</v>
      </c>
      <c r="D1776" t="s">
        <v>1448</v>
      </c>
      <c r="E1776">
        <v>17</v>
      </c>
      <c r="F1776" t="s">
        <v>2198</v>
      </c>
      <c r="G1776">
        <v>2022</v>
      </c>
      <c r="H1776" t="s">
        <v>157</v>
      </c>
      <c r="I1776" t="s">
        <v>97</v>
      </c>
      <c r="J1776">
        <v>849</v>
      </c>
      <c r="K1776">
        <v>250</v>
      </c>
      <c r="L1776">
        <f t="shared" si="458"/>
        <v>599</v>
      </c>
      <c r="M1776">
        <v>240</v>
      </c>
      <c r="N1776">
        <f t="shared" si="459"/>
        <v>359</v>
      </c>
    </row>
    <row r="1777" spans="1:14" x14ac:dyDescent="0.2">
      <c r="A1777" t="s">
        <v>2415</v>
      </c>
      <c r="B1777" s="1" t="s">
        <v>2404</v>
      </c>
      <c r="C1777" t="s">
        <v>14</v>
      </c>
      <c r="D1777" t="s">
        <v>452</v>
      </c>
      <c r="E1777">
        <v>17</v>
      </c>
      <c r="F1777" t="s">
        <v>2198</v>
      </c>
      <c r="G1777">
        <v>2022</v>
      </c>
      <c r="H1777" t="s">
        <v>2416</v>
      </c>
      <c r="I1777" t="s">
        <v>85</v>
      </c>
      <c r="J1777">
        <v>759.05</v>
      </c>
      <c r="K1777">
        <v>202</v>
      </c>
      <c r="L1777">
        <f t="shared" si="458"/>
        <v>557.04999999999995</v>
      </c>
      <c r="M1777">
        <v>240</v>
      </c>
      <c r="N1777">
        <f t="shared" si="459"/>
        <v>317.04999999999995</v>
      </c>
    </row>
    <row r="1778" spans="1:14" x14ac:dyDescent="0.2">
      <c r="A1778" t="s">
        <v>2417</v>
      </c>
      <c r="B1778" s="1" t="s">
        <v>2404</v>
      </c>
      <c r="C1778" t="s">
        <v>14</v>
      </c>
      <c r="D1778" t="s">
        <v>379</v>
      </c>
      <c r="E1778">
        <v>17</v>
      </c>
      <c r="F1778" t="s">
        <v>2198</v>
      </c>
      <c r="G1778">
        <v>2022</v>
      </c>
      <c r="H1778" t="s">
        <v>921</v>
      </c>
      <c r="I1778" t="s">
        <v>58</v>
      </c>
      <c r="J1778">
        <v>799</v>
      </c>
      <c r="K1778">
        <v>205</v>
      </c>
      <c r="L1778">
        <f t="shared" si="458"/>
        <v>594</v>
      </c>
      <c r="M1778">
        <v>240</v>
      </c>
      <c r="N1778">
        <f t="shared" si="459"/>
        <v>354</v>
      </c>
    </row>
    <row r="1779" spans="1:14" x14ac:dyDescent="0.2">
      <c r="A1779" t="s">
        <v>2418</v>
      </c>
      <c r="B1779" s="1" t="s">
        <v>2404</v>
      </c>
      <c r="C1779" t="s">
        <v>14</v>
      </c>
      <c r="D1779" t="s">
        <v>169</v>
      </c>
      <c r="E1779">
        <v>17</v>
      </c>
      <c r="F1779" t="s">
        <v>2198</v>
      </c>
      <c r="G1779">
        <v>2022</v>
      </c>
      <c r="H1779" t="s">
        <v>2419</v>
      </c>
      <c r="I1779" t="s">
        <v>28</v>
      </c>
      <c r="J1779">
        <v>799</v>
      </c>
      <c r="K1779">
        <v>205</v>
      </c>
      <c r="L1779">
        <f t="shared" si="458"/>
        <v>594</v>
      </c>
      <c r="M1779">
        <v>240</v>
      </c>
      <c r="N1779">
        <f t="shared" si="459"/>
        <v>354</v>
      </c>
    </row>
    <row r="1780" spans="1:14" x14ac:dyDescent="0.2">
      <c r="A1780" t="s">
        <v>2420</v>
      </c>
      <c r="B1780" s="1" t="s">
        <v>2404</v>
      </c>
      <c r="C1780" t="s">
        <v>14</v>
      </c>
      <c r="D1780" t="s">
        <v>957</v>
      </c>
      <c r="E1780">
        <v>17</v>
      </c>
      <c r="F1780" t="s">
        <v>2198</v>
      </c>
      <c r="G1780">
        <v>2022</v>
      </c>
      <c r="H1780" t="s">
        <v>84</v>
      </c>
      <c r="I1780" t="s">
        <v>85</v>
      </c>
      <c r="J1780">
        <v>799</v>
      </c>
      <c r="K1780">
        <v>205</v>
      </c>
      <c r="L1780">
        <f t="shared" si="458"/>
        <v>594</v>
      </c>
      <c r="M1780">
        <v>240</v>
      </c>
      <c r="N1780">
        <f t="shared" si="459"/>
        <v>354</v>
      </c>
    </row>
    <row r="1781" spans="1:14" x14ac:dyDescent="0.2">
      <c r="A1781" t="s">
        <v>2421</v>
      </c>
      <c r="B1781" s="1" t="s">
        <v>2404</v>
      </c>
      <c r="C1781" t="s">
        <v>14</v>
      </c>
      <c r="D1781" t="s">
        <v>954</v>
      </c>
      <c r="E1781">
        <v>17</v>
      </c>
      <c r="F1781" t="s">
        <v>2198</v>
      </c>
      <c r="G1781">
        <v>2022</v>
      </c>
      <c r="H1781" t="s">
        <v>1718</v>
      </c>
      <c r="I1781" t="s">
        <v>37</v>
      </c>
      <c r="J1781">
        <v>799</v>
      </c>
      <c r="K1781">
        <v>205</v>
      </c>
      <c r="L1781">
        <f t="shared" si="458"/>
        <v>594</v>
      </c>
      <c r="M1781">
        <v>240</v>
      </c>
      <c r="N1781">
        <f t="shared" si="459"/>
        <v>354</v>
      </c>
    </row>
    <row r="1782" spans="1:14" x14ac:dyDescent="0.2">
      <c r="A1782" t="s">
        <v>2422</v>
      </c>
      <c r="B1782" s="1" t="s">
        <v>2404</v>
      </c>
      <c r="C1782" t="s">
        <v>20</v>
      </c>
      <c r="D1782" t="s">
        <v>2327</v>
      </c>
      <c r="E1782">
        <v>17</v>
      </c>
      <c r="F1782" t="s">
        <v>2198</v>
      </c>
      <c r="G1782">
        <v>2022</v>
      </c>
      <c r="H1782" t="s">
        <v>272</v>
      </c>
      <c r="I1782" t="s">
        <v>23</v>
      </c>
      <c r="J1782">
        <v>0</v>
      </c>
      <c r="K1782">
        <v>0</v>
      </c>
      <c r="L1782">
        <v>0</v>
      </c>
      <c r="M1782">
        <v>0</v>
      </c>
      <c r="N1782">
        <v>0</v>
      </c>
    </row>
    <row r="1783" spans="1:14" x14ac:dyDescent="0.2">
      <c r="A1783" t="s">
        <v>2423</v>
      </c>
      <c r="B1783" s="1" t="s">
        <v>2404</v>
      </c>
      <c r="C1783" t="s">
        <v>14</v>
      </c>
      <c r="D1783" t="s">
        <v>954</v>
      </c>
      <c r="E1783">
        <v>17</v>
      </c>
      <c r="F1783" t="s">
        <v>2198</v>
      </c>
      <c r="G1783">
        <v>2022</v>
      </c>
      <c r="H1783" t="s">
        <v>481</v>
      </c>
      <c r="I1783" t="s">
        <v>212</v>
      </c>
      <c r="J1783">
        <v>799</v>
      </c>
      <c r="K1783">
        <v>205</v>
      </c>
      <c r="L1783">
        <f t="shared" ref="L1783:L1784" si="460">J1783-K1783</f>
        <v>594</v>
      </c>
      <c r="M1783">
        <v>240</v>
      </c>
      <c r="N1783">
        <f t="shared" ref="N1783:N1784" si="461">L1783-M1783</f>
        <v>354</v>
      </c>
    </row>
    <row r="1784" spans="1:14" x14ac:dyDescent="0.2">
      <c r="A1784" t="s">
        <v>2424</v>
      </c>
      <c r="B1784" s="1" t="s">
        <v>2404</v>
      </c>
      <c r="C1784" t="s">
        <v>14</v>
      </c>
      <c r="D1784" t="s">
        <v>1002</v>
      </c>
      <c r="E1784">
        <v>17</v>
      </c>
      <c r="F1784" t="s">
        <v>2198</v>
      </c>
      <c r="G1784">
        <v>2022</v>
      </c>
      <c r="H1784" t="s">
        <v>235</v>
      </c>
      <c r="I1784" t="s">
        <v>62</v>
      </c>
      <c r="J1784">
        <v>849</v>
      </c>
      <c r="K1784">
        <v>250</v>
      </c>
      <c r="L1784">
        <f t="shared" si="460"/>
        <v>599</v>
      </c>
      <c r="M1784">
        <v>240</v>
      </c>
      <c r="N1784">
        <f t="shared" si="461"/>
        <v>359</v>
      </c>
    </row>
    <row r="1785" spans="1:14" x14ac:dyDescent="0.2">
      <c r="A1785" t="s">
        <v>2265</v>
      </c>
      <c r="B1785" s="1" t="s">
        <v>2251</v>
      </c>
      <c r="C1785" t="s">
        <v>106</v>
      </c>
      <c r="D1785" t="s">
        <v>2266</v>
      </c>
      <c r="E1785">
        <v>8</v>
      </c>
      <c r="F1785" t="s">
        <v>2198</v>
      </c>
      <c r="G1785">
        <v>2022</v>
      </c>
      <c r="H1785" t="s">
        <v>18</v>
      </c>
      <c r="I1785" t="s">
        <v>19</v>
      </c>
      <c r="J1785">
        <v>-799</v>
      </c>
      <c r="K1785">
        <v>320</v>
      </c>
      <c r="L1785">
        <f>J1785+K1785</f>
        <v>-479</v>
      </c>
      <c r="M1785">
        <v>240</v>
      </c>
      <c r="N1785">
        <f>L1785+M1785</f>
        <v>-239</v>
      </c>
    </row>
    <row r="1786" spans="1:14" x14ac:dyDescent="0.2">
      <c r="A1786" t="s">
        <v>2426</v>
      </c>
      <c r="B1786" s="1" t="s">
        <v>2425</v>
      </c>
      <c r="C1786" t="s">
        <v>43</v>
      </c>
      <c r="D1786" t="s">
        <v>977</v>
      </c>
      <c r="E1786">
        <v>18</v>
      </c>
      <c r="F1786" t="s">
        <v>2198</v>
      </c>
      <c r="G1786">
        <v>2022</v>
      </c>
      <c r="H1786" t="s">
        <v>2427</v>
      </c>
      <c r="I1786" t="s">
        <v>28</v>
      </c>
      <c r="J1786">
        <v>0</v>
      </c>
      <c r="K1786">
        <v>0</v>
      </c>
      <c r="L1786">
        <v>0</v>
      </c>
      <c r="M1786">
        <v>0</v>
      </c>
      <c r="N1786">
        <v>0</v>
      </c>
    </row>
    <row r="1787" spans="1:14" x14ac:dyDescent="0.2">
      <c r="A1787" t="s">
        <v>2428</v>
      </c>
      <c r="B1787" s="1" t="s">
        <v>2404</v>
      </c>
      <c r="C1787" t="s">
        <v>14</v>
      </c>
      <c r="D1787" t="s">
        <v>2429</v>
      </c>
      <c r="E1787">
        <v>17</v>
      </c>
      <c r="F1787" t="s">
        <v>2198</v>
      </c>
      <c r="G1787">
        <v>2022</v>
      </c>
      <c r="H1787" t="s">
        <v>838</v>
      </c>
      <c r="I1787" t="s">
        <v>253</v>
      </c>
      <c r="J1787">
        <v>799</v>
      </c>
      <c r="K1787">
        <v>205</v>
      </c>
      <c r="L1787">
        <f t="shared" ref="L1787:L1788" si="462">J1787-K1787</f>
        <v>594</v>
      </c>
      <c r="M1787">
        <v>240</v>
      </c>
      <c r="N1787">
        <f t="shared" ref="N1787:N1788" si="463">L1787-M1787</f>
        <v>354</v>
      </c>
    </row>
    <row r="1788" spans="1:14" x14ac:dyDescent="0.2">
      <c r="A1788" t="s">
        <v>2431</v>
      </c>
      <c r="B1788" s="1" t="s">
        <v>2430</v>
      </c>
      <c r="C1788" t="s">
        <v>14</v>
      </c>
      <c r="D1788" t="s">
        <v>133</v>
      </c>
      <c r="E1788">
        <v>19</v>
      </c>
      <c r="F1788" t="s">
        <v>2198</v>
      </c>
      <c r="G1788">
        <v>2022</v>
      </c>
      <c r="H1788" t="s">
        <v>2042</v>
      </c>
      <c r="I1788" t="s">
        <v>171</v>
      </c>
      <c r="J1788">
        <v>799</v>
      </c>
      <c r="K1788">
        <v>205</v>
      </c>
      <c r="L1788">
        <f t="shared" si="462"/>
        <v>594</v>
      </c>
      <c r="M1788">
        <v>240</v>
      </c>
      <c r="N1788">
        <f t="shared" si="463"/>
        <v>354</v>
      </c>
    </row>
    <row r="1789" spans="1:14" x14ac:dyDescent="0.2">
      <c r="A1789" t="s">
        <v>2432</v>
      </c>
      <c r="B1789" s="1" t="s">
        <v>2425</v>
      </c>
      <c r="C1789" t="s">
        <v>20</v>
      </c>
      <c r="D1789" t="s">
        <v>117</v>
      </c>
      <c r="E1789">
        <v>18</v>
      </c>
      <c r="F1789" t="s">
        <v>2198</v>
      </c>
      <c r="G1789">
        <v>2022</v>
      </c>
      <c r="H1789" t="s">
        <v>549</v>
      </c>
      <c r="I1789" t="s">
        <v>163</v>
      </c>
      <c r="J1789">
        <v>0</v>
      </c>
      <c r="K1789">
        <v>0</v>
      </c>
      <c r="L1789">
        <v>0</v>
      </c>
      <c r="M1789">
        <v>0</v>
      </c>
      <c r="N1789">
        <v>0</v>
      </c>
    </row>
    <row r="1790" spans="1:14" x14ac:dyDescent="0.2">
      <c r="A1790" t="s">
        <v>2433</v>
      </c>
      <c r="B1790" s="1" t="s">
        <v>2425</v>
      </c>
      <c r="C1790" t="s">
        <v>14</v>
      </c>
      <c r="D1790" t="s">
        <v>881</v>
      </c>
      <c r="E1790">
        <v>18</v>
      </c>
      <c r="F1790" t="s">
        <v>2198</v>
      </c>
      <c r="G1790">
        <v>2022</v>
      </c>
      <c r="H1790" t="s">
        <v>91</v>
      </c>
      <c r="I1790" t="s">
        <v>23</v>
      </c>
      <c r="J1790">
        <v>799</v>
      </c>
      <c r="K1790">
        <v>205</v>
      </c>
      <c r="L1790">
        <f t="shared" ref="L1790:L1793" si="464">J1790-K1790</f>
        <v>594</v>
      </c>
      <c r="M1790">
        <v>240</v>
      </c>
      <c r="N1790">
        <f t="shared" ref="N1790:N1793" si="465">L1790-M1790</f>
        <v>354</v>
      </c>
    </row>
    <row r="1791" spans="1:14" x14ac:dyDescent="0.2">
      <c r="A1791" t="s">
        <v>2434</v>
      </c>
      <c r="B1791" s="1" t="s">
        <v>2425</v>
      </c>
      <c r="C1791" t="s">
        <v>14</v>
      </c>
      <c r="D1791" t="s">
        <v>809</v>
      </c>
      <c r="E1791">
        <v>18</v>
      </c>
      <c r="F1791" t="s">
        <v>2198</v>
      </c>
      <c r="G1791">
        <v>2022</v>
      </c>
      <c r="H1791" t="s">
        <v>2435</v>
      </c>
      <c r="I1791" t="s">
        <v>85</v>
      </c>
      <c r="J1791">
        <v>999</v>
      </c>
      <c r="K1791">
        <v>325</v>
      </c>
      <c r="L1791">
        <f t="shared" si="464"/>
        <v>674</v>
      </c>
      <c r="M1791">
        <v>240</v>
      </c>
      <c r="N1791">
        <f t="shared" si="465"/>
        <v>434</v>
      </c>
    </row>
    <row r="1792" spans="1:14" x14ac:dyDescent="0.2">
      <c r="A1792" t="s">
        <v>2436</v>
      </c>
      <c r="B1792" s="1" t="s">
        <v>2425</v>
      </c>
      <c r="C1792" t="s">
        <v>14</v>
      </c>
      <c r="D1792" t="s">
        <v>812</v>
      </c>
      <c r="E1792">
        <v>18</v>
      </c>
      <c r="F1792" t="s">
        <v>2198</v>
      </c>
      <c r="G1792">
        <v>2022</v>
      </c>
      <c r="H1792" t="s">
        <v>2437</v>
      </c>
      <c r="I1792" t="s">
        <v>23</v>
      </c>
      <c r="J1792">
        <v>949.05</v>
      </c>
      <c r="K1792">
        <v>306</v>
      </c>
      <c r="L1792">
        <f t="shared" si="464"/>
        <v>643.04999999999995</v>
      </c>
      <c r="M1792">
        <v>240</v>
      </c>
      <c r="N1792">
        <f t="shared" si="465"/>
        <v>403.04999999999995</v>
      </c>
    </row>
    <row r="1793" spans="1:14" x14ac:dyDescent="0.2">
      <c r="A1793" t="s">
        <v>2438</v>
      </c>
      <c r="B1793" s="1" t="s">
        <v>2425</v>
      </c>
      <c r="C1793" t="s">
        <v>14</v>
      </c>
      <c r="D1793" t="s">
        <v>2366</v>
      </c>
      <c r="E1793">
        <v>18</v>
      </c>
      <c r="F1793" t="s">
        <v>2198</v>
      </c>
      <c r="G1793">
        <v>2022</v>
      </c>
      <c r="H1793" t="s">
        <v>567</v>
      </c>
      <c r="I1793" t="s">
        <v>23</v>
      </c>
      <c r="J1793">
        <v>799</v>
      </c>
      <c r="K1793">
        <v>205</v>
      </c>
      <c r="L1793">
        <f t="shared" si="464"/>
        <v>594</v>
      </c>
      <c r="M1793">
        <v>240</v>
      </c>
      <c r="N1793">
        <f t="shared" si="465"/>
        <v>354</v>
      </c>
    </row>
    <row r="1794" spans="1:14" x14ac:dyDescent="0.2">
      <c r="A1794" t="s">
        <v>2439</v>
      </c>
      <c r="B1794" s="1" t="s">
        <v>2430</v>
      </c>
      <c r="C1794" t="s">
        <v>43</v>
      </c>
      <c r="D1794" t="s">
        <v>895</v>
      </c>
      <c r="E1794">
        <v>19</v>
      </c>
      <c r="F1794" t="s">
        <v>2198</v>
      </c>
      <c r="G1794">
        <v>2022</v>
      </c>
      <c r="H1794" t="s">
        <v>2440</v>
      </c>
      <c r="I1794" t="s">
        <v>257</v>
      </c>
      <c r="J1794">
        <v>0</v>
      </c>
      <c r="K1794">
        <v>0</v>
      </c>
      <c r="L1794">
        <v>0</v>
      </c>
      <c r="M1794">
        <v>0</v>
      </c>
      <c r="N1794">
        <v>0</v>
      </c>
    </row>
    <row r="1795" spans="1:14" x14ac:dyDescent="0.2">
      <c r="A1795" t="s">
        <v>2330</v>
      </c>
      <c r="B1795" s="1" t="s">
        <v>2319</v>
      </c>
      <c r="C1795" t="s">
        <v>106</v>
      </c>
      <c r="D1795" t="s">
        <v>812</v>
      </c>
      <c r="E1795">
        <v>13</v>
      </c>
      <c r="F1795" t="s">
        <v>2198</v>
      </c>
      <c r="G1795">
        <v>2022</v>
      </c>
      <c r="H1795" t="s">
        <v>2331</v>
      </c>
      <c r="I1795" t="s">
        <v>144</v>
      </c>
      <c r="J1795">
        <v>-999</v>
      </c>
      <c r="K1795">
        <v>395</v>
      </c>
      <c r="L1795">
        <f>J1795+K1795</f>
        <v>-604</v>
      </c>
      <c r="M1795">
        <v>240</v>
      </c>
      <c r="N1795">
        <f>L1795+M1795</f>
        <v>-364</v>
      </c>
    </row>
    <row r="1796" spans="1:14" x14ac:dyDescent="0.2">
      <c r="A1796" t="s">
        <v>2441</v>
      </c>
      <c r="B1796" s="1" t="s">
        <v>2430</v>
      </c>
      <c r="C1796" t="s">
        <v>14</v>
      </c>
      <c r="D1796" t="s">
        <v>840</v>
      </c>
      <c r="E1796">
        <v>19</v>
      </c>
      <c r="F1796" t="s">
        <v>2198</v>
      </c>
      <c r="G1796">
        <v>2022</v>
      </c>
      <c r="H1796" t="s">
        <v>84</v>
      </c>
      <c r="I1796" t="s">
        <v>85</v>
      </c>
      <c r="J1796">
        <v>949.05</v>
      </c>
      <c r="K1796">
        <v>306</v>
      </c>
      <c r="L1796">
        <f t="shared" ref="L1796:L1811" si="466">J1796-K1796</f>
        <v>643.04999999999995</v>
      </c>
      <c r="M1796">
        <v>240</v>
      </c>
      <c r="N1796">
        <f t="shared" ref="N1796:N1811" si="467">L1796-M1796</f>
        <v>403.04999999999995</v>
      </c>
    </row>
    <row r="1797" spans="1:14" x14ac:dyDescent="0.2">
      <c r="A1797" t="s">
        <v>2442</v>
      </c>
      <c r="B1797" s="1" t="s">
        <v>2430</v>
      </c>
      <c r="C1797" t="s">
        <v>14</v>
      </c>
      <c r="D1797" t="s">
        <v>801</v>
      </c>
      <c r="E1797">
        <v>19</v>
      </c>
      <c r="F1797" t="s">
        <v>2198</v>
      </c>
      <c r="G1797">
        <v>2022</v>
      </c>
      <c r="H1797" t="s">
        <v>170</v>
      </c>
      <c r="I1797" t="s">
        <v>171</v>
      </c>
      <c r="J1797">
        <v>849</v>
      </c>
      <c r="K1797">
        <v>250</v>
      </c>
      <c r="L1797">
        <f t="shared" si="466"/>
        <v>599</v>
      </c>
      <c r="M1797">
        <v>240</v>
      </c>
      <c r="N1797">
        <f t="shared" si="467"/>
        <v>359</v>
      </c>
    </row>
    <row r="1798" spans="1:14" x14ac:dyDescent="0.2">
      <c r="A1798" t="s">
        <v>2443</v>
      </c>
      <c r="B1798" s="1" t="s">
        <v>2430</v>
      </c>
      <c r="C1798" t="s">
        <v>14</v>
      </c>
      <c r="D1798" t="s">
        <v>1386</v>
      </c>
      <c r="E1798">
        <v>19</v>
      </c>
      <c r="F1798" t="s">
        <v>2198</v>
      </c>
      <c r="G1798">
        <v>2022</v>
      </c>
      <c r="H1798" t="s">
        <v>150</v>
      </c>
      <c r="I1798" t="s">
        <v>62</v>
      </c>
      <c r="J1798">
        <v>799</v>
      </c>
      <c r="K1798">
        <v>205</v>
      </c>
      <c r="L1798">
        <f t="shared" si="466"/>
        <v>594</v>
      </c>
      <c r="M1798">
        <v>240</v>
      </c>
      <c r="N1798">
        <f t="shared" si="467"/>
        <v>354</v>
      </c>
    </row>
    <row r="1799" spans="1:14" x14ac:dyDescent="0.2">
      <c r="A1799" t="s">
        <v>2444</v>
      </c>
      <c r="B1799" s="1" t="s">
        <v>2430</v>
      </c>
      <c r="C1799" t="s">
        <v>14</v>
      </c>
      <c r="D1799" t="s">
        <v>2184</v>
      </c>
      <c r="E1799">
        <v>19</v>
      </c>
      <c r="F1799" t="s">
        <v>2198</v>
      </c>
      <c r="G1799">
        <v>2022</v>
      </c>
      <c r="H1799" t="s">
        <v>2445</v>
      </c>
      <c r="I1799" t="s">
        <v>62</v>
      </c>
      <c r="J1799">
        <v>799</v>
      </c>
      <c r="K1799">
        <v>205</v>
      </c>
      <c r="L1799">
        <f t="shared" si="466"/>
        <v>594</v>
      </c>
      <c r="M1799">
        <v>240</v>
      </c>
      <c r="N1799">
        <f t="shared" si="467"/>
        <v>354</v>
      </c>
    </row>
    <row r="1800" spans="1:14" x14ac:dyDescent="0.2">
      <c r="A1800" t="s">
        <v>2446</v>
      </c>
      <c r="B1800" s="1" t="s">
        <v>2430</v>
      </c>
      <c r="C1800" t="s">
        <v>14</v>
      </c>
      <c r="D1800" t="s">
        <v>812</v>
      </c>
      <c r="E1800">
        <v>19</v>
      </c>
      <c r="F1800" t="s">
        <v>2198</v>
      </c>
      <c r="G1800">
        <v>2022</v>
      </c>
      <c r="H1800" t="s">
        <v>2447</v>
      </c>
      <c r="I1800" t="s">
        <v>62</v>
      </c>
      <c r="J1800">
        <v>999</v>
      </c>
      <c r="K1800">
        <v>325</v>
      </c>
      <c r="L1800">
        <f t="shared" si="466"/>
        <v>674</v>
      </c>
      <c r="M1800">
        <v>240</v>
      </c>
      <c r="N1800">
        <f t="shared" si="467"/>
        <v>434</v>
      </c>
    </row>
    <row r="1801" spans="1:14" x14ac:dyDescent="0.2">
      <c r="A1801" t="s">
        <v>2448</v>
      </c>
      <c r="B1801" s="1" t="s">
        <v>2430</v>
      </c>
      <c r="C1801" t="s">
        <v>14</v>
      </c>
      <c r="D1801" t="s">
        <v>819</v>
      </c>
      <c r="E1801">
        <v>19</v>
      </c>
      <c r="F1801" t="s">
        <v>2198</v>
      </c>
      <c r="G1801">
        <v>2022</v>
      </c>
      <c r="H1801" t="s">
        <v>215</v>
      </c>
      <c r="I1801" t="s">
        <v>135</v>
      </c>
      <c r="J1801">
        <v>949.05</v>
      </c>
      <c r="K1801">
        <v>306</v>
      </c>
      <c r="L1801">
        <f t="shared" si="466"/>
        <v>643.04999999999995</v>
      </c>
      <c r="M1801">
        <v>240</v>
      </c>
      <c r="N1801">
        <f t="shared" si="467"/>
        <v>403.04999999999995</v>
      </c>
    </row>
    <row r="1802" spans="1:14" x14ac:dyDescent="0.2">
      <c r="A1802" t="s">
        <v>2449</v>
      </c>
      <c r="B1802" s="1" t="s">
        <v>2430</v>
      </c>
      <c r="C1802" t="s">
        <v>14</v>
      </c>
      <c r="D1802" t="s">
        <v>448</v>
      </c>
      <c r="E1802">
        <v>19</v>
      </c>
      <c r="F1802" t="s">
        <v>2198</v>
      </c>
      <c r="G1802">
        <v>2022</v>
      </c>
      <c r="H1802" t="s">
        <v>101</v>
      </c>
      <c r="I1802" t="s">
        <v>62</v>
      </c>
      <c r="J1802">
        <v>899</v>
      </c>
      <c r="K1802">
        <v>295</v>
      </c>
      <c r="L1802">
        <f t="shared" si="466"/>
        <v>604</v>
      </c>
      <c r="M1802">
        <v>240</v>
      </c>
      <c r="N1802">
        <f t="shared" si="467"/>
        <v>364</v>
      </c>
    </row>
    <row r="1803" spans="1:14" x14ac:dyDescent="0.2">
      <c r="A1803" t="s">
        <v>2450</v>
      </c>
      <c r="B1803" s="1" t="s">
        <v>2430</v>
      </c>
      <c r="C1803" t="s">
        <v>14</v>
      </c>
      <c r="D1803" t="s">
        <v>81</v>
      </c>
      <c r="E1803">
        <v>19</v>
      </c>
      <c r="F1803" t="s">
        <v>2198</v>
      </c>
      <c r="G1803">
        <v>2022</v>
      </c>
      <c r="H1803" t="s">
        <v>1718</v>
      </c>
      <c r="I1803" t="s">
        <v>37</v>
      </c>
      <c r="J1803">
        <v>806.55</v>
      </c>
      <c r="K1803">
        <v>227</v>
      </c>
      <c r="L1803">
        <f t="shared" si="466"/>
        <v>579.54999999999995</v>
      </c>
      <c r="M1803">
        <v>240</v>
      </c>
      <c r="N1803">
        <f t="shared" si="467"/>
        <v>339.54999999999995</v>
      </c>
    </row>
    <row r="1804" spans="1:14" x14ac:dyDescent="0.2">
      <c r="A1804" t="s">
        <v>2451</v>
      </c>
      <c r="B1804" s="1" t="s">
        <v>2430</v>
      </c>
      <c r="C1804" t="s">
        <v>14</v>
      </c>
      <c r="D1804" t="s">
        <v>490</v>
      </c>
      <c r="E1804">
        <v>19</v>
      </c>
      <c r="F1804" t="s">
        <v>2198</v>
      </c>
      <c r="G1804">
        <v>2022</v>
      </c>
      <c r="H1804" t="s">
        <v>205</v>
      </c>
      <c r="I1804" t="s">
        <v>23</v>
      </c>
      <c r="J1804">
        <v>854.05</v>
      </c>
      <c r="K1804">
        <v>270</v>
      </c>
      <c r="L1804">
        <f t="shared" si="466"/>
        <v>584.04999999999995</v>
      </c>
      <c r="M1804">
        <v>240</v>
      </c>
      <c r="N1804">
        <f t="shared" si="467"/>
        <v>344.04999999999995</v>
      </c>
    </row>
    <row r="1805" spans="1:14" x14ac:dyDescent="0.2">
      <c r="A1805" t="s">
        <v>2452</v>
      </c>
      <c r="B1805" s="1" t="s">
        <v>2430</v>
      </c>
      <c r="C1805" t="s">
        <v>14</v>
      </c>
      <c r="D1805" t="s">
        <v>901</v>
      </c>
      <c r="E1805">
        <v>19</v>
      </c>
      <c r="F1805" t="s">
        <v>2198</v>
      </c>
      <c r="G1805">
        <v>2022</v>
      </c>
      <c r="H1805" t="s">
        <v>246</v>
      </c>
      <c r="I1805" t="s">
        <v>58</v>
      </c>
      <c r="J1805">
        <v>799</v>
      </c>
      <c r="K1805">
        <v>205</v>
      </c>
      <c r="L1805">
        <f t="shared" si="466"/>
        <v>594</v>
      </c>
      <c r="M1805">
        <v>240</v>
      </c>
      <c r="N1805">
        <f t="shared" si="467"/>
        <v>354</v>
      </c>
    </row>
    <row r="1806" spans="1:14" x14ac:dyDescent="0.2">
      <c r="A1806" t="s">
        <v>2453</v>
      </c>
      <c r="B1806" s="1" t="s">
        <v>2430</v>
      </c>
      <c r="C1806" t="s">
        <v>14</v>
      </c>
      <c r="D1806" t="s">
        <v>133</v>
      </c>
      <c r="E1806">
        <v>19</v>
      </c>
      <c r="F1806" t="s">
        <v>2198</v>
      </c>
      <c r="G1806">
        <v>2022</v>
      </c>
      <c r="H1806" t="s">
        <v>802</v>
      </c>
      <c r="I1806" t="s">
        <v>23</v>
      </c>
      <c r="J1806">
        <v>799</v>
      </c>
      <c r="K1806">
        <v>205</v>
      </c>
      <c r="L1806">
        <f t="shared" si="466"/>
        <v>594</v>
      </c>
      <c r="M1806">
        <v>240</v>
      </c>
      <c r="N1806">
        <f t="shared" si="467"/>
        <v>354</v>
      </c>
    </row>
    <row r="1807" spans="1:14" x14ac:dyDescent="0.2">
      <c r="A1807" t="s">
        <v>2454</v>
      </c>
      <c r="B1807" s="1" t="s">
        <v>2430</v>
      </c>
      <c r="C1807" t="s">
        <v>14</v>
      </c>
      <c r="D1807" t="s">
        <v>81</v>
      </c>
      <c r="E1807">
        <v>19</v>
      </c>
      <c r="F1807" t="s">
        <v>2198</v>
      </c>
      <c r="G1807">
        <v>2022</v>
      </c>
      <c r="H1807" t="s">
        <v>1839</v>
      </c>
      <c r="I1807" t="s">
        <v>122</v>
      </c>
      <c r="J1807">
        <v>849</v>
      </c>
      <c r="K1807">
        <v>250</v>
      </c>
      <c r="L1807">
        <f t="shared" si="466"/>
        <v>599</v>
      </c>
      <c r="M1807">
        <v>240</v>
      </c>
      <c r="N1807">
        <f t="shared" si="467"/>
        <v>359</v>
      </c>
    </row>
    <row r="1808" spans="1:14" x14ac:dyDescent="0.2">
      <c r="A1808" t="s">
        <v>2455</v>
      </c>
      <c r="B1808" s="1" t="s">
        <v>2430</v>
      </c>
      <c r="C1808" t="s">
        <v>14</v>
      </c>
      <c r="D1808" t="s">
        <v>242</v>
      </c>
      <c r="E1808">
        <v>19</v>
      </c>
      <c r="F1808" t="s">
        <v>2198</v>
      </c>
      <c r="G1808">
        <v>2022</v>
      </c>
      <c r="H1808" t="s">
        <v>1225</v>
      </c>
      <c r="I1808" t="s">
        <v>85</v>
      </c>
      <c r="J1808">
        <v>899</v>
      </c>
      <c r="K1808">
        <v>295</v>
      </c>
      <c r="L1808">
        <f t="shared" si="466"/>
        <v>604</v>
      </c>
      <c r="M1808">
        <v>240</v>
      </c>
      <c r="N1808">
        <f t="shared" si="467"/>
        <v>364</v>
      </c>
    </row>
    <row r="1809" spans="1:14" x14ac:dyDescent="0.2">
      <c r="A1809" t="s">
        <v>2456</v>
      </c>
      <c r="B1809" s="1" t="s">
        <v>2430</v>
      </c>
      <c r="C1809" t="s">
        <v>14</v>
      </c>
      <c r="D1809" t="s">
        <v>809</v>
      </c>
      <c r="E1809">
        <v>19</v>
      </c>
      <c r="F1809" t="s">
        <v>2198</v>
      </c>
      <c r="G1809">
        <v>2022</v>
      </c>
      <c r="H1809" t="s">
        <v>2287</v>
      </c>
      <c r="I1809" t="s">
        <v>163</v>
      </c>
      <c r="J1809">
        <v>949.05</v>
      </c>
      <c r="K1809">
        <v>306</v>
      </c>
      <c r="L1809">
        <f t="shared" si="466"/>
        <v>643.04999999999995</v>
      </c>
      <c r="M1809">
        <v>240</v>
      </c>
      <c r="N1809">
        <f t="shared" si="467"/>
        <v>403.04999999999995</v>
      </c>
    </row>
    <row r="1810" spans="1:14" x14ac:dyDescent="0.2">
      <c r="A1810" t="s">
        <v>2457</v>
      </c>
      <c r="B1810" s="1" t="s">
        <v>2430</v>
      </c>
      <c r="C1810" t="s">
        <v>14</v>
      </c>
      <c r="D1810" t="s">
        <v>2458</v>
      </c>
      <c r="E1810">
        <v>19</v>
      </c>
      <c r="F1810" t="s">
        <v>2198</v>
      </c>
      <c r="G1810">
        <v>2022</v>
      </c>
      <c r="H1810" t="s">
        <v>2459</v>
      </c>
      <c r="I1810" t="s">
        <v>23</v>
      </c>
      <c r="J1810">
        <v>799</v>
      </c>
      <c r="K1810">
        <v>205</v>
      </c>
      <c r="L1810">
        <f t="shared" si="466"/>
        <v>594</v>
      </c>
      <c r="M1810">
        <v>240</v>
      </c>
      <c r="N1810">
        <f t="shared" si="467"/>
        <v>354</v>
      </c>
    </row>
    <row r="1811" spans="1:14" x14ac:dyDescent="0.2">
      <c r="A1811" t="s">
        <v>2439</v>
      </c>
      <c r="B1811" s="1" t="s">
        <v>2430</v>
      </c>
      <c r="C1811" t="s">
        <v>14</v>
      </c>
      <c r="D1811" t="s">
        <v>895</v>
      </c>
      <c r="E1811">
        <v>19</v>
      </c>
      <c r="F1811" t="s">
        <v>2198</v>
      </c>
      <c r="G1811">
        <v>2022</v>
      </c>
      <c r="H1811" t="s">
        <v>2440</v>
      </c>
      <c r="I1811" t="s">
        <v>257</v>
      </c>
      <c r="J1811">
        <v>849</v>
      </c>
      <c r="K1811">
        <v>250</v>
      </c>
      <c r="L1811">
        <f t="shared" si="466"/>
        <v>599</v>
      </c>
      <c r="M1811">
        <v>240</v>
      </c>
      <c r="N1811">
        <f t="shared" si="467"/>
        <v>359</v>
      </c>
    </row>
    <row r="1812" spans="1:14" x14ac:dyDescent="0.2">
      <c r="A1812" t="s">
        <v>2324</v>
      </c>
      <c r="B1812" s="1" t="s">
        <v>2319</v>
      </c>
      <c r="C1812" t="s">
        <v>106</v>
      </c>
      <c r="D1812" t="s">
        <v>893</v>
      </c>
      <c r="E1812">
        <v>13</v>
      </c>
      <c r="F1812" t="s">
        <v>2198</v>
      </c>
      <c r="G1812">
        <v>2022</v>
      </c>
      <c r="H1812" t="s">
        <v>193</v>
      </c>
      <c r="I1812" t="s">
        <v>62</v>
      </c>
      <c r="J1812">
        <v>-849</v>
      </c>
      <c r="K1812">
        <v>345</v>
      </c>
      <c r="L1812">
        <f t="shared" ref="L1812:L1815" si="468">J1812+K1812</f>
        <v>-504</v>
      </c>
      <c r="M1812">
        <v>240</v>
      </c>
      <c r="N1812">
        <f t="shared" ref="N1812:N1815" si="469">L1812+M1812</f>
        <v>-264</v>
      </c>
    </row>
    <row r="1813" spans="1:14" x14ac:dyDescent="0.2">
      <c r="A1813" t="s">
        <v>2237</v>
      </c>
      <c r="B1813" s="1" t="s">
        <v>2216</v>
      </c>
      <c r="C1813" t="s">
        <v>106</v>
      </c>
      <c r="D1813" t="s">
        <v>1015</v>
      </c>
      <c r="E1813">
        <v>4</v>
      </c>
      <c r="F1813" t="s">
        <v>2198</v>
      </c>
      <c r="G1813">
        <v>2022</v>
      </c>
      <c r="H1813" t="s">
        <v>2238</v>
      </c>
      <c r="I1813" t="s">
        <v>58</v>
      </c>
      <c r="J1813">
        <v>-849</v>
      </c>
      <c r="K1813">
        <v>345</v>
      </c>
      <c r="L1813">
        <f t="shared" si="468"/>
        <v>-504</v>
      </c>
      <c r="M1813">
        <v>240</v>
      </c>
      <c r="N1813">
        <f t="shared" si="469"/>
        <v>-264</v>
      </c>
    </row>
    <row r="1814" spans="1:14" x14ac:dyDescent="0.2">
      <c r="A1814" t="s">
        <v>2343</v>
      </c>
      <c r="B1814" s="1" t="s">
        <v>2319</v>
      </c>
      <c r="C1814" t="s">
        <v>106</v>
      </c>
      <c r="D1814" t="s">
        <v>1699</v>
      </c>
      <c r="E1814">
        <v>13</v>
      </c>
      <c r="F1814" t="s">
        <v>2198</v>
      </c>
      <c r="G1814">
        <v>2022</v>
      </c>
      <c r="H1814" t="s">
        <v>173</v>
      </c>
      <c r="I1814" t="s">
        <v>62</v>
      </c>
      <c r="J1814">
        <v>-799</v>
      </c>
      <c r="K1814">
        <v>320</v>
      </c>
      <c r="L1814">
        <f t="shared" si="468"/>
        <v>-479</v>
      </c>
      <c r="M1814">
        <v>240</v>
      </c>
      <c r="N1814">
        <f t="shared" si="469"/>
        <v>-239</v>
      </c>
    </row>
    <row r="1815" spans="1:14" x14ac:dyDescent="0.2">
      <c r="A1815" t="s">
        <v>2345</v>
      </c>
      <c r="B1815" s="1" t="s">
        <v>2334</v>
      </c>
      <c r="C1815" t="s">
        <v>106</v>
      </c>
      <c r="D1815" t="s">
        <v>81</v>
      </c>
      <c r="E1815">
        <v>14</v>
      </c>
      <c r="F1815" t="s">
        <v>2198</v>
      </c>
      <c r="G1815">
        <v>2022</v>
      </c>
      <c r="H1815" t="s">
        <v>2346</v>
      </c>
      <c r="I1815" t="s">
        <v>160</v>
      </c>
      <c r="J1815">
        <v>-806.55</v>
      </c>
      <c r="K1815">
        <v>345</v>
      </c>
      <c r="L1815">
        <f t="shared" si="468"/>
        <v>-461.54999999999995</v>
      </c>
      <c r="M1815">
        <v>240</v>
      </c>
      <c r="N1815">
        <f t="shared" si="469"/>
        <v>-221.54999999999995</v>
      </c>
    </row>
    <row r="1816" spans="1:14" x14ac:dyDescent="0.2">
      <c r="A1816" t="s">
        <v>2461</v>
      </c>
      <c r="B1816" s="1" t="s">
        <v>2460</v>
      </c>
      <c r="C1816" t="s">
        <v>43</v>
      </c>
      <c r="D1816" t="s">
        <v>452</v>
      </c>
      <c r="E1816">
        <v>20</v>
      </c>
      <c r="F1816" t="s">
        <v>2198</v>
      </c>
      <c r="G1816">
        <v>2022</v>
      </c>
      <c r="H1816" t="s">
        <v>162</v>
      </c>
      <c r="I1816" t="s">
        <v>163</v>
      </c>
      <c r="J1816">
        <v>0</v>
      </c>
      <c r="K1816">
        <v>0</v>
      </c>
      <c r="L1816">
        <v>0</v>
      </c>
      <c r="M1816">
        <v>0</v>
      </c>
      <c r="N1816">
        <v>0</v>
      </c>
    </row>
    <row r="1817" spans="1:14" x14ac:dyDescent="0.2">
      <c r="A1817" t="s">
        <v>2462</v>
      </c>
      <c r="B1817" s="1" t="s">
        <v>2460</v>
      </c>
      <c r="C1817" t="s">
        <v>14</v>
      </c>
      <c r="D1817" t="s">
        <v>792</v>
      </c>
      <c r="E1817">
        <v>20</v>
      </c>
      <c r="F1817" t="s">
        <v>2198</v>
      </c>
      <c r="G1817">
        <v>2022</v>
      </c>
      <c r="H1817" t="s">
        <v>1346</v>
      </c>
      <c r="I1817" t="s">
        <v>163</v>
      </c>
      <c r="J1817">
        <v>849</v>
      </c>
      <c r="K1817">
        <v>250</v>
      </c>
      <c r="L1817">
        <f t="shared" ref="L1817:L1823" si="470">J1817-K1817</f>
        <v>599</v>
      </c>
      <c r="M1817">
        <v>240</v>
      </c>
      <c r="N1817">
        <f t="shared" ref="N1817:N1823" si="471">L1817-M1817</f>
        <v>359</v>
      </c>
    </row>
    <row r="1818" spans="1:14" x14ac:dyDescent="0.2">
      <c r="A1818" t="s">
        <v>2463</v>
      </c>
      <c r="B1818" s="1" t="s">
        <v>2460</v>
      </c>
      <c r="C1818" t="s">
        <v>14</v>
      </c>
      <c r="D1818" t="s">
        <v>490</v>
      </c>
      <c r="E1818">
        <v>20</v>
      </c>
      <c r="F1818" t="s">
        <v>2198</v>
      </c>
      <c r="G1818">
        <v>2022</v>
      </c>
      <c r="H1818" t="s">
        <v>2464</v>
      </c>
      <c r="I1818" t="s">
        <v>58</v>
      </c>
      <c r="J1818">
        <v>899</v>
      </c>
      <c r="K1818">
        <v>295</v>
      </c>
      <c r="L1818">
        <f t="shared" si="470"/>
        <v>604</v>
      </c>
      <c r="M1818">
        <v>240</v>
      </c>
      <c r="N1818">
        <f t="shared" si="471"/>
        <v>364</v>
      </c>
    </row>
    <row r="1819" spans="1:14" x14ac:dyDescent="0.2">
      <c r="A1819" t="s">
        <v>2465</v>
      </c>
      <c r="B1819" s="1" t="s">
        <v>2460</v>
      </c>
      <c r="C1819" t="s">
        <v>14</v>
      </c>
      <c r="D1819" t="s">
        <v>1076</v>
      </c>
      <c r="E1819">
        <v>20</v>
      </c>
      <c r="F1819" t="s">
        <v>2198</v>
      </c>
      <c r="G1819">
        <v>2022</v>
      </c>
      <c r="H1819" t="s">
        <v>2466</v>
      </c>
      <c r="I1819" t="s">
        <v>37</v>
      </c>
      <c r="J1819">
        <v>849</v>
      </c>
      <c r="K1819">
        <v>250</v>
      </c>
      <c r="L1819">
        <f t="shared" si="470"/>
        <v>599</v>
      </c>
      <c r="M1819">
        <v>240</v>
      </c>
      <c r="N1819">
        <f t="shared" si="471"/>
        <v>359</v>
      </c>
    </row>
    <row r="1820" spans="1:14" x14ac:dyDescent="0.2">
      <c r="A1820" t="s">
        <v>2467</v>
      </c>
      <c r="B1820" s="1" t="s">
        <v>2460</v>
      </c>
      <c r="C1820" t="s">
        <v>14</v>
      </c>
      <c r="D1820" t="s">
        <v>893</v>
      </c>
      <c r="E1820">
        <v>20</v>
      </c>
      <c r="F1820" t="s">
        <v>2198</v>
      </c>
      <c r="G1820">
        <v>2022</v>
      </c>
      <c r="H1820" t="s">
        <v>2468</v>
      </c>
      <c r="I1820" t="s">
        <v>135</v>
      </c>
      <c r="J1820">
        <v>849</v>
      </c>
      <c r="K1820">
        <v>250</v>
      </c>
      <c r="L1820">
        <f t="shared" si="470"/>
        <v>599</v>
      </c>
      <c r="M1820">
        <v>240</v>
      </c>
      <c r="N1820">
        <f t="shared" si="471"/>
        <v>359</v>
      </c>
    </row>
    <row r="1821" spans="1:14" x14ac:dyDescent="0.2">
      <c r="A1821" t="s">
        <v>2461</v>
      </c>
      <c r="B1821" s="1" t="s">
        <v>2460</v>
      </c>
      <c r="C1821" t="s">
        <v>14</v>
      </c>
      <c r="D1821" t="s">
        <v>452</v>
      </c>
      <c r="E1821">
        <v>20</v>
      </c>
      <c r="F1821" t="s">
        <v>2198</v>
      </c>
      <c r="G1821">
        <v>2022</v>
      </c>
      <c r="H1821" t="s">
        <v>162</v>
      </c>
      <c r="I1821" t="s">
        <v>163</v>
      </c>
      <c r="J1821">
        <v>799</v>
      </c>
      <c r="K1821">
        <v>205</v>
      </c>
      <c r="L1821">
        <f t="shared" si="470"/>
        <v>594</v>
      </c>
      <c r="M1821">
        <v>240</v>
      </c>
      <c r="N1821">
        <f t="shared" si="471"/>
        <v>354</v>
      </c>
    </row>
    <row r="1822" spans="1:14" x14ac:dyDescent="0.2">
      <c r="A1822" t="s">
        <v>2469</v>
      </c>
      <c r="B1822" s="1" t="s">
        <v>2460</v>
      </c>
      <c r="C1822" t="s">
        <v>14</v>
      </c>
      <c r="D1822" t="s">
        <v>133</v>
      </c>
      <c r="E1822">
        <v>20</v>
      </c>
      <c r="F1822" t="s">
        <v>2198</v>
      </c>
      <c r="G1822">
        <v>2022</v>
      </c>
      <c r="H1822" t="s">
        <v>246</v>
      </c>
      <c r="I1822" t="s">
        <v>58</v>
      </c>
      <c r="J1822">
        <v>759.05</v>
      </c>
      <c r="K1822">
        <v>202</v>
      </c>
      <c r="L1822">
        <f t="shared" si="470"/>
        <v>557.04999999999995</v>
      </c>
      <c r="M1822">
        <v>240</v>
      </c>
      <c r="N1822">
        <f t="shared" si="471"/>
        <v>317.04999999999995</v>
      </c>
    </row>
    <row r="1823" spans="1:14" x14ac:dyDescent="0.2">
      <c r="A1823" t="s">
        <v>2470</v>
      </c>
      <c r="B1823" s="1" t="s">
        <v>2460</v>
      </c>
      <c r="C1823" t="s">
        <v>14</v>
      </c>
      <c r="D1823" t="s">
        <v>1303</v>
      </c>
      <c r="E1823">
        <v>20</v>
      </c>
      <c r="F1823" t="s">
        <v>2198</v>
      </c>
      <c r="G1823">
        <v>2022</v>
      </c>
      <c r="H1823" t="s">
        <v>435</v>
      </c>
      <c r="I1823" t="s">
        <v>58</v>
      </c>
      <c r="J1823">
        <v>849</v>
      </c>
      <c r="K1823">
        <v>250</v>
      </c>
      <c r="L1823">
        <f t="shared" si="470"/>
        <v>599</v>
      </c>
      <c r="M1823">
        <v>240</v>
      </c>
      <c r="N1823">
        <f t="shared" si="471"/>
        <v>359</v>
      </c>
    </row>
    <row r="1824" spans="1:14" x14ac:dyDescent="0.2">
      <c r="A1824" t="s">
        <v>2347</v>
      </c>
      <c r="B1824" s="1" t="s">
        <v>2334</v>
      </c>
      <c r="C1824" t="s">
        <v>106</v>
      </c>
      <c r="D1824" t="s">
        <v>573</v>
      </c>
      <c r="E1824">
        <v>14</v>
      </c>
      <c r="F1824" t="s">
        <v>2198</v>
      </c>
      <c r="G1824">
        <v>2022</v>
      </c>
      <c r="H1824" t="s">
        <v>2348</v>
      </c>
      <c r="I1824" t="s">
        <v>257</v>
      </c>
      <c r="J1824">
        <v>-899</v>
      </c>
      <c r="K1824">
        <v>375</v>
      </c>
      <c r="L1824">
        <f t="shared" ref="L1824:L1826" si="472">J1824+K1824</f>
        <v>-524</v>
      </c>
      <c r="M1824">
        <v>240</v>
      </c>
      <c r="N1824">
        <f t="shared" ref="N1824:N1826" si="473">L1824+M1824</f>
        <v>-284</v>
      </c>
    </row>
    <row r="1825" spans="1:14" x14ac:dyDescent="0.2">
      <c r="A1825" t="s">
        <v>2406</v>
      </c>
      <c r="B1825" s="1" t="s">
        <v>2404</v>
      </c>
      <c r="C1825" t="s">
        <v>106</v>
      </c>
      <c r="D1825" t="s">
        <v>895</v>
      </c>
      <c r="E1825">
        <v>17</v>
      </c>
      <c r="F1825" t="s">
        <v>2198</v>
      </c>
      <c r="G1825">
        <v>2022</v>
      </c>
      <c r="H1825" t="s">
        <v>2407</v>
      </c>
      <c r="I1825" t="s">
        <v>85</v>
      </c>
      <c r="J1825">
        <v>-849</v>
      </c>
      <c r="K1825">
        <v>345</v>
      </c>
      <c r="L1825">
        <f t="shared" si="472"/>
        <v>-504</v>
      </c>
      <c r="M1825">
        <v>240</v>
      </c>
      <c r="N1825">
        <f t="shared" si="473"/>
        <v>-264</v>
      </c>
    </row>
    <row r="1826" spans="1:14" x14ac:dyDescent="0.2">
      <c r="A1826" t="s">
        <v>2326</v>
      </c>
      <c r="B1826" s="1" t="s">
        <v>2307</v>
      </c>
      <c r="C1826" t="s">
        <v>106</v>
      </c>
      <c r="D1826" t="s">
        <v>2327</v>
      </c>
      <c r="E1826">
        <v>12</v>
      </c>
      <c r="F1826" t="s">
        <v>2198</v>
      </c>
      <c r="G1826">
        <v>2022</v>
      </c>
      <c r="H1826" t="s">
        <v>272</v>
      </c>
      <c r="I1826" t="s">
        <v>23</v>
      </c>
      <c r="J1826">
        <v>-799</v>
      </c>
      <c r="K1826">
        <v>320</v>
      </c>
      <c r="L1826">
        <f t="shared" si="472"/>
        <v>-479</v>
      </c>
      <c r="M1826">
        <v>240</v>
      </c>
      <c r="N1826">
        <f t="shared" si="473"/>
        <v>-239</v>
      </c>
    </row>
    <row r="1827" spans="1:14" x14ac:dyDescent="0.2">
      <c r="A1827" t="s">
        <v>2472</v>
      </c>
      <c r="B1827" s="1" t="s">
        <v>2471</v>
      </c>
      <c r="C1827" t="s">
        <v>14</v>
      </c>
      <c r="D1827" t="s">
        <v>379</v>
      </c>
      <c r="E1827">
        <v>21</v>
      </c>
      <c r="F1827" t="s">
        <v>2198</v>
      </c>
      <c r="G1827">
        <v>2022</v>
      </c>
      <c r="H1827" t="s">
        <v>170</v>
      </c>
      <c r="I1827" t="s">
        <v>171</v>
      </c>
      <c r="J1827">
        <v>799</v>
      </c>
      <c r="K1827">
        <v>205</v>
      </c>
      <c r="L1827">
        <f t="shared" ref="L1827:L1846" si="474">J1827-K1827</f>
        <v>594</v>
      </c>
      <c r="M1827">
        <v>240</v>
      </c>
      <c r="N1827">
        <f t="shared" ref="N1827:N1846" si="475">L1827-M1827</f>
        <v>354</v>
      </c>
    </row>
    <row r="1828" spans="1:14" x14ac:dyDescent="0.2">
      <c r="A1828" t="s">
        <v>2473</v>
      </c>
      <c r="B1828" s="1" t="s">
        <v>2460</v>
      </c>
      <c r="C1828" t="s">
        <v>14</v>
      </c>
      <c r="D1828" t="s">
        <v>1448</v>
      </c>
      <c r="E1828">
        <v>20</v>
      </c>
      <c r="F1828" t="s">
        <v>2198</v>
      </c>
      <c r="G1828">
        <v>2022</v>
      </c>
      <c r="H1828" t="s">
        <v>2474</v>
      </c>
      <c r="I1828" t="s">
        <v>32</v>
      </c>
      <c r="J1828">
        <v>849</v>
      </c>
      <c r="K1828">
        <v>250</v>
      </c>
      <c r="L1828">
        <f t="shared" si="474"/>
        <v>599</v>
      </c>
      <c r="M1828">
        <v>240</v>
      </c>
      <c r="N1828">
        <f t="shared" si="475"/>
        <v>359</v>
      </c>
    </row>
    <row r="1829" spans="1:14" x14ac:dyDescent="0.2">
      <c r="A1829" t="s">
        <v>2475</v>
      </c>
      <c r="B1829" s="1" t="s">
        <v>2460</v>
      </c>
      <c r="C1829" t="s">
        <v>14</v>
      </c>
      <c r="D1829" t="s">
        <v>1386</v>
      </c>
      <c r="E1829">
        <v>20</v>
      </c>
      <c r="F1829" t="s">
        <v>2198</v>
      </c>
      <c r="G1829">
        <v>2022</v>
      </c>
      <c r="H1829" t="s">
        <v>2476</v>
      </c>
      <c r="I1829" t="s">
        <v>19</v>
      </c>
      <c r="J1829">
        <v>799</v>
      </c>
      <c r="K1829">
        <v>205</v>
      </c>
      <c r="L1829">
        <f t="shared" si="474"/>
        <v>594</v>
      </c>
      <c r="M1829">
        <v>240</v>
      </c>
      <c r="N1829">
        <f t="shared" si="475"/>
        <v>354</v>
      </c>
    </row>
    <row r="1830" spans="1:14" x14ac:dyDescent="0.2">
      <c r="A1830" t="s">
        <v>2477</v>
      </c>
      <c r="B1830" s="1" t="s">
        <v>2471</v>
      </c>
      <c r="C1830" t="s">
        <v>14</v>
      </c>
      <c r="D1830" t="s">
        <v>452</v>
      </c>
      <c r="E1830">
        <v>21</v>
      </c>
      <c r="F1830" t="s">
        <v>2198</v>
      </c>
      <c r="G1830">
        <v>2022</v>
      </c>
      <c r="H1830" t="s">
        <v>157</v>
      </c>
      <c r="I1830" t="s">
        <v>97</v>
      </c>
      <c r="J1830">
        <v>799</v>
      </c>
      <c r="K1830">
        <v>205</v>
      </c>
      <c r="L1830">
        <f t="shared" si="474"/>
        <v>594</v>
      </c>
      <c r="M1830">
        <v>240</v>
      </c>
      <c r="N1830">
        <f t="shared" si="475"/>
        <v>354</v>
      </c>
    </row>
    <row r="1831" spans="1:14" x14ac:dyDescent="0.2">
      <c r="A1831" t="s">
        <v>2478</v>
      </c>
      <c r="B1831" s="1" t="s">
        <v>2471</v>
      </c>
      <c r="C1831" t="s">
        <v>14</v>
      </c>
      <c r="D1831" t="s">
        <v>1010</v>
      </c>
      <c r="E1831">
        <v>21</v>
      </c>
      <c r="F1831" t="s">
        <v>2198</v>
      </c>
      <c r="G1831">
        <v>2022</v>
      </c>
      <c r="H1831" t="s">
        <v>2479</v>
      </c>
      <c r="I1831" t="s">
        <v>160</v>
      </c>
      <c r="J1831">
        <v>799</v>
      </c>
      <c r="K1831">
        <v>205</v>
      </c>
      <c r="L1831">
        <f t="shared" si="474"/>
        <v>594</v>
      </c>
      <c r="M1831">
        <v>240</v>
      </c>
      <c r="N1831">
        <f t="shared" si="475"/>
        <v>354</v>
      </c>
    </row>
    <row r="1832" spans="1:14" x14ac:dyDescent="0.2">
      <c r="A1832" t="s">
        <v>2480</v>
      </c>
      <c r="B1832" s="1" t="s">
        <v>2471</v>
      </c>
      <c r="C1832" t="s">
        <v>14</v>
      </c>
      <c r="D1832" t="s">
        <v>81</v>
      </c>
      <c r="E1832">
        <v>21</v>
      </c>
      <c r="F1832" t="s">
        <v>2198</v>
      </c>
      <c r="G1832">
        <v>2022</v>
      </c>
      <c r="H1832" t="s">
        <v>309</v>
      </c>
      <c r="I1832" t="s">
        <v>212</v>
      </c>
      <c r="J1832">
        <v>849</v>
      </c>
      <c r="K1832">
        <v>250</v>
      </c>
      <c r="L1832">
        <f t="shared" si="474"/>
        <v>599</v>
      </c>
      <c r="M1832">
        <v>240</v>
      </c>
      <c r="N1832">
        <f t="shared" si="475"/>
        <v>359</v>
      </c>
    </row>
    <row r="1833" spans="1:14" x14ac:dyDescent="0.2">
      <c r="A1833" t="s">
        <v>2481</v>
      </c>
      <c r="B1833" s="1" t="s">
        <v>2471</v>
      </c>
      <c r="C1833" t="s">
        <v>14</v>
      </c>
      <c r="D1833" t="s">
        <v>81</v>
      </c>
      <c r="E1833">
        <v>21</v>
      </c>
      <c r="F1833" t="s">
        <v>2198</v>
      </c>
      <c r="G1833">
        <v>2022</v>
      </c>
      <c r="H1833" t="s">
        <v>22</v>
      </c>
      <c r="I1833" t="s">
        <v>23</v>
      </c>
      <c r="J1833">
        <v>806.55</v>
      </c>
      <c r="K1833">
        <v>227</v>
      </c>
      <c r="L1833">
        <f t="shared" si="474"/>
        <v>579.54999999999995</v>
      </c>
      <c r="M1833">
        <v>240</v>
      </c>
      <c r="N1833">
        <f t="shared" si="475"/>
        <v>339.54999999999995</v>
      </c>
    </row>
    <row r="1834" spans="1:14" x14ac:dyDescent="0.2">
      <c r="A1834" t="s">
        <v>2482</v>
      </c>
      <c r="B1834" s="1" t="s">
        <v>2471</v>
      </c>
      <c r="C1834" t="s">
        <v>14</v>
      </c>
      <c r="D1834" t="s">
        <v>954</v>
      </c>
      <c r="E1834">
        <v>21</v>
      </c>
      <c r="F1834" t="s">
        <v>2198</v>
      </c>
      <c r="G1834">
        <v>2022</v>
      </c>
      <c r="H1834" t="s">
        <v>91</v>
      </c>
      <c r="I1834" t="s">
        <v>23</v>
      </c>
      <c r="J1834">
        <v>799</v>
      </c>
      <c r="K1834">
        <v>205</v>
      </c>
      <c r="L1834">
        <f t="shared" si="474"/>
        <v>594</v>
      </c>
      <c r="M1834">
        <v>240</v>
      </c>
      <c r="N1834">
        <f t="shared" si="475"/>
        <v>354</v>
      </c>
    </row>
    <row r="1835" spans="1:14" x14ac:dyDescent="0.2">
      <c r="A1835" t="s">
        <v>2483</v>
      </c>
      <c r="B1835" s="1" t="s">
        <v>2471</v>
      </c>
      <c r="C1835" t="s">
        <v>14</v>
      </c>
      <c r="D1835" t="s">
        <v>504</v>
      </c>
      <c r="E1835">
        <v>21</v>
      </c>
      <c r="F1835" t="s">
        <v>2198</v>
      </c>
      <c r="G1835">
        <v>2022</v>
      </c>
      <c r="H1835" t="s">
        <v>2484</v>
      </c>
      <c r="I1835" t="s">
        <v>62</v>
      </c>
      <c r="J1835">
        <v>854.05</v>
      </c>
      <c r="K1835">
        <v>270</v>
      </c>
      <c r="L1835">
        <f t="shared" si="474"/>
        <v>584.04999999999995</v>
      </c>
      <c r="M1835">
        <v>240</v>
      </c>
      <c r="N1835">
        <f t="shared" si="475"/>
        <v>344.04999999999995</v>
      </c>
    </row>
    <row r="1836" spans="1:14" x14ac:dyDescent="0.2">
      <c r="A1836" t="s">
        <v>2485</v>
      </c>
      <c r="B1836" s="1" t="s">
        <v>2471</v>
      </c>
      <c r="C1836" t="s">
        <v>14</v>
      </c>
      <c r="D1836" t="s">
        <v>993</v>
      </c>
      <c r="E1836">
        <v>21</v>
      </c>
      <c r="F1836" t="s">
        <v>2198</v>
      </c>
      <c r="G1836">
        <v>2022</v>
      </c>
      <c r="H1836" t="s">
        <v>104</v>
      </c>
      <c r="I1836" t="s">
        <v>62</v>
      </c>
      <c r="J1836">
        <v>799</v>
      </c>
      <c r="K1836">
        <v>205</v>
      </c>
      <c r="L1836">
        <f t="shared" si="474"/>
        <v>594</v>
      </c>
      <c r="M1836">
        <v>240</v>
      </c>
      <c r="N1836">
        <f t="shared" si="475"/>
        <v>354</v>
      </c>
    </row>
    <row r="1837" spans="1:14" x14ac:dyDescent="0.2">
      <c r="A1837" t="s">
        <v>2486</v>
      </c>
      <c r="B1837" s="1" t="s">
        <v>2471</v>
      </c>
      <c r="C1837" t="s">
        <v>14</v>
      </c>
      <c r="D1837" t="s">
        <v>573</v>
      </c>
      <c r="E1837">
        <v>21</v>
      </c>
      <c r="F1837" t="s">
        <v>2198</v>
      </c>
      <c r="G1837">
        <v>2022</v>
      </c>
      <c r="H1837" t="s">
        <v>2487</v>
      </c>
      <c r="I1837" t="s">
        <v>135</v>
      </c>
      <c r="J1837">
        <v>854.05</v>
      </c>
      <c r="K1837">
        <v>270</v>
      </c>
      <c r="L1837">
        <f t="shared" si="474"/>
        <v>584.04999999999995</v>
      </c>
      <c r="M1837">
        <v>240</v>
      </c>
      <c r="N1837">
        <f t="shared" si="475"/>
        <v>344.04999999999995</v>
      </c>
    </row>
    <row r="1838" spans="1:14" x14ac:dyDescent="0.2">
      <c r="A1838" t="s">
        <v>2488</v>
      </c>
      <c r="B1838" s="1" t="s">
        <v>2471</v>
      </c>
      <c r="C1838" t="s">
        <v>14</v>
      </c>
      <c r="D1838" t="s">
        <v>1105</v>
      </c>
      <c r="E1838">
        <v>21</v>
      </c>
      <c r="F1838" t="s">
        <v>2198</v>
      </c>
      <c r="G1838">
        <v>2022</v>
      </c>
      <c r="H1838" t="s">
        <v>514</v>
      </c>
      <c r="I1838" t="s">
        <v>58</v>
      </c>
      <c r="J1838">
        <v>849</v>
      </c>
      <c r="K1838">
        <v>250</v>
      </c>
      <c r="L1838">
        <f t="shared" si="474"/>
        <v>599</v>
      </c>
      <c r="M1838">
        <v>240</v>
      </c>
      <c r="N1838">
        <f t="shared" si="475"/>
        <v>359</v>
      </c>
    </row>
    <row r="1839" spans="1:14" x14ac:dyDescent="0.2">
      <c r="A1839" t="s">
        <v>2489</v>
      </c>
      <c r="B1839" s="1" t="s">
        <v>2471</v>
      </c>
      <c r="C1839" t="s">
        <v>14</v>
      </c>
      <c r="D1839" t="s">
        <v>881</v>
      </c>
      <c r="E1839">
        <v>21</v>
      </c>
      <c r="F1839" t="s">
        <v>2198</v>
      </c>
      <c r="G1839">
        <v>2022</v>
      </c>
      <c r="H1839" t="s">
        <v>272</v>
      </c>
      <c r="I1839" t="s">
        <v>23</v>
      </c>
      <c r="J1839">
        <v>759.05</v>
      </c>
      <c r="K1839">
        <v>202</v>
      </c>
      <c r="L1839">
        <f t="shared" si="474"/>
        <v>557.04999999999995</v>
      </c>
      <c r="M1839">
        <v>240</v>
      </c>
      <c r="N1839">
        <f t="shared" si="475"/>
        <v>317.04999999999995</v>
      </c>
    </row>
    <row r="1840" spans="1:14" x14ac:dyDescent="0.2">
      <c r="A1840" t="s">
        <v>2490</v>
      </c>
      <c r="B1840" s="1" t="s">
        <v>2471</v>
      </c>
      <c r="C1840" t="s">
        <v>14</v>
      </c>
      <c r="D1840" t="s">
        <v>242</v>
      </c>
      <c r="E1840">
        <v>21</v>
      </c>
      <c r="F1840" t="s">
        <v>2198</v>
      </c>
      <c r="G1840">
        <v>2022</v>
      </c>
      <c r="H1840" t="s">
        <v>2491</v>
      </c>
      <c r="I1840" t="s">
        <v>97</v>
      </c>
      <c r="J1840">
        <v>899</v>
      </c>
      <c r="K1840">
        <v>295</v>
      </c>
      <c r="L1840">
        <f t="shared" si="474"/>
        <v>604</v>
      </c>
      <c r="M1840">
        <v>240</v>
      </c>
      <c r="N1840">
        <f t="shared" si="475"/>
        <v>364</v>
      </c>
    </row>
    <row r="1841" spans="1:14" x14ac:dyDescent="0.2">
      <c r="A1841" t="s">
        <v>2492</v>
      </c>
      <c r="B1841" s="1" t="s">
        <v>2471</v>
      </c>
      <c r="C1841" t="s">
        <v>14</v>
      </c>
      <c r="D1841" t="s">
        <v>380</v>
      </c>
      <c r="E1841">
        <v>21</v>
      </c>
      <c r="F1841" t="s">
        <v>2198</v>
      </c>
      <c r="G1841">
        <v>2022</v>
      </c>
      <c r="H1841" t="s">
        <v>2493</v>
      </c>
      <c r="I1841" t="s">
        <v>23</v>
      </c>
      <c r="J1841">
        <v>849</v>
      </c>
      <c r="K1841">
        <v>250</v>
      </c>
      <c r="L1841">
        <f t="shared" si="474"/>
        <v>599</v>
      </c>
      <c r="M1841">
        <v>240</v>
      </c>
      <c r="N1841">
        <f t="shared" si="475"/>
        <v>359</v>
      </c>
    </row>
    <row r="1842" spans="1:14" x14ac:dyDescent="0.2">
      <c r="A1842" t="s">
        <v>2494</v>
      </c>
      <c r="B1842" s="1" t="s">
        <v>2460</v>
      </c>
      <c r="C1842" t="s">
        <v>14</v>
      </c>
      <c r="D1842" t="s">
        <v>2495</v>
      </c>
      <c r="E1842">
        <v>20</v>
      </c>
      <c r="F1842" t="s">
        <v>2198</v>
      </c>
      <c r="G1842">
        <v>2022</v>
      </c>
      <c r="H1842" t="s">
        <v>2496</v>
      </c>
      <c r="I1842" t="s">
        <v>62</v>
      </c>
      <c r="J1842">
        <v>799</v>
      </c>
      <c r="K1842">
        <v>205</v>
      </c>
      <c r="L1842">
        <f t="shared" si="474"/>
        <v>594</v>
      </c>
      <c r="M1842">
        <v>240</v>
      </c>
      <c r="N1842">
        <f t="shared" si="475"/>
        <v>354</v>
      </c>
    </row>
    <row r="1843" spans="1:14" x14ac:dyDescent="0.2">
      <c r="A1843" t="s">
        <v>2497</v>
      </c>
      <c r="B1843" s="1" t="s">
        <v>2471</v>
      </c>
      <c r="C1843" t="s">
        <v>14</v>
      </c>
      <c r="D1843" t="s">
        <v>133</v>
      </c>
      <c r="E1843">
        <v>21</v>
      </c>
      <c r="F1843" t="s">
        <v>2198</v>
      </c>
      <c r="G1843">
        <v>2022</v>
      </c>
      <c r="H1843" t="s">
        <v>2498</v>
      </c>
      <c r="I1843" t="s">
        <v>135</v>
      </c>
      <c r="J1843">
        <v>759.05</v>
      </c>
      <c r="K1843">
        <v>202</v>
      </c>
      <c r="L1843">
        <f t="shared" si="474"/>
        <v>557.04999999999995</v>
      </c>
      <c r="M1843">
        <v>240</v>
      </c>
      <c r="N1843">
        <f t="shared" si="475"/>
        <v>317.04999999999995</v>
      </c>
    </row>
    <row r="1844" spans="1:14" x14ac:dyDescent="0.2">
      <c r="A1844" t="s">
        <v>2499</v>
      </c>
      <c r="B1844" s="1" t="s">
        <v>2471</v>
      </c>
      <c r="C1844" t="s">
        <v>14</v>
      </c>
      <c r="D1844" t="s">
        <v>133</v>
      </c>
      <c r="E1844">
        <v>21</v>
      </c>
      <c r="F1844" t="s">
        <v>2198</v>
      </c>
      <c r="G1844">
        <v>2022</v>
      </c>
      <c r="H1844" t="s">
        <v>2500</v>
      </c>
      <c r="I1844" t="s">
        <v>122</v>
      </c>
      <c r="J1844">
        <v>759.05</v>
      </c>
      <c r="K1844">
        <v>202</v>
      </c>
      <c r="L1844">
        <f t="shared" si="474"/>
        <v>557.04999999999995</v>
      </c>
      <c r="M1844">
        <v>240</v>
      </c>
      <c r="N1844">
        <f t="shared" si="475"/>
        <v>317.04999999999995</v>
      </c>
    </row>
    <row r="1845" spans="1:14" x14ac:dyDescent="0.2">
      <c r="A1845" t="s">
        <v>2501</v>
      </c>
      <c r="B1845" s="1" t="s">
        <v>2471</v>
      </c>
      <c r="C1845" t="s">
        <v>14</v>
      </c>
      <c r="D1845" t="s">
        <v>1383</v>
      </c>
      <c r="E1845">
        <v>21</v>
      </c>
      <c r="F1845" t="s">
        <v>2198</v>
      </c>
      <c r="G1845">
        <v>2022</v>
      </c>
      <c r="H1845" t="s">
        <v>2502</v>
      </c>
      <c r="I1845" t="s">
        <v>23</v>
      </c>
      <c r="J1845">
        <v>799</v>
      </c>
      <c r="K1845">
        <v>205</v>
      </c>
      <c r="L1845">
        <f t="shared" si="474"/>
        <v>594</v>
      </c>
      <c r="M1845">
        <v>240</v>
      </c>
      <c r="N1845">
        <f t="shared" si="475"/>
        <v>354</v>
      </c>
    </row>
    <row r="1846" spans="1:14" x14ac:dyDescent="0.2">
      <c r="A1846" t="s">
        <v>2503</v>
      </c>
      <c r="B1846" s="1" t="s">
        <v>2471</v>
      </c>
      <c r="C1846" t="s">
        <v>14</v>
      </c>
      <c r="D1846" t="s">
        <v>1508</v>
      </c>
      <c r="E1846">
        <v>21</v>
      </c>
      <c r="F1846" t="s">
        <v>2198</v>
      </c>
      <c r="G1846">
        <v>2022</v>
      </c>
      <c r="H1846" t="s">
        <v>1115</v>
      </c>
      <c r="I1846" t="s">
        <v>135</v>
      </c>
      <c r="J1846">
        <v>999</v>
      </c>
      <c r="K1846">
        <v>325</v>
      </c>
      <c r="L1846">
        <f t="shared" si="474"/>
        <v>674</v>
      </c>
      <c r="M1846">
        <v>240</v>
      </c>
      <c r="N1846">
        <f t="shared" si="475"/>
        <v>434</v>
      </c>
    </row>
    <row r="1847" spans="1:14" x14ac:dyDescent="0.2">
      <c r="A1847" t="s">
        <v>2399</v>
      </c>
      <c r="B1847" s="1" t="s">
        <v>2384</v>
      </c>
      <c r="C1847" t="s">
        <v>106</v>
      </c>
      <c r="D1847" t="s">
        <v>308</v>
      </c>
      <c r="E1847">
        <v>16</v>
      </c>
      <c r="F1847" t="s">
        <v>2198</v>
      </c>
      <c r="G1847">
        <v>2022</v>
      </c>
      <c r="H1847" t="s">
        <v>549</v>
      </c>
      <c r="I1847" t="s">
        <v>163</v>
      </c>
      <c r="J1847">
        <v>-899</v>
      </c>
      <c r="K1847">
        <v>375</v>
      </c>
      <c r="L1847">
        <f>J1847+K1847</f>
        <v>-524</v>
      </c>
      <c r="M1847">
        <v>240</v>
      </c>
      <c r="N1847">
        <f>L1847+M1847</f>
        <v>-284</v>
      </c>
    </row>
    <row r="1848" spans="1:14" x14ac:dyDescent="0.2">
      <c r="A1848" t="s">
        <v>2505</v>
      </c>
      <c r="B1848" s="1" t="s">
        <v>2504</v>
      </c>
      <c r="C1848" t="s">
        <v>43</v>
      </c>
      <c r="D1848" t="s">
        <v>573</v>
      </c>
      <c r="E1848">
        <v>22</v>
      </c>
      <c r="F1848" t="s">
        <v>2198</v>
      </c>
      <c r="G1848">
        <v>2022</v>
      </c>
      <c r="H1848" t="s">
        <v>170</v>
      </c>
      <c r="I1848" t="s">
        <v>171</v>
      </c>
      <c r="J1848">
        <v>0</v>
      </c>
      <c r="K1848">
        <v>0</v>
      </c>
      <c r="L1848">
        <v>0</v>
      </c>
      <c r="M1848">
        <v>0</v>
      </c>
      <c r="N1848">
        <v>0</v>
      </c>
    </row>
    <row r="1849" spans="1:14" x14ac:dyDescent="0.2">
      <c r="A1849" t="s">
        <v>2507</v>
      </c>
      <c r="B1849" s="1" t="s">
        <v>2506</v>
      </c>
      <c r="C1849" t="s">
        <v>43</v>
      </c>
      <c r="D1849" t="s">
        <v>1338</v>
      </c>
      <c r="E1849">
        <v>23</v>
      </c>
      <c r="F1849" t="s">
        <v>2198</v>
      </c>
      <c r="G1849">
        <v>2022</v>
      </c>
      <c r="H1849" t="s">
        <v>193</v>
      </c>
      <c r="I1849" t="s">
        <v>62</v>
      </c>
      <c r="J1849">
        <v>0</v>
      </c>
      <c r="K1849">
        <v>0</v>
      </c>
      <c r="L1849">
        <v>0</v>
      </c>
      <c r="M1849">
        <v>0</v>
      </c>
      <c r="N1849">
        <v>0</v>
      </c>
    </row>
    <row r="1850" spans="1:14" x14ac:dyDescent="0.2">
      <c r="A1850" t="s">
        <v>2508</v>
      </c>
      <c r="B1850" s="1" t="s">
        <v>2504</v>
      </c>
      <c r="C1850" t="s">
        <v>14</v>
      </c>
      <c r="D1850" t="s">
        <v>881</v>
      </c>
      <c r="E1850">
        <v>22</v>
      </c>
      <c r="F1850" t="s">
        <v>2198</v>
      </c>
      <c r="G1850">
        <v>2022</v>
      </c>
      <c r="H1850" t="s">
        <v>2509</v>
      </c>
      <c r="I1850" t="s">
        <v>23</v>
      </c>
      <c r="J1850">
        <v>759.05</v>
      </c>
      <c r="K1850">
        <v>202</v>
      </c>
      <c r="L1850">
        <f t="shared" ref="L1850:L1860" si="476">J1850-K1850</f>
        <v>557.04999999999995</v>
      </c>
      <c r="M1850">
        <v>240</v>
      </c>
      <c r="N1850">
        <f t="shared" ref="N1850:N1860" si="477">L1850-M1850</f>
        <v>317.04999999999995</v>
      </c>
    </row>
    <row r="1851" spans="1:14" x14ac:dyDescent="0.2">
      <c r="A1851" t="s">
        <v>2510</v>
      </c>
      <c r="B1851" s="1" t="s">
        <v>2471</v>
      </c>
      <c r="C1851" t="s">
        <v>14</v>
      </c>
      <c r="D1851" t="s">
        <v>379</v>
      </c>
      <c r="E1851">
        <v>21</v>
      </c>
      <c r="F1851" t="s">
        <v>2198</v>
      </c>
      <c r="G1851">
        <v>2022</v>
      </c>
      <c r="H1851" t="s">
        <v>173</v>
      </c>
      <c r="I1851" t="s">
        <v>62</v>
      </c>
      <c r="J1851">
        <v>759.05</v>
      </c>
      <c r="K1851">
        <v>202</v>
      </c>
      <c r="L1851">
        <f t="shared" si="476"/>
        <v>557.04999999999995</v>
      </c>
      <c r="M1851">
        <v>240</v>
      </c>
      <c r="N1851">
        <f t="shared" si="477"/>
        <v>317.04999999999995</v>
      </c>
    </row>
    <row r="1852" spans="1:14" x14ac:dyDescent="0.2">
      <c r="A1852" t="s">
        <v>2511</v>
      </c>
      <c r="B1852" s="1" t="s">
        <v>2504</v>
      </c>
      <c r="C1852" t="s">
        <v>14</v>
      </c>
      <c r="D1852" t="s">
        <v>445</v>
      </c>
      <c r="E1852">
        <v>22</v>
      </c>
      <c r="F1852" t="s">
        <v>2198</v>
      </c>
      <c r="G1852">
        <v>2022</v>
      </c>
      <c r="H1852" t="s">
        <v>488</v>
      </c>
      <c r="I1852" t="s">
        <v>455</v>
      </c>
      <c r="J1852">
        <v>899</v>
      </c>
      <c r="K1852">
        <v>295</v>
      </c>
      <c r="L1852">
        <f t="shared" si="476"/>
        <v>604</v>
      </c>
      <c r="M1852">
        <v>240</v>
      </c>
      <c r="N1852">
        <f t="shared" si="477"/>
        <v>364</v>
      </c>
    </row>
    <row r="1853" spans="1:14" x14ac:dyDescent="0.2">
      <c r="A1853" t="s">
        <v>2512</v>
      </c>
      <c r="B1853" s="1" t="s">
        <v>2471</v>
      </c>
      <c r="C1853" t="s">
        <v>14</v>
      </c>
      <c r="D1853" t="s">
        <v>420</v>
      </c>
      <c r="E1853">
        <v>21</v>
      </c>
      <c r="F1853" t="s">
        <v>2198</v>
      </c>
      <c r="G1853">
        <v>2022</v>
      </c>
      <c r="H1853" t="s">
        <v>345</v>
      </c>
      <c r="I1853" t="s">
        <v>62</v>
      </c>
      <c r="J1853">
        <v>899</v>
      </c>
      <c r="K1853">
        <v>295</v>
      </c>
      <c r="L1853">
        <f t="shared" si="476"/>
        <v>604</v>
      </c>
      <c r="M1853">
        <v>240</v>
      </c>
      <c r="N1853">
        <f t="shared" si="477"/>
        <v>364</v>
      </c>
    </row>
    <row r="1854" spans="1:14" x14ac:dyDescent="0.2">
      <c r="A1854" t="s">
        <v>2513</v>
      </c>
      <c r="B1854" s="1" t="s">
        <v>2504</v>
      </c>
      <c r="C1854" t="s">
        <v>14</v>
      </c>
      <c r="D1854" t="s">
        <v>242</v>
      </c>
      <c r="E1854">
        <v>22</v>
      </c>
      <c r="F1854" t="s">
        <v>2198</v>
      </c>
      <c r="G1854">
        <v>2022</v>
      </c>
      <c r="H1854" t="s">
        <v>2514</v>
      </c>
      <c r="I1854" t="s">
        <v>58</v>
      </c>
      <c r="J1854">
        <v>899</v>
      </c>
      <c r="K1854">
        <v>295</v>
      </c>
      <c r="L1854">
        <f t="shared" si="476"/>
        <v>604</v>
      </c>
      <c r="M1854">
        <v>240</v>
      </c>
      <c r="N1854">
        <f t="shared" si="477"/>
        <v>364</v>
      </c>
    </row>
    <row r="1855" spans="1:14" x14ac:dyDescent="0.2">
      <c r="A1855" t="s">
        <v>2515</v>
      </c>
      <c r="B1855" s="1" t="s">
        <v>2504</v>
      </c>
      <c r="C1855" t="s">
        <v>14</v>
      </c>
      <c r="D1855" t="s">
        <v>809</v>
      </c>
      <c r="E1855">
        <v>22</v>
      </c>
      <c r="F1855" t="s">
        <v>2198</v>
      </c>
      <c r="G1855">
        <v>2022</v>
      </c>
      <c r="H1855" t="s">
        <v>2516</v>
      </c>
      <c r="I1855" t="s">
        <v>455</v>
      </c>
      <c r="J1855">
        <v>949.05</v>
      </c>
      <c r="K1855">
        <v>306</v>
      </c>
      <c r="L1855">
        <f t="shared" si="476"/>
        <v>643.04999999999995</v>
      </c>
      <c r="M1855">
        <v>240</v>
      </c>
      <c r="N1855">
        <f t="shared" si="477"/>
        <v>403.04999999999995</v>
      </c>
    </row>
    <row r="1856" spans="1:14" x14ac:dyDescent="0.2">
      <c r="A1856" t="s">
        <v>2517</v>
      </c>
      <c r="B1856" s="1" t="s">
        <v>2504</v>
      </c>
      <c r="C1856" t="s">
        <v>14</v>
      </c>
      <c r="D1856" t="s">
        <v>1386</v>
      </c>
      <c r="E1856">
        <v>22</v>
      </c>
      <c r="F1856" t="s">
        <v>2198</v>
      </c>
      <c r="G1856">
        <v>2022</v>
      </c>
      <c r="H1856" t="s">
        <v>104</v>
      </c>
      <c r="I1856" t="s">
        <v>62</v>
      </c>
      <c r="J1856">
        <v>799</v>
      </c>
      <c r="K1856">
        <v>205</v>
      </c>
      <c r="L1856">
        <f t="shared" si="476"/>
        <v>594</v>
      </c>
      <c r="M1856">
        <v>240</v>
      </c>
      <c r="N1856">
        <f t="shared" si="477"/>
        <v>354</v>
      </c>
    </row>
    <row r="1857" spans="1:14" x14ac:dyDescent="0.2">
      <c r="A1857" t="s">
        <v>2518</v>
      </c>
      <c r="B1857" s="1" t="s">
        <v>2471</v>
      </c>
      <c r="C1857" t="s">
        <v>14</v>
      </c>
      <c r="D1857" t="s">
        <v>448</v>
      </c>
      <c r="E1857">
        <v>21</v>
      </c>
      <c r="F1857" t="s">
        <v>2198</v>
      </c>
      <c r="G1857">
        <v>2022</v>
      </c>
      <c r="H1857" t="s">
        <v>2519</v>
      </c>
      <c r="I1857" t="s">
        <v>502</v>
      </c>
      <c r="J1857">
        <v>854.05</v>
      </c>
      <c r="K1857">
        <v>270</v>
      </c>
      <c r="L1857">
        <f t="shared" si="476"/>
        <v>584.04999999999995</v>
      </c>
      <c r="M1857">
        <v>240</v>
      </c>
      <c r="N1857">
        <f t="shared" si="477"/>
        <v>344.04999999999995</v>
      </c>
    </row>
    <row r="1858" spans="1:14" x14ac:dyDescent="0.2">
      <c r="A1858" t="s">
        <v>2520</v>
      </c>
      <c r="B1858" s="1" t="s">
        <v>2504</v>
      </c>
      <c r="C1858" t="s">
        <v>14</v>
      </c>
      <c r="D1858" t="s">
        <v>573</v>
      </c>
      <c r="E1858">
        <v>22</v>
      </c>
      <c r="F1858" t="s">
        <v>2198</v>
      </c>
      <c r="G1858">
        <v>2022</v>
      </c>
      <c r="H1858" t="s">
        <v>101</v>
      </c>
      <c r="I1858" t="s">
        <v>62</v>
      </c>
      <c r="J1858">
        <v>854.05</v>
      </c>
      <c r="K1858">
        <v>270</v>
      </c>
      <c r="L1858">
        <f t="shared" si="476"/>
        <v>584.04999999999995</v>
      </c>
      <c r="M1858">
        <v>240</v>
      </c>
      <c r="N1858">
        <f t="shared" si="477"/>
        <v>344.04999999999995</v>
      </c>
    </row>
    <row r="1859" spans="1:14" x14ac:dyDescent="0.2">
      <c r="A1859" t="s">
        <v>2521</v>
      </c>
      <c r="B1859" s="1" t="s">
        <v>2504</v>
      </c>
      <c r="C1859" t="s">
        <v>14</v>
      </c>
      <c r="D1859" t="s">
        <v>1508</v>
      </c>
      <c r="E1859">
        <v>22</v>
      </c>
      <c r="F1859" t="s">
        <v>2198</v>
      </c>
      <c r="G1859">
        <v>2022</v>
      </c>
      <c r="H1859" t="s">
        <v>2522</v>
      </c>
      <c r="I1859" t="s">
        <v>85</v>
      </c>
      <c r="J1859">
        <v>999</v>
      </c>
      <c r="K1859">
        <v>325</v>
      </c>
      <c r="L1859">
        <f t="shared" si="476"/>
        <v>674</v>
      </c>
      <c r="M1859">
        <v>240</v>
      </c>
      <c r="N1859">
        <f t="shared" si="477"/>
        <v>434</v>
      </c>
    </row>
    <row r="1860" spans="1:14" x14ac:dyDescent="0.2">
      <c r="A1860" t="s">
        <v>2523</v>
      </c>
      <c r="B1860" s="1" t="s">
        <v>2504</v>
      </c>
      <c r="C1860" t="s">
        <v>14</v>
      </c>
      <c r="D1860" t="s">
        <v>792</v>
      </c>
      <c r="E1860">
        <v>22</v>
      </c>
      <c r="F1860" t="s">
        <v>2198</v>
      </c>
      <c r="G1860">
        <v>2022</v>
      </c>
      <c r="H1860" t="s">
        <v>359</v>
      </c>
      <c r="I1860" t="s">
        <v>85</v>
      </c>
      <c r="J1860">
        <v>849</v>
      </c>
      <c r="K1860">
        <v>250</v>
      </c>
      <c r="L1860">
        <f t="shared" si="476"/>
        <v>599</v>
      </c>
      <c r="M1860">
        <v>240</v>
      </c>
      <c r="N1860">
        <f t="shared" si="477"/>
        <v>359</v>
      </c>
    </row>
    <row r="1861" spans="1:14" x14ac:dyDescent="0.2">
      <c r="A1861" t="s">
        <v>2524</v>
      </c>
      <c r="B1861" s="1" t="s">
        <v>2506</v>
      </c>
      <c r="C1861" t="s">
        <v>43</v>
      </c>
      <c r="D1861" t="s">
        <v>2310</v>
      </c>
      <c r="E1861">
        <v>23</v>
      </c>
      <c r="F1861" t="s">
        <v>2198</v>
      </c>
      <c r="G1861">
        <v>2022</v>
      </c>
      <c r="H1861" t="s">
        <v>2525</v>
      </c>
      <c r="I1861" t="s">
        <v>23</v>
      </c>
      <c r="J1861">
        <v>0</v>
      </c>
      <c r="K1861">
        <v>0</v>
      </c>
      <c r="L1861">
        <v>0</v>
      </c>
      <c r="M1861">
        <v>0</v>
      </c>
      <c r="N1861">
        <v>0</v>
      </c>
    </row>
    <row r="1862" spans="1:14" x14ac:dyDescent="0.2">
      <c r="A1862" t="s">
        <v>2363</v>
      </c>
      <c r="B1862" s="1" t="s">
        <v>2334</v>
      </c>
      <c r="C1862" t="s">
        <v>106</v>
      </c>
      <c r="D1862" t="s">
        <v>893</v>
      </c>
      <c r="E1862">
        <v>14</v>
      </c>
      <c r="F1862" t="s">
        <v>2198</v>
      </c>
      <c r="G1862">
        <v>2022</v>
      </c>
      <c r="H1862" t="s">
        <v>157</v>
      </c>
      <c r="I1862" t="s">
        <v>97</v>
      </c>
      <c r="J1862">
        <v>-849</v>
      </c>
      <c r="K1862">
        <v>345</v>
      </c>
      <c r="L1862">
        <f>J1862+K1862</f>
        <v>-504</v>
      </c>
      <c r="M1862">
        <v>240</v>
      </c>
      <c r="N1862">
        <f>L1862+M1862</f>
        <v>-264</v>
      </c>
    </row>
    <row r="1863" spans="1:14" x14ac:dyDescent="0.2">
      <c r="A1863" t="s">
        <v>2526</v>
      </c>
      <c r="B1863" s="1" t="s">
        <v>2506</v>
      </c>
      <c r="C1863" t="s">
        <v>14</v>
      </c>
      <c r="D1863" t="s">
        <v>477</v>
      </c>
      <c r="E1863">
        <v>23</v>
      </c>
      <c r="F1863" t="s">
        <v>2198</v>
      </c>
      <c r="G1863">
        <v>2022</v>
      </c>
      <c r="H1863" t="s">
        <v>2527</v>
      </c>
      <c r="I1863" t="s">
        <v>32</v>
      </c>
      <c r="J1863">
        <v>854.05</v>
      </c>
      <c r="K1863">
        <v>270</v>
      </c>
      <c r="L1863">
        <f t="shared" ref="L1863:L1881" si="478">J1863-K1863</f>
        <v>584.04999999999995</v>
      </c>
      <c r="M1863">
        <v>240</v>
      </c>
      <c r="N1863">
        <f t="shared" ref="N1863:N1881" si="479">L1863-M1863</f>
        <v>344.04999999999995</v>
      </c>
    </row>
    <row r="1864" spans="1:14" x14ac:dyDescent="0.2">
      <c r="A1864" t="s">
        <v>2528</v>
      </c>
      <c r="B1864" s="1" t="s">
        <v>2504</v>
      </c>
      <c r="C1864" t="s">
        <v>14</v>
      </c>
      <c r="D1864" t="s">
        <v>81</v>
      </c>
      <c r="E1864">
        <v>22</v>
      </c>
      <c r="F1864" t="s">
        <v>2198</v>
      </c>
      <c r="G1864">
        <v>2022</v>
      </c>
      <c r="H1864" t="s">
        <v>84</v>
      </c>
      <c r="I1864" t="s">
        <v>85</v>
      </c>
      <c r="J1864">
        <v>849</v>
      </c>
      <c r="K1864">
        <v>250</v>
      </c>
      <c r="L1864">
        <f t="shared" si="478"/>
        <v>599</v>
      </c>
      <c r="M1864">
        <v>240</v>
      </c>
      <c r="N1864">
        <f t="shared" si="479"/>
        <v>359</v>
      </c>
    </row>
    <row r="1865" spans="1:14" x14ac:dyDescent="0.2">
      <c r="A1865" t="s">
        <v>2529</v>
      </c>
      <c r="B1865" s="1" t="s">
        <v>2506</v>
      </c>
      <c r="C1865" t="s">
        <v>14</v>
      </c>
      <c r="D1865" t="s">
        <v>1556</v>
      </c>
      <c r="E1865">
        <v>23</v>
      </c>
      <c r="F1865" t="s">
        <v>2198</v>
      </c>
      <c r="G1865">
        <v>2022</v>
      </c>
      <c r="H1865" t="s">
        <v>2527</v>
      </c>
      <c r="I1865" t="s">
        <v>32</v>
      </c>
      <c r="J1865">
        <v>899</v>
      </c>
      <c r="K1865">
        <v>295</v>
      </c>
      <c r="L1865">
        <f t="shared" si="478"/>
        <v>604</v>
      </c>
      <c r="M1865">
        <v>240</v>
      </c>
      <c r="N1865">
        <f t="shared" si="479"/>
        <v>364</v>
      </c>
    </row>
    <row r="1866" spans="1:14" x14ac:dyDescent="0.2">
      <c r="A1866" t="s">
        <v>2530</v>
      </c>
      <c r="B1866" s="1" t="s">
        <v>2506</v>
      </c>
      <c r="C1866" t="s">
        <v>14</v>
      </c>
      <c r="D1866" t="s">
        <v>81</v>
      </c>
      <c r="E1866">
        <v>23</v>
      </c>
      <c r="F1866" t="s">
        <v>2198</v>
      </c>
      <c r="G1866">
        <v>2022</v>
      </c>
      <c r="H1866" t="s">
        <v>2531</v>
      </c>
      <c r="I1866" t="s">
        <v>23</v>
      </c>
      <c r="J1866">
        <v>806.55</v>
      </c>
      <c r="K1866">
        <v>227</v>
      </c>
      <c r="L1866">
        <f t="shared" si="478"/>
        <v>579.54999999999995</v>
      </c>
      <c r="M1866">
        <v>240</v>
      </c>
      <c r="N1866">
        <f t="shared" si="479"/>
        <v>339.54999999999995</v>
      </c>
    </row>
    <row r="1867" spans="1:14" x14ac:dyDescent="0.2">
      <c r="A1867" t="s">
        <v>2532</v>
      </c>
      <c r="B1867" s="1" t="s">
        <v>2506</v>
      </c>
      <c r="C1867" t="s">
        <v>14</v>
      </c>
      <c r="D1867" t="s">
        <v>893</v>
      </c>
      <c r="E1867">
        <v>23</v>
      </c>
      <c r="F1867" t="s">
        <v>2198</v>
      </c>
      <c r="G1867">
        <v>2022</v>
      </c>
      <c r="H1867" t="s">
        <v>18</v>
      </c>
      <c r="I1867" t="s">
        <v>19</v>
      </c>
      <c r="J1867">
        <v>849</v>
      </c>
      <c r="K1867">
        <v>250</v>
      </c>
      <c r="L1867">
        <f t="shared" si="478"/>
        <v>599</v>
      </c>
      <c r="M1867">
        <v>240</v>
      </c>
      <c r="N1867">
        <f t="shared" si="479"/>
        <v>359</v>
      </c>
    </row>
    <row r="1868" spans="1:14" x14ac:dyDescent="0.2">
      <c r="A1868" t="s">
        <v>2533</v>
      </c>
      <c r="B1868" s="1" t="s">
        <v>2504</v>
      </c>
      <c r="C1868" t="s">
        <v>14</v>
      </c>
      <c r="D1868" t="s">
        <v>1556</v>
      </c>
      <c r="E1868">
        <v>22</v>
      </c>
      <c r="F1868" t="s">
        <v>2198</v>
      </c>
      <c r="G1868">
        <v>2022</v>
      </c>
      <c r="H1868" t="s">
        <v>775</v>
      </c>
      <c r="I1868" t="s">
        <v>502</v>
      </c>
      <c r="J1868">
        <v>899</v>
      </c>
      <c r="K1868">
        <v>295</v>
      </c>
      <c r="L1868">
        <f t="shared" si="478"/>
        <v>604</v>
      </c>
      <c r="M1868">
        <v>240</v>
      </c>
      <c r="N1868">
        <f t="shared" si="479"/>
        <v>364</v>
      </c>
    </row>
    <row r="1869" spans="1:14" x14ac:dyDescent="0.2">
      <c r="A1869" t="s">
        <v>2534</v>
      </c>
      <c r="B1869" s="1" t="s">
        <v>2506</v>
      </c>
      <c r="C1869" t="s">
        <v>14</v>
      </c>
      <c r="D1869" t="s">
        <v>809</v>
      </c>
      <c r="E1869">
        <v>23</v>
      </c>
      <c r="F1869" t="s">
        <v>2198</v>
      </c>
      <c r="G1869">
        <v>2022</v>
      </c>
      <c r="H1869" t="s">
        <v>170</v>
      </c>
      <c r="I1869" t="s">
        <v>171</v>
      </c>
      <c r="J1869">
        <v>999</v>
      </c>
      <c r="K1869">
        <v>325</v>
      </c>
      <c r="L1869">
        <f t="shared" si="478"/>
        <v>674</v>
      </c>
      <c r="M1869">
        <v>240</v>
      </c>
      <c r="N1869">
        <f t="shared" si="479"/>
        <v>434</v>
      </c>
    </row>
    <row r="1870" spans="1:14" x14ac:dyDescent="0.2">
      <c r="A1870" t="s">
        <v>2505</v>
      </c>
      <c r="B1870" s="1" t="s">
        <v>2504</v>
      </c>
      <c r="C1870" t="s">
        <v>14</v>
      </c>
      <c r="D1870" t="s">
        <v>573</v>
      </c>
      <c r="E1870">
        <v>22</v>
      </c>
      <c r="F1870" t="s">
        <v>2198</v>
      </c>
      <c r="G1870">
        <v>2022</v>
      </c>
      <c r="H1870" t="s">
        <v>170</v>
      </c>
      <c r="I1870" t="s">
        <v>171</v>
      </c>
      <c r="J1870">
        <v>899</v>
      </c>
      <c r="K1870">
        <v>295</v>
      </c>
      <c r="L1870">
        <f t="shared" si="478"/>
        <v>604</v>
      </c>
      <c r="M1870">
        <v>240</v>
      </c>
      <c r="N1870">
        <f t="shared" si="479"/>
        <v>364</v>
      </c>
    </row>
    <row r="1871" spans="1:14" x14ac:dyDescent="0.2">
      <c r="A1871" t="s">
        <v>2535</v>
      </c>
      <c r="B1871" s="1" t="s">
        <v>2504</v>
      </c>
      <c r="C1871" t="s">
        <v>14</v>
      </c>
      <c r="D1871" t="s">
        <v>2536</v>
      </c>
      <c r="E1871">
        <v>22</v>
      </c>
      <c r="F1871" t="s">
        <v>2198</v>
      </c>
      <c r="G1871">
        <v>2022</v>
      </c>
      <c r="H1871" t="s">
        <v>157</v>
      </c>
      <c r="I1871" t="s">
        <v>97</v>
      </c>
      <c r="J1871">
        <v>799</v>
      </c>
      <c r="K1871">
        <v>205</v>
      </c>
      <c r="L1871">
        <f t="shared" si="478"/>
        <v>594</v>
      </c>
      <c r="M1871">
        <v>240</v>
      </c>
      <c r="N1871">
        <f t="shared" si="479"/>
        <v>354</v>
      </c>
    </row>
    <row r="1872" spans="1:14" x14ac:dyDescent="0.2">
      <c r="A1872" t="s">
        <v>2537</v>
      </c>
      <c r="B1872" s="1" t="s">
        <v>2506</v>
      </c>
      <c r="C1872" t="s">
        <v>14</v>
      </c>
      <c r="D1872" t="s">
        <v>1386</v>
      </c>
      <c r="E1872">
        <v>23</v>
      </c>
      <c r="F1872" t="s">
        <v>2198</v>
      </c>
      <c r="G1872">
        <v>2022</v>
      </c>
      <c r="H1872" t="s">
        <v>170</v>
      </c>
      <c r="I1872" t="s">
        <v>171</v>
      </c>
      <c r="J1872">
        <v>799</v>
      </c>
      <c r="K1872">
        <v>205</v>
      </c>
      <c r="L1872">
        <f t="shared" si="478"/>
        <v>594</v>
      </c>
      <c r="M1872">
        <v>240</v>
      </c>
      <c r="N1872">
        <f t="shared" si="479"/>
        <v>354</v>
      </c>
    </row>
    <row r="1873" spans="1:14" x14ac:dyDescent="0.2">
      <c r="A1873" t="s">
        <v>2538</v>
      </c>
      <c r="B1873" s="1" t="s">
        <v>2504</v>
      </c>
      <c r="C1873" t="s">
        <v>14</v>
      </c>
      <c r="D1873" t="s">
        <v>2539</v>
      </c>
      <c r="E1873">
        <v>22</v>
      </c>
      <c r="F1873" t="s">
        <v>2198</v>
      </c>
      <c r="G1873">
        <v>2022</v>
      </c>
      <c r="H1873" t="s">
        <v>2540</v>
      </c>
      <c r="I1873" t="s">
        <v>122</v>
      </c>
      <c r="J1873">
        <v>799</v>
      </c>
      <c r="K1873">
        <v>205</v>
      </c>
      <c r="L1873">
        <f t="shared" si="478"/>
        <v>594</v>
      </c>
      <c r="M1873">
        <v>240</v>
      </c>
      <c r="N1873">
        <f t="shared" si="479"/>
        <v>354</v>
      </c>
    </row>
    <row r="1874" spans="1:14" x14ac:dyDescent="0.2">
      <c r="A1874" t="s">
        <v>2542</v>
      </c>
      <c r="B1874" s="1" t="s">
        <v>2541</v>
      </c>
      <c r="C1874" t="s">
        <v>14</v>
      </c>
      <c r="D1874" t="s">
        <v>812</v>
      </c>
      <c r="E1874">
        <v>24</v>
      </c>
      <c r="F1874" t="s">
        <v>2198</v>
      </c>
      <c r="G1874">
        <v>2022</v>
      </c>
      <c r="H1874" t="s">
        <v>162</v>
      </c>
      <c r="I1874" t="s">
        <v>163</v>
      </c>
      <c r="J1874">
        <v>949.05</v>
      </c>
      <c r="K1874">
        <v>306</v>
      </c>
      <c r="L1874">
        <f t="shared" si="478"/>
        <v>643.04999999999995</v>
      </c>
      <c r="M1874">
        <v>240</v>
      </c>
      <c r="N1874">
        <f t="shared" si="479"/>
        <v>403.04999999999995</v>
      </c>
    </row>
    <row r="1875" spans="1:14" x14ac:dyDescent="0.2">
      <c r="A1875" t="s">
        <v>2543</v>
      </c>
      <c r="B1875" s="1" t="s">
        <v>2506</v>
      </c>
      <c r="C1875" t="s">
        <v>14</v>
      </c>
      <c r="D1875" t="s">
        <v>1168</v>
      </c>
      <c r="E1875">
        <v>23</v>
      </c>
      <c r="F1875" t="s">
        <v>2198</v>
      </c>
      <c r="G1875">
        <v>2022</v>
      </c>
      <c r="H1875" t="s">
        <v>157</v>
      </c>
      <c r="I1875" t="s">
        <v>97</v>
      </c>
      <c r="J1875">
        <v>799</v>
      </c>
      <c r="K1875">
        <v>205</v>
      </c>
      <c r="L1875">
        <f t="shared" si="478"/>
        <v>594</v>
      </c>
      <c r="M1875">
        <v>240</v>
      </c>
      <c r="N1875">
        <f t="shared" si="479"/>
        <v>354</v>
      </c>
    </row>
    <row r="1876" spans="1:14" x14ac:dyDescent="0.2">
      <c r="A1876" t="s">
        <v>2544</v>
      </c>
      <c r="B1876" s="1" t="s">
        <v>2506</v>
      </c>
      <c r="C1876" t="s">
        <v>14</v>
      </c>
      <c r="D1876" t="s">
        <v>1671</v>
      </c>
      <c r="E1876">
        <v>23</v>
      </c>
      <c r="F1876" t="s">
        <v>2198</v>
      </c>
      <c r="G1876">
        <v>2022</v>
      </c>
      <c r="H1876" t="s">
        <v>2545</v>
      </c>
      <c r="I1876" t="s">
        <v>23</v>
      </c>
      <c r="J1876">
        <v>799</v>
      </c>
      <c r="K1876">
        <v>205</v>
      </c>
      <c r="L1876">
        <f t="shared" si="478"/>
        <v>594</v>
      </c>
      <c r="M1876">
        <v>240</v>
      </c>
      <c r="N1876">
        <f t="shared" si="479"/>
        <v>354</v>
      </c>
    </row>
    <row r="1877" spans="1:14" x14ac:dyDescent="0.2">
      <c r="A1877" t="s">
        <v>2544</v>
      </c>
      <c r="B1877" s="1" t="s">
        <v>2506</v>
      </c>
      <c r="C1877" t="s">
        <v>14</v>
      </c>
      <c r="D1877" t="s">
        <v>1171</v>
      </c>
      <c r="E1877">
        <v>23</v>
      </c>
      <c r="F1877" t="s">
        <v>2198</v>
      </c>
      <c r="G1877">
        <v>2022</v>
      </c>
      <c r="H1877" t="s">
        <v>2545</v>
      </c>
      <c r="I1877" t="s">
        <v>23</v>
      </c>
      <c r="J1877">
        <v>799</v>
      </c>
      <c r="K1877">
        <v>205</v>
      </c>
      <c r="L1877">
        <f t="shared" si="478"/>
        <v>594</v>
      </c>
      <c r="M1877">
        <v>240</v>
      </c>
      <c r="N1877">
        <f t="shared" si="479"/>
        <v>354</v>
      </c>
    </row>
    <row r="1878" spans="1:14" x14ac:dyDescent="0.2">
      <c r="A1878" t="s">
        <v>2546</v>
      </c>
      <c r="B1878" s="1" t="s">
        <v>2506</v>
      </c>
      <c r="C1878" t="s">
        <v>14</v>
      </c>
      <c r="D1878" t="s">
        <v>548</v>
      </c>
      <c r="E1878">
        <v>23</v>
      </c>
      <c r="F1878" t="s">
        <v>2198</v>
      </c>
      <c r="G1878">
        <v>2022</v>
      </c>
      <c r="H1878" t="s">
        <v>157</v>
      </c>
      <c r="I1878" t="s">
        <v>97</v>
      </c>
      <c r="J1878">
        <v>854.05</v>
      </c>
      <c r="K1878">
        <v>270</v>
      </c>
      <c r="L1878">
        <f t="shared" si="478"/>
        <v>584.04999999999995</v>
      </c>
      <c r="M1878">
        <v>240</v>
      </c>
      <c r="N1878">
        <f t="shared" si="479"/>
        <v>344.04999999999995</v>
      </c>
    </row>
    <row r="1879" spans="1:14" x14ac:dyDescent="0.2">
      <c r="A1879" t="s">
        <v>2547</v>
      </c>
      <c r="B1879" s="1" t="s">
        <v>2506</v>
      </c>
      <c r="C1879" t="s">
        <v>14</v>
      </c>
      <c r="D1879" t="s">
        <v>2548</v>
      </c>
      <c r="E1879">
        <v>23</v>
      </c>
      <c r="F1879" t="s">
        <v>2198</v>
      </c>
      <c r="G1879">
        <v>2022</v>
      </c>
      <c r="H1879" t="s">
        <v>91</v>
      </c>
      <c r="I1879" t="s">
        <v>23</v>
      </c>
      <c r="J1879">
        <v>799</v>
      </c>
      <c r="K1879">
        <v>205</v>
      </c>
      <c r="L1879">
        <f t="shared" si="478"/>
        <v>594</v>
      </c>
      <c r="M1879">
        <v>240</v>
      </c>
      <c r="N1879">
        <f t="shared" si="479"/>
        <v>354</v>
      </c>
    </row>
    <row r="1880" spans="1:14" x14ac:dyDescent="0.2">
      <c r="A1880" t="s">
        <v>2549</v>
      </c>
      <c r="B1880" s="1" t="s">
        <v>2506</v>
      </c>
      <c r="C1880" t="s">
        <v>14</v>
      </c>
      <c r="D1880" t="s">
        <v>379</v>
      </c>
      <c r="E1880">
        <v>23</v>
      </c>
      <c r="F1880" t="s">
        <v>2198</v>
      </c>
      <c r="G1880">
        <v>2022</v>
      </c>
      <c r="H1880" t="s">
        <v>2550</v>
      </c>
      <c r="I1880" t="s">
        <v>85</v>
      </c>
      <c r="J1880">
        <v>799</v>
      </c>
      <c r="K1880">
        <v>205</v>
      </c>
      <c r="L1880">
        <f t="shared" si="478"/>
        <v>594</v>
      </c>
      <c r="M1880">
        <v>240</v>
      </c>
      <c r="N1880">
        <f t="shared" si="479"/>
        <v>354</v>
      </c>
    </row>
    <row r="1881" spans="1:14" x14ac:dyDescent="0.2">
      <c r="A1881" t="s">
        <v>2507</v>
      </c>
      <c r="B1881" s="1" t="s">
        <v>2506</v>
      </c>
      <c r="C1881" t="s">
        <v>14</v>
      </c>
      <c r="D1881" t="s">
        <v>1338</v>
      </c>
      <c r="E1881">
        <v>23</v>
      </c>
      <c r="F1881" t="s">
        <v>2198</v>
      </c>
      <c r="G1881">
        <v>2022</v>
      </c>
      <c r="H1881" t="s">
        <v>193</v>
      </c>
      <c r="I1881" t="s">
        <v>62</v>
      </c>
      <c r="J1881">
        <v>799</v>
      </c>
      <c r="K1881">
        <v>205</v>
      </c>
      <c r="L1881">
        <f t="shared" si="478"/>
        <v>594</v>
      </c>
      <c r="M1881">
        <v>240</v>
      </c>
      <c r="N1881">
        <f t="shared" si="479"/>
        <v>354</v>
      </c>
    </row>
    <row r="1882" spans="1:14" x14ac:dyDescent="0.2">
      <c r="A1882" t="s">
        <v>2368</v>
      </c>
      <c r="B1882" s="1" t="s">
        <v>2355</v>
      </c>
      <c r="C1882" t="s">
        <v>106</v>
      </c>
      <c r="D1882" t="s">
        <v>798</v>
      </c>
      <c r="E1882">
        <v>15</v>
      </c>
      <c r="F1882" t="s">
        <v>2198</v>
      </c>
      <c r="G1882">
        <v>2022</v>
      </c>
      <c r="H1882" t="s">
        <v>162</v>
      </c>
      <c r="I1882" t="s">
        <v>163</v>
      </c>
      <c r="J1882">
        <v>-759.05</v>
      </c>
      <c r="K1882">
        <v>320</v>
      </c>
      <c r="L1882">
        <f>J1882+K1882</f>
        <v>-439.04999999999995</v>
      </c>
      <c r="M1882">
        <v>240</v>
      </c>
      <c r="N1882">
        <f>L1882+M1882</f>
        <v>-199.04999999999995</v>
      </c>
    </row>
    <row r="1883" spans="1:14" x14ac:dyDescent="0.2">
      <c r="A1883" t="s">
        <v>2551</v>
      </c>
      <c r="B1883" s="1" t="s">
        <v>2541</v>
      </c>
      <c r="C1883" t="s">
        <v>43</v>
      </c>
      <c r="D1883" t="s">
        <v>2552</v>
      </c>
      <c r="E1883">
        <v>24</v>
      </c>
      <c r="F1883" t="s">
        <v>2198</v>
      </c>
      <c r="G1883">
        <v>2022</v>
      </c>
      <c r="H1883" t="s">
        <v>2553</v>
      </c>
      <c r="I1883" t="s">
        <v>135</v>
      </c>
      <c r="J1883">
        <v>0</v>
      </c>
      <c r="K1883">
        <v>0</v>
      </c>
      <c r="L1883">
        <v>0</v>
      </c>
      <c r="M1883">
        <v>0</v>
      </c>
      <c r="N1883">
        <v>0</v>
      </c>
    </row>
    <row r="1884" spans="1:14" x14ac:dyDescent="0.2">
      <c r="A1884" t="s">
        <v>2554</v>
      </c>
      <c r="B1884" s="1" t="s">
        <v>2541</v>
      </c>
      <c r="C1884" t="s">
        <v>43</v>
      </c>
      <c r="D1884" t="s">
        <v>2555</v>
      </c>
      <c r="E1884">
        <v>24</v>
      </c>
      <c r="F1884" t="s">
        <v>2198</v>
      </c>
      <c r="G1884">
        <v>2022</v>
      </c>
      <c r="H1884" t="s">
        <v>1894</v>
      </c>
      <c r="I1884" t="s">
        <v>85</v>
      </c>
      <c r="J1884">
        <v>0</v>
      </c>
      <c r="K1884">
        <v>0</v>
      </c>
      <c r="L1884">
        <v>0</v>
      </c>
      <c r="M1884">
        <v>0</v>
      </c>
      <c r="N1884">
        <v>0</v>
      </c>
    </row>
    <row r="1885" spans="1:14" x14ac:dyDescent="0.2">
      <c r="A1885" t="s">
        <v>2556</v>
      </c>
      <c r="B1885" s="1" t="s">
        <v>2471</v>
      </c>
      <c r="C1885" t="s">
        <v>43</v>
      </c>
      <c r="D1885" t="s">
        <v>822</v>
      </c>
      <c r="E1885">
        <v>21</v>
      </c>
      <c r="F1885" t="s">
        <v>2198</v>
      </c>
      <c r="G1885">
        <v>2022</v>
      </c>
      <c r="H1885" t="s">
        <v>157</v>
      </c>
      <c r="I1885" t="s">
        <v>97</v>
      </c>
      <c r="J1885">
        <v>0</v>
      </c>
      <c r="K1885">
        <v>0</v>
      </c>
      <c r="L1885">
        <v>0</v>
      </c>
      <c r="M1885">
        <v>0</v>
      </c>
      <c r="N1885">
        <v>0</v>
      </c>
    </row>
    <row r="1886" spans="1:14" x14ac:dyDescent="0.2">
      <c r="A1886" t="s">
        <v>2557</v>
      </c>
      <c r="B1886" s="1" t="s">
        <v>2506</v>
      </c>
      <c r="C1886" t="s">
        <v>14</v>
      </c>
      <c r="D1886" t="s">
        <v>809</v>
      </c>
      <c r="E1886">
        <v>23</v>
      </c>
      <c r="F1886" t="s">
        <v>2198</v>
      </c>
      <c r="G1886">
        <v>2022</v>
      </c>
      <c r="H1886" t="s">
        <v>2558</v>
      </c>
      <c r="I1886" t="s">
        <v>58</v>
      </c>
      <c r="J1886">
        <v>999</v>
      </c>
      <c r="K1886">
        <v>325</v>
      </c>
      <c r="L1886">
        <f t="shared" ref="L1886:L1906" si="480">J1886-K1886</f>
        <v>674</v>
      </c>
      <c r="M1886">
        <v>240</v>
      </c>
      <c r="N1886">
        <f t="shared" ref="N1886:N1906" si="481">L1886-M1886</f>
        <v>434</v>
      </c>
    </row>
    <row r="1887" spans="1:14" x14ac:dyDescent="0.2">
      <c r="A1887" t="s">
        <v>2559</v>
      </c>
      <c r="B1887" s="1" t="s">
        <v>2541</v>
      </c>
      <c r="C1887" t="s">
        <v>14</v>
      </c>
      <c r="D1887" t="s">
        <v>452</v>
      </c>
      <c r="E1887">
        <v>24</v>
      </c>
      <c r="F1887" t="s">
        <v>2198</v>
      </c>
      <c r="G1887">
        <v>2022</v>
      </c>
      <c r="H1887" t="s">
        <v>2560</v>
      </c>
      <c r="I1887" t="s">
        <v>23</v>
      </c>
      <c r="J1887">
        <v>759.05</v>
      </c>
      <c r="K1887">
        <v>202</v>
      </c>
      <c r="L1887">
        <f t="shared" si="480"/>
        <v>557.04999999999995</v>
      </c>
      <c r="M1887">
        <v>240</v>
      </c>
      <c r="N1887">
        <f t="shared" si="481"/>
        <v>317.04999999999995</v>
      </c>
    </row>
    <row r="1888" spans="1:14" x14ac:dyDescent="0.2">
      <c r="A1888" t="s">
        <v>2561</v>
      </c>
      <c r="B1888" s="1" t="s">
        <v>2541</v>
      </c>
      <c r="C1888" t="s">
        <v>14</v>
      </c>
      <c r="D1888" t="s">
        <v>477</v>
      </c>
      <c r="E1888">
        <v>24</v>
      </c>
      <c r="F1888" t="s">
        <v>2198</v>
      </c>
      <c r="G1888">
        <v>2022</v>
      </c>
      <c r="H1888" t="s">
        <v>898</v>
      </c>
      <c r="I1888" t="s">
        <v>32</v>
      </c>
      <c r="J1888">
        <v>899</v>
      </c>
      <c r="K1888">
        <v>295</v>
      </c>
      <c r="L1888">
        <f t="shared" si="480"/>
        <v>604</v>
      </c>
      <c r="M1888">
        <v>240</v>
      </c>
      <c r="N1888">
        <f t="shared" si="481"/>
        <v>364</v>
      </c>
    </row>
    <row r="1889" spans="1:14" x14ac:dyDescent="0.2">
      <c r="A1889" t="s">
        <v>2562</v>
      </c>
      <c r="B1889" s="1" t="s">
        <v>2541</v>
      </c>
      <c r="C1889" t="s">
        <v>14</v>
      </c>
      <c r="D1889" t="s">
        <v>81</v>
      </c>
      <c r="E1889">
        <v>24</v>
      </c>
      <c r="F1889" t="s">
        <v>2198</v>
      </c>
      <c r="G1889">
        <v>2022</v>
      </c>
      <c r="H1889" t="s">
        <v>84</v>
      </c>
      <c r="I1889" t="s">
        <v>85</v>
      </c>
      <c r="J1889">
        <v>849</v>
      </c>
      <c r="K1889">
        <v>250</v>
      </c>
      <c r="L1889">
        <f t="shared" si="480"/>
        <v>599</v>
      </c>
      <c r="M1889">
        <v>240</v>
      </c>
      <c r="N1889">
        <f t="shared" si="481"/>
        <v>359</v>
      </c>
    </row>
    <row r="1890" spans="1:14" x14ac:dyDescent="0.2">
      <c r="A1890" t="s">
        <v>2563</v>
      </c>
      <c r="B1890" s="1" t="s">
        <v>2541</v>
      </c>
      <c r="C1890" t="s">
        <v>14</v>
      </c>
      <c r="D1890" t="s">
        <v>881</v>
      </c>
      <c r="E1890">
        <v>24</v>
      </c>
      <c r="F1890" t="s">
        <v>2198</v>
      </c>
      <c r="G1890">
        <v>2022</v>
      </c>
      <c r="H1890" t="s">
        <v>2564</v>
      </c>
      <c r="I1890" t="s">
        <v>62</v>
      </c>
      <c r="J1890">
        <v>799</v>
      </c>
      <c r="K1890">
        <v>205</v>
      </c>
      <c r="L1890">
        <f t="shared" si="480"/>
        <v>594</v>
      </c>
      <c r="M1890">
        <v>240</v>
      </c>
      <c r="N1890">
        <f t="shared" si="481"/>
        <v>354</v>
      </c>
    </row>
    <row r="1891" spans="1:14" x14ac:dyDescent="0.2">
      <c r="A1891" t="s">
        <v>2565</v>
      </c>
      <c r="B1891" s="1" t="s">
        <v>2541</v>
      </c>
      <c r="C1891" t="s">
        <v>14</v>
      </c>
      <c r="D1891" t="s">
        <v>380</v>
      </c>
      <c r="E1891">
        <v>24</v>
      </c>
      <c r="F1891" t="s">
        <v>2198</v>
      </c>
      <c r="G1891">
        <v>2022</v>
      </c>
      <c r="H1891" t="s">
        <v>104</v>
      </c>
      <c r="I1891" t="s">
        <v>62</v>
      </c>
      <c r="J1891">
        <v>806.55</v>
      </c>
      <c r="K1891">
        <v>227</v>
      </c>
      <c r="L1891">
        <f t="shared" si="480"/>
        <v>579.54999999999995</v>
      </c>
      <c r="M1891">
        <v>240</v>
      </c>
      <c r="N1891">
        <f t="shared" si="481"/>
        <v>339.54999999999995</v>
      </c>
    </row>
    <row r="1892" spans="1:14" x14ac:dyDescent="0.2">
      <c r="A1892" t="s">
        <v>2566</v>
      </c>
      <c r="B1892" s="1" t="s">
        <v>2506</v>
      </c>
      <c r="C1892" t="s">
        <v>14</v>
      </c>
      <c r="D1892" t="s">
        <v>895</v>
      </c>
      <c r="E1892">
        <v>23</v>
      </c>
      <c r="F1892" t="s">
        <v>2198</v>
      </c>
      <c r="G1892">
        <v>2022</v>
      </c>
      <c r="H1892" t="s">
        <v>2567</v>
      </c>
      <c r="I1892" t="s">
        <v>171</v>
      </c>
      <c r="J1892">
        <v>849</v>
      </c>
      <c r="K1892">
        <v>250</v>
      </c>
      <c r="L1892">
        <f t="shared" si="480"/>
        <v>599</v>
      </c>
      <c r="M1892">
        <v>240</v>
      </c>
      <c r="N1892">
        <f t="shared" si="481"/>
        <v>359</v>
      </c>
    </row>
    <row r="1893" spans="1:14" x14ac:dyDescent="0.2">
      <c r="A1893" t="s">
        <v>2568</v>
      </c>
      <c r="B1893" s="1" t="s">
        <v>2541</v>
      </c>
      <c r="C1893" t="s">
        <v>14</v>
      </c>
      <c r="D1893" t="s">
        <v>792</v>
      </c>
      <c r="E1893">
        <v>24</v>
      </c>
      <c r="F1893" t="s">
        <v>2198</v>
      </c>
      <c r="G1893">
        <v>2022</v>
      </c>
      <c r="H1893" t="s">
        <v>235</v>
      </c>
      <c r="I1893" t="s">
        <v>62</v>
      </c>
      <c r="J1893">
        <v>849</v>
      </c>
      <c r="K1893">
        <v>250</v>
      </c>
      <c r="L1893">
        <f t="shared" si="480"/>
        <v>599</v>
      </c>
      <c r="M1893">
        <v>240</v>
      </c>
      <c r="N1893">
        <f t="shared" si="481"/>
        <v>359</v>
      </c>
    </row>
    <row r="1894" spans="1:14" x14ac:dyDescent="0.2">
      <c r="A1894" t="s">
        <v>2569</v>
      </c>
      <c r="B1894" s="1" t="s">
        <v>2541</v>
      </c>
      <c r="C1894" t="s">
        <v>14</v>
      </c>
      <c r="D1894" t="s">
        <v>2063</v>
      </c>
      <c r="E1894">
        <v>24</v>
      </c>
      <c r="F1894" t="s">
        <v>2198</v>
      </c>
      <c r="G1894">
        <v>2022</v>
      </c>
      <c r="H1894" t="s">
        <v>2525</v>
      </c>
      <c r="I1894" t="s">
        <v>23</v>
      </c>
      <c r="J1894">
        <v>799</v>
      </c>
      <c r="K1894">
        <v>205</v>
      </c>
      <c r="L1894">
        <f t="shared" si="480"/>
        <v>594</v>
      </c>
      <c r="M1894">
        <v>240</v>
      </c>
      <c r="N1894">
        <f t="shared" si="481"/>
        <v>354</v>
      </c>
    </row>
    <row r="1895" spans="1:14" x14ac:dyDescent="0.2">
      <c r="A1895" t="s">
        <v>2570</v>
      </c>
      <c r="B1895" s="1" t="s">
        <v>2541</v>
      </c>
      <c r="C1895" t="s">
        <v>14</v>
      </c>
      <c r="D1895" t="s">
        <v>81</v>
      </c>
      <c r="E1895">
        <v>24</v>
      </c>
      <c r="F1895" t="s">
        <v>2198</v>
      </c>
      <c r="G1895">
        <v>2022</v>
      </c>
      <c r="H1895" t="s">
        <v>170</v>
      </c>
      <c r="I1895" t="s">
        <v>171</v>
      </c>
      <c r="J1895">
        <v>849</v>
      </c>
      <c r="K1895">
        <v>250</v>
      </c>
      <c r="L1895">
        <f t="shared" si="480"/>
        <v>599</v>
      </c>
      <c r="M1895">
        <v>240</v>
      </c>
      <c r="N1895">
        <f t="shared" si="481"/>
        <v>359</v>
      </c>
    </row>
    <row r="1896" spans="1:14" x14ac:dyDescent="0.2">
      <c r="A1896" t="s">
        <v>2571</v>
      </c>
      <c r="B1896" s="1" t="s">
        <v>2541</v>
      </c>
      <c r="C1896" t="s">
        <v>14</v>
      </c>
      <c r="D1896" t="s">
        <v>863</v>
      </c>
      <c r="E1896">
        <v>24</v>
      </c>
      <c r="F1896" t="s">
        <v>2198</v>
      </c>
      <c r="G1896">
        <v>2022</v>
      </c>
      <c r="H1896" t="s">
        <v>162</v>
      </c>
      <c r="I1896" t="s">
        <v>163</v>
      </c>
      <c r="J1896">
        <v>799</v>
      </c>
      <c r="K1896">
        <v>205</v>
      </c>
      <c r="L1896">
        <f t="shared" si="480"/>
        <v>594</v>
      </c>
      <c r="M1896">
        <v>240</v>
      </c>
      <c r="N1896">
        <f t="shared" si="481"/>
        <v>354</v>
      </c>
    </row>
    <row r="1897" spans="1:14" x14ac:dyDescent="0.2">
      <c r="A1897" t="s">
        <v>2572</v>
      </c>
      <c r="B1897" s="1" t="s">
        <v>2541</v>
      </c>
      <c r="C1897" t="s">
        <v>14</v>
      </c>
      <c r="D1897" t="s">
        <v>2573</v>
      </c>
      <c r="E1897">
        <v>24</v>
      </c>
      <c r="F1897" t="s">
        <v>2198</v>
      </c>
      <c r="G1897">
        <v>2022</v>
      </c>
      <c r="H1897" t="s">
        <v>2553</v>
      </c>
      <c r="I1897" t="s">
        <v>135</v>
      </c>
      <c r="J1897">
        <v>799</v>
      </c>
      <c r="K1897">
        <v>205</v>
      </c>
      <c r="L1897">
        <f t="shared" si="480"/>
        <v>594</v>
      </c>
      <c r="M1897">
        <v>240</v>
      </c>
      <c r="N1897">
        <f t="shared" si="481"/>
        <v>354</v>
      </c>
    </row>
    <row r="1898" spans="1:14" x14ac:dyDescent="0.2">
      <c r="A1898" t="s">
        <v>2574</v>
      </c>
      <c r="B1898" s="1" t="s">
        <v>2506</v>
      </c>
      <c r="C1898" t="s">
        <v>14</v>
      </c>
      <c r="D1898" t="s">
        <v>169</v>
      </c>
      <c r="E1898">
        <v>23</v>
      </c>
      <c r="F1898" t="s">
        <v>2198</v>
      </c>
      <c r="G1898">
        <v>2022</v>
      </c>
      <c r="H1898" t="s">
        <v>314</v>
      </c>
      <c r="I1898" t="s">
        <v>58</v>
      </c>
      <c r="J1898">
        <v>799</v>
      </c>
      <c r="K1898">
        <v>205</v>
      </c>
      <c r="L1898">
        <f t="shared" si="480"/>
        <v>594</v>
      </c>
      <c r="M1898">
        <v>240</v>
      </c>
      <c r="N1898">
        <f t="shared" si="481"/>
        <v>354</v>
      </c>
    </row>
    <row r="1899" spans="1:14" x14ac:dyDescent="0.2">
      <c r="A1899" t="s">
        <v>2575</v>
      </c>
      <c r="B1899" s="1" t="s">
        <v>2541</v>
      </c>
      <c r="C1899" t="s">
        <v>14</v>
      </c>
      <c r="D1899" t="s">
        <v>81</v>
      </c>
      <c r="E1899">
        <v>24</v>
      </c>
      <c r="F1899" t="s">
        <v>2198</v>
      </c>
      <c r="G1899">
        <v>2022</v>
      </c>
      <c r="H1899" t="s">
        <v>2576</v>
      </c>
      <c r="I1899" t="s">
        <v>62</v>
      </c>
      <c r="J1899">
        <v>849</v>
      </c>
      <c r="K1899">
        <v>250</v>
      </c>
      <c r="L1899">
        <f t="shared" si="480"/>
        <v>599</v>
      </c>
      <c r="M1899">
        <v>240</v>
      </c>
      <c r="N1899">
        <f t="shared" si="481"/>
        <v>359</v>
      </c>
    </row>
    <row r="1900" spans="1:14" x14ac:dyDescent="0.2">
      <c r="A1900" t="s">
        <v>2577</v>
      </c>
      <c r="B1900" s="1" t="s">
        <v>2506</v>
      </c>
      <c r="C1900" t="s">
        <v>14</v>
      </c>
      <c r="D1900" t="s">
        <v>425</v>
      </c>
      <c r="E1900">
        <v>23</v>
      </c>
      <c r="F1900" t="s">
        <v>2198</v>
      </c>
      <c r="G1900">
        <v>2022</v>
      </c>
      <c r="H1900" t="s">
        <v>246</v>
      </c>
      <c r="I1900" t="s">
        <v>58</v>
      </c>
      <c r="J1900">
        <v>799</v>
      </c>
      <c r="K1900">
        <v>205</v>
      </c>
      <c r="L1900">
        <f t="shared" si="480"/>
        <v>594</v>
      </c>
      <c r="M1900">
        <v>240</v>
      </c>
      <c r="N1900">
        <f t="shared" si="481"/>
        <v>354</v>
      </c>
    </row>
    <row r="1901" spans="1:14" x14ac:dyDescent="0.2">
      <c r="A1901" t="s">
        <v>2578</v>
      </c>
      <c r="B1901" s="1" t="s">
        <v>2506</v>
      </c>
      <c r="C1901" t="s">
        <v>14</v>
      </c>
      <c r="D1901" t="s">
        <v>477</v>
      </c>
      <c r="E1901">
        <v>23</v>
      </c>
      <c r="F1901" t="s">
        <v>2198</v>
      </c>
      <c r="G1901">
        <v>2022</v>
      </c>
      <c r="H1901" t="s">
        <v>2579</v>
      </c>
      <c r="I1901" t="s">
        <v>163</v>
      </c>
      <c r="J1901">
        <v>899</v>
      </c>
      <c r="K1901">
        <v>295</v>
      </c>
      <c r="L1901">
        <f t="shared" si="480"/>
        <v>604</v>
      </c>
      <c r="M1901">
        <v>240</v>
      </c>
      <c r="N1901">
        <f t="shared" si="481"/>
        <v>364</v>
      </c>
    </row>
    <row r="1902" spans="1:14" x14ac:dyDescent="0.2">
      <c r="A1902" t="s">
        <v>2580</v>
      </c>
      <c r="B1902" s="1" t="s">
        <v>2541</v>
      </c>
      <c r="C1902" t="s">
        <v>14</v>
      </c>
      <c r="D1902" t="s">
        <v>840</v>
      </c>
      <c r="E1902">
        <v>24</v>
      </c>
      <c r="F1902" t="s">
        <v>2198</v>
      </c>
      <c r="G1902">
        <v>2022</v>
      </c>
      <c r="H1902" t="s">
        <v>2581</v>
      </c>
      <c r="I1902" t="s">
        <v>122</v>
      </c>
      <c r="J1902">
        <v>999</v>
      </c>
      <c r="K1902">
        <v>325</v>
      </c>
      <c r="L1902">
        <f t="shared" si="480"/>
        <v>674</v>
      </c>
      <c r="M1902">
        <v>240</v>
      </c>
      <c r="N1902">
        <f t="shared" si="481"/>
        <v>434</v>
      </c>
    </row>
    <row r="1903" spans="1:14" x14ac:dyDescent="0.2">
      <c r="A1903" t="s">
        <v>2582</v>
      </c>
      <c r="B1903" s="1" t="s">
        <v>2541</v>
      </c>
      <c r="C1903" t="s">
        <v>14</v>
      </c>
      <c r="D1903" t="s">
        <v>169</v>
      </c>
      <c r="E1903">
        <v>24</v>
      </c>
      <c r="F1903" t="s">
        <v>2198</v>
      </c>
      <c r="G1903">
        <v>2022</v>
      </c>
      <c r="H1903" t="s">
        <v>1894</v>
      </c>
      <c r="I1903" t="s">
        <v>85</v>
      </c>
      <c r="J1903">
        <v>759.05</v>
      </c>
      <c r="K1903">
        <v>202</v>
      </c>
      <c r="L1903">
        <f t="shared" si="480"/>
        <v>557.04999999999995</v>
      </c>
      <c r="M1903">
        <v>240</v>
      </c>
      <c r="N1903">
        <f t="shared" si="481"/>
        <v>317.04999999999995</v>
      </c>
    </row>
    <row r="1904" spans="1:14" x14ac:dyDescent="0.2">
      <c r="A1904" t="s">
        <v>2583</v>
      </c>
      <c r="B1904" s="1" t="s">
        <v>2541</v>
      </c>
      <c r="C1904" t="s">
        <v>14</v>
      </c>
      <c r="D1904" t="s">
        <v>379</v>
      </c>
      <c r="E1904">
        <v>24</v>
      </c>
      <c r="F1904" t="s">
        <v>2198</v>
      </c>
      <c r="G1904">
        <v>2022</v>
      </c>
      <c r="H1904" t="s">
        <v>929</v>
      </c>
      <c r="I1904" t="s">
        <v>144</v>
      </c>
      <c r="J1904">
        <v>799</v>
      </c>
      <c r="K1904">
        <v>205</v>
      </c>
      <c r="L1904">
        <f t="shared" si="480"/>
        <v>594</v>
      </c>
      <c r="M1904">
        <v>240</v>
      </c>
      <c r="N1904">
        <f t="shared" si="481"/>
        <v>354</v>
      </c>
    </row>
    <row r="1905" spans="1:14" x14ac:dyDescent="0.2">
      <c r="A1905" t="s">
        <v>2584</v>
      </c>
      <c r="B1905" s="1" t="s">
        <v>2506</v>
      </c>
      <c r="C1905" t="s">
        <v>14</v>
      </c>
      <c r="D1905" t="s">
        <v>977</v>
      </c>
      <c r="E1905">
        <v>23</v>
      </c>
      <c r="F1905" t="s">
        <v>2198</v>
      </c>
      <c r="G1905">
        <v>2022</v>
      </c>
      <c r="H1905" t="s">
        <v>359</v>
      </c>
      <c r="I1905" t="s">
        <v>85</v>
      </c>
      <c r="J1905">
        <v>799</v>
      </c>
      <c r="K1905">
        <v>205</v>
      </c>
      <c r="L1905">
        <f t="shared" si="480"/>
        <v>594</v>
      </c>
      <c r="M1905">
        <v>240</v>
      </c>
      <c r="N1905">
        <f t="shared" si="481"/>
        <v>354</v>
      </c>
    </row>
    <row r="1906" spans="1:14" x14ac:dyDescent="0.2">
      <c r="A1906" t="s">
        <v>2585</v>
      </c>
      <c r="B1906" s="1" t="s">
        <v>2541</v>
      </c>
      <c r="C1906" t="s">
        <v>14</v>
      </c>
      <c r="D1906" t="s">
        <v>81</v>
      </c>
      <c r="E1906">
        <v>24</v>
      </c>
      <c r="F1906" t="s">
        <v>2198</v>
      </c>
      <c r="G1906">
        <v>2022</v>
      </c>
      <c r="H1906" t="s">
        <v>84</v>
      </c>
      <c r="I1906" t="s">
        <v>85</v>
      </c>
      <c r="J1906">
        <v>806.55</v>
      </c>
      <c r="K1906">
        <v>227</v>
      </c>
      <c r="L1906">
        <f t="shared" si="480"/>
        <v>579.54999999999995</v>
      </c>
      <c r="M1906">
        <v>240</v>
      </c>
      <c r="N1906">
        <f t="shared" si="481"/>
        <v>339.54999999999995</v>
      </c>
    </row>
    <row r="1907" spans="1:14" x14ac:dyDescent="0.2">
      <c r="A1907" t="s">
        <v>2587</v>
      </c>
      <c r="B1907" s="1" t="s">
        <v>2586</v>
      </c>
      <c r="C1907" t="s">
        <v>43</v>
      </c>
      <c r="D1907" t="s">
        <v>2096</v>
      </c>
      <c r="E1907">
        <v>25</v>
      </c>
      <c r="F1907" t="s">
        <v>2198</v>
      </c>
      <c r="G1907">
        <v>2022</v>
      </c>
      <c r="H1907" t="s">
        <v>31</v>
      </c>
      <c r="I1907" t="s">
        <v>32</v>
      </c>
      <c r="J1907">
        <v>0</v>
      </c>
      <c r="K1907">
        <v>0</v>
      </c>
      <c r="L1907">
        <v>0</v>
      </c>
      <c r="M1907">
        <v>0</v>
      </c>
      <c r="N1907">
        <v>0</v>
      </c>
    </row>
    <row r="1908" spans="1:14" x14ac:dyDescent="0.2">
      <c r="A1908" t="s">
        <v>2588</v>
      </c>
      <c r="B1908" s="1" t="s">
        <v>2586</v>
      </c>
      <c r="C1908" t="s">
        <v>43</v>
      </c>
      <c r="D1908" t="s">
        <v>452</v>
      </c>
      <c r="E1908">
        <v>25</v>
      </c>
      <c r="F1908" t="s">
        <v>2198</v>
      </c>
      <c r="G1908">
        <v>2022</v>
      </c>
      <c r="H1908" t="s">
        <v>2589</v>
      </c>
      <c r="I1908" t="s">
        <v>144</v>
      </c>
      <c r="J1908">
        <v>0</v>
      </c>
      <c r="K1908">
        <v>0</v>
      </c>
      <c r="L1908">
        <v>0</v>
      </c>
      <c r="M1908">
        <v>0</v>
      </c>
      <c r="N1908">
        <v>0</v>
      </c>
    </row>
    <row r="1909" spans="1:14" x14ac:dyDescent="0.2">
      <c r="A1909" t="s">
        <v>2417</v>
      </c>
      <c r="B1909" s="1" t="s">
        <v>2404</v>
      </c>
      <c r="C1909" t="s">
        <v>106</v>
      </c>
      <c r="D1909" t="s">
        <v>379</v>
      </c>
      <c r="E1909">
        <v>17</v>
      </c>
      <c r="F1909" t="s">
        <v>2198</v>
      </c>
      <c r="G1909">
        <v>2022</v>
      </c>
      <c r="H1909" t="s">
        <v>921</v>
      </c>
      <c r="I1909" t="s">
        <v>58</v>
      </c>
      <c r="J1909">
        <v>-799</v>
      </c>
      <c r="K1909">
        <v>320</v>
      </c>
      <c r="L1909">
        <f t="shared" ref="L1909:L1910" si="482">J1909+K1909</f>
        <v>-479</v>
      </c>
      <c r="M1909">
        <v>240</v>
      </c>
      <c r="N1909">
        <f t="shared" ref="N1909:N1910" si="483">L1909+M1909</f>
        <v>-239</v>
      </c>
    </row>
    <row r="1910" spans="1:14" x14ac:dyDescent="0.2">
      <c r="A1910" t="s">
        <v>2532</v>
      </c>
      <c r="B1910" s="1" t="s">
        <v>2471</v>
      </c>
      <c r="C1910" t="s">
        <v>106</v>
      </c>
      <c r="D1910" t="s">
        <v>893</v>
      </c>
      <c r="E1910">
        <v>21</v>
      </c>
      <c r="F1910" t="s">
        <v>2198</v>
      </c>
      <c r="G1910">
        <v>2022</v>
      </c>
      <c r="H1910" t="s">
        <v>18</v>
      </c>
      <c r="I1910" t="s">
        <v>19</v>
      </c>
      <c r="J1910">
        <v>-849</v>
      </c>
      <c r="K1910">
        <v>345</v>
      </c>
      <c r="L1910">
        <f t="shared" si="482"/>
        <v>-504</v>
      </c>
      <c r="M1910">
        <v>240</v>
      </c>
      <c r="N1910">
        <f t="shared" si="483"/>
        <v>-264</v>
      </c>
    </row>
    <row r="1911" spans="1:14" x14ac:dyDescent="0.2">
      <c r="A1911" t="s">
        <v>2590</v>
      </c>
      <c r="B1911" s="1" t="s">
        <v>2586</v>
      </c>
      <c r="C1911" t="s">
        <v>14</v>
      </c>
      <c r="D1911" t="s">
        <v>812</v>
      </c>
      <c r="E1911">
        <v>25</v>
      </c>
      <c r="F1911" t="s">
        <v>2198</v>
      </c>
      <c r="G1911">
        <v>2022</v>
      </c>
      <c r="H1911" t="s">
        <v>449</v>
      </c>
      <c r="I1911" t="s">
        <v>97</v>
      </c>
      <c r="J1911">
        <v>999</v>
      </c>
      <c r="K1911">
        <v>325</v>
      </c>
      <c r="L1911">
        <f t="shared" ref="L1911:L1920" si="484">J1911-K1911</f>
        <v>674</v>
      </c>
      <c r="M1911">
        <v>240</v>
      </c>
      <c r="N1911">
        <f t="shared" ref="N1911:N1920" si="485">L1911-M1911</f>
        <v>434</v>
      </c>
    </row>
    <row r="1912" spans="1:14" x14ac:dyDescent="0.2">
      <c r="A1912" t="s">
        <v>2591</v>
      </c>
      <c r="B1912" s="1" t="s">
        <v>2586</v>
      </c>
      <c r="C1912" t="s">
        <v>14</v>
      </c>
      <c r="D1912" t="s">
        <v>133</v>
      </c>
      <c r="E1912">
        <v>25</v>
      </c>
      <c r="F1912" t="s">
        <v>2198</v>
      </c>
      <c r="G1912">
        <v>2022</v>
      </c>
      <c r="H1912" t="s">
        <v>2589</v>
      </c>
      <c r="I1912" t="s">
        <v>144</v>
      </c>
      <c r="J1912">
        <v>759.05</v>
      </c>
      <c r="K1912">
        <v>202</v>
      </c>
      <c r="L1912">
        <f t="shared" si="484"/>
        <v>557.04999999999995</v>
      </c>
      <c r="M1912">
        <v>240</v>
      </c>
      <c r="N1912">
        <f t="shared" si="485"/>
        <v>317.04999999999995</v>
      </c>
    </row>
    <row r="1913" spans="1:14" x14ac:dyDescent="0.2">
      <c r="A1913" t="s">
        <v>2592</v>
      </c>
      <c r="B1913" s="1" t="s">
        <v>2541</v>
      </c>
      <c r="C1913" t="s">
        <v>14</v>
      </c>
      <c r="D1913" t="s">
        <v>895</v>
      </c>
      <c r="E1913">
        <v>24</v>
      </c>
      <c r="F1913" t="s">
        <v>2198</v>
      </c>
      <c r="G1913">
        <v>2022</v>
      </c>
      <c r="H1913" t="s">
        <v>2593</v>
      </c>
      <c r="I1913" t="s">
        <v>58</v>
      </c>
      <c r="J1913">
        <v>849</v>
      </c>
      <c r="K1913">
        <v>250</v>
      </c>
      <c r="L1913">
        <f t="shared" si="484"/>
        <v>599</v>
      </c>
      <c r="M1913">
        <v>240</v>
      </c>
      <c r="N1913">
        <f t="shared" si="485"/>
        <v>359</v>
      </c>
    </row>
    <row r="1914" spans="1:14" x14ac:dyDescent="0.2">
      <c r="A1914" t="s">
        <v>2594</v>
      </c>
      <c r="B1914" s="1" t="s">
        <v>2586</v>
      </c>
      <c r="C1914" t="s">
        <v>14</v>
      </c>
      <c r="D1914" t="s">
        <v>380</v>
      </c>
      <c r="E1914">
        <v>25</v>
      </c>
      <c r="F1914" t="s">
        <v>2198</v>
      </c>
      <c r="G1914">
        <v>2022</v>
      </c>
      <c r="H1914" t="s">
        <v>807</v>
      </c>
      <c r="I1914" t="s">
        <v>28</v>
      </c>
      <c r="J1914">
        <v>806.55</v>
      </c>
      <c r="K1914">
        <v>227</v>
      </c>
      <c r="L1914">
        <f t="shared" si="484"/>
        <v>579.54999999999995</v>
      </c>
      <c r="M1914">
        <v>240</v>
      </c>
      <c r="N1914">
        <f t="shared" si="485"/>
        <v>339.54999999999995</v>
      </c>
    </row>
    <row r="1915" spans="1:14" x14ac:dyDescent="0.2">
      <c r="A1915" t="s">
        <v>2595</v>
      </c>
      <c r="B1915" s="1" t="s">
        <v>2586</v>
      </c>
      <c r="C1915" t="s">
        <v>14</v>
      </c>
      <c r="D1915" t="s">
        <v>895</v>
      </c>
      <c r="E1915">
        <v>25</v>
      </c>
      <c r="F1915" t="s">
        <v>2198</v>
      </c>
      <c r="G1915">
        <v>2022</v>
      </c>
      <c r="H1915" t="s">
        <v>694</v>
      </c>
      <c r="I1915" t="s">
        <v>62</v>
      </c>
      <c r="J1915">
        <v>849</v>
      </c>
      <c r="K1915">
        <v>250</v>
      </c>
      <c r="L1915">
        <f t="shared" si="484"/>
        <v>599</v>
      </c>
      <c r="M1915">
        <v>240</v>
      </c>
      <c r="N1915">
        <f t="shared" si="485"/>
        <v>359</v>
      </c>
    </row>
    <row r="1916" spans="1:14" x14ac:dyDescent="0.2">
      <c r="A1916" t="s">
        <v>2596</v>
      </c>
      <c r="B1916" s="1" t="s">
        <v>2586</v>
      </c>
      <c r="C1916" t="s">
        <v>14</v>
      </c>
      <c r="D1916" t="s">
        <v>1556</v>
      </c>
      <c r="E1916">
        <v>25</v>
      </c>
      <c r="F1916" t="s">
        <v>2198</v>
      </c>
      <c r="G1916">
        <v>2022</v>
      </c>
      <c r="H1916" t="s">
        <v>549</v>
      </c>
      <c r="I1916" t="s">
        <v>163</v>
      </c>
      <c r="J1916">
        <v>854.05</v>
      </c>
      <c r="K1916">
        <v>270</v>
      </c>
      <c r="L1916">
        <f t="shared" si="484"/>
        <v>584.04999999999995</v>
      </c>
      <c r="M1916">
        <v>240</v>
      </c>
      <c r="N1916">
        <f t="shared" si="485"/>
        <v>344.04999999999995</v>
      </c>
    </row>
    <row r="1917" spans="1:14" x14ac:dyDescent="0.2">
      <c r="A1917" t="s">
        <v>2556</v>
      </c>
      <c r="B1917" s="1" t="s">
        <v>2586</v>
      </c>
      <c r="C1917" t="s">
        <v>14</v>
      </c>
      <c r="D1917" t="s">
        <v>822</v>
      </c>
      <c r="E1917">
        <v>25</v>
      </c>
      <c r="F1917" t="s">
        <v>2198</v>
      </c>
      <c r="G1917">
        <v>2022</v>
      </c>
      <c r="H1917" t="s">
        <v>157</v>
      </c>
      <c r="I1917" t="s">
        <v>97</v>
      </c>
      <c r="J1917">
        <v>849</v>
      </c>
      <c r="K1917">
        <v>250</v>
      </c>
      <c r="L1917">
        <f t="shared" si="484"/>
        <v>599</v>
      </c>
      <c r="M1917">
        <v>240</v>
      </c>
      <c r="N1917">
        <f t="shared" si="485"/>
        <v>359</v>
      </c>
    </row>
    <row r="1918" spans="1:14" x14ac:dyDescent="0.2">
      <c r="A1918" t="s">
        <v>2597</v>
      </c>
      <c r="B1918" s="1" t="s">
        <v>2586</v>
      </c>
      <c r="C1918" t="s">
        <v>14</v>
      </c>
      <c r="D1918" t="s">
        <v>452</v>
      </c>
      <c r="E1918">
        <v>25</v>
      </c>
      <c r="F1918" t="s">
        <v>2198</v>
      </c>
      <c r="G1918">
        <v>2022</v>
      </c>
      <c r="H1918" t="s">
        <v>1148</v>
      </c>
      <c r="I1918" t="s">
        <v>32</v>
      </c>
      <c r="J1918">
        <v>799</v>
      </c>
      <c r="K1918">
        <v>205</v>
      </c>
      <c r="L1918">
        <f t="shared" si="484"/>
        <v>594</v>
      </c>
      <c r="M1918">
        <v>240</v>
      </c>
      <c r="N1918">
        <f t="shared" si="485"/>
        <v>354</v>
      </c>
    </row>
    <row r="1919" spans="1:14" x14ac:dyDescent="0.2">
      <c r="A1919" t="s">
        <v>2598</v>
      </c>
      <c r="B1919" s="1" t="s">
        <v>2586</v>
      </c>
      <c r="C1919" t="s">
        <v>14</v>
      </c>
      <c r="D1919" t="s">
        <v>477</v>
      </c>
      <c r="E1919">
        <v>25</v>
      </c>
      <c r="F1919" t="s">
        <v>2198</v>
      </c>
      <c r="G1919">
        <v>2022</v>
      </c>
      <c r="H1919" t="s">
        <v>84</v>
      </c>
      <c r="I1919" t="s">
        <v>85</v>
      </c>
      <c r="J1919">
        <v>854.05</v>
      </c>
      <c r="K1919">
        <v>270</v>
      </c>
      <c r="L1919">
        <f t="shared" si="484"/>
        <v>584.04999999999995</v>
      </c>
      <c r="M1919">
        <v>240</v>
      </c>
      <c r="N1919">
        <f t="shared" si="485"/>
        <v>344.04999999999995</v>
      </c>
    </row>
    <row r="1920" spans="1:14" x14ac:dyDescent="0.2">
      <c r="A1920" t="s">
        <v>2599</v>
      </c>
      <c r="B1920" s="1" t="s">
        <v>2586</v>
      </c>
      <c r="C1920" t="s">
        <v>14</v>
      </c>
      <c r="D1920" t="s">
        <v>308</v>
      </c>
      <c r="E1920">
        <v>25</v>
      </c>
      <c r="F1920" t="s">
        <v>2198</v>
      </c>
      <c r="G1920">
        <v>2022</v>
      </c>
      <c r="H1920" t="s">
        <v>170</v>
      </c>
      <c r="I1920" t="s">
        <v>171</v>
      </c>
      <c r="J1920">
        <v>854.05</v>
      </c>
      <c r="K1920">
        <v>270</v>
      </c>
      <c r="L1920">
        <f t="shared" si="484"/>
        <v>584.04999999999995</v>
      </c>
      <c r="M1920">
        <v>240</v>
      </c>
      <c r="N1920">
        <f t="shared" si="485"/>
        <v>344.04999999999995</v>
      </c>
    </row>
    <row r="1921" spans="1:14" x14ac:dyDescent="0.2">
      <c r="A1921" t="s">
        <v>2569</v>
      </c>
      <c r="B1921" s="1" t="s">
        <v>2541</v>
      </c>
      <c r="C1921" t="s">
        <v>106</v>
      </c>
      <c r="D1921" t="s">
        <v>2063</v>
      </c>
      <c r="E1921">
        <v>24</v>
      </c>
      <c r="F1921" t="s">
        <v>2198</v>
      </c>
      <c r="G1921">
        <v>2022</v>
      </c>
      <c r="H1921" t="s">
        <v>2525</v>
      </c>
      <c r="I1921" t="s">
        <v>23</v>
      </c>
      <c r="J1921">
        <v>-799</v>
      </c>
      <c r="K1921">
        <v>320</v>
      </c>
      <c r="L1921">
        <f>J1921+K1921</f>
        <v>-479</v>
      </c>
      <c r="M1921">
        <v>240</v>
      </c>
      <c r="N1921">
        <f>L1921+M1921</f>
        <v>-239</v>
      </c>
    </row>
    <row r="1922" spans="1:14" x14ac:dyDescent="0.2">
      <c r="A1922" t="s">
        <v>2601</v>
      </c>
      <c r="B1922" s="1" t="s">
        <v>2600</v>
      </c>
      <c r="C1922" t="s">
        <v>43</v>
      </c>
      <c r="D1922" t="s">
        <v>2058</v>
      </c>
      <c r="E1922">
        <v>26</v>
      </c>
      <c r="F1922" t="s">
        <v>2198</v>
      </c>
      <c r="G1922">
        <v>2022</v>
      </c>
      <c r="H1922" t="s">
        <v>2602</v>
      </c>
      <c r="I1922" t="s">
        <v>28</v>
      </c>
      <c r="J1922">
        <v>0</v>
      </c>
      <c r="K1922">
        <v>0</v>
      </c>
      <c r="L1922">
        <v>0</v>
      </c>
      <c r="M1922">
        <v>0</v>
      </c>
      <c r="N1922">
        <v>0</v>
      </c>
    </row>
    <row r="1923" spans="1:14" x14ac:dyDescent="0.2">
      <c r="A1923" t="s">
        <v>2324</v>
      </c>
      <c r="B1923" s="1" t="s">
        <v>2319</v>
      </c>
      <c r="C1923" t="s">
        <v>106</v>
      </c>
      <c r="D1923" t="s">
        <v>895</v>
      </c>
      <c r="E1923">
        <v>13</v>
      </c>
      <c r="F1923" t="s">
        <v>2198</v>
      </c>
      <c r="G1923">
        <v>2022</v>
      </c>
      <c r="H1923" t="s">
        <v>193</v>
      </c>
      <c r="I1923" t="s">
        <v>62</v>
      </c>
      <c r="J1923">
        <v>-849</v>
      </c>
      <c r="K1923">
        <v>345</v>
      </c>
      <c r="L1923">
        <f>J1923+K1923</f>
        <v>-504</v>
      </c>
      <c r="M1923">
        <v>240</v>
      </c>
      <c r="N1923">
        <f>L1923+M1923</f>
        <v>-264</v>
      </c>
    </row>
    <row r="1924" spans="1:14" x14ac:dyDescent="0.2">
      <c r="A1924" t="s">
        <v>2603</v>
      </c>
      <c r="B1924" s="1" t="s">
        <v>2600</v>
      </c>
      <c r="C1924" t="s">
        <v>43</v>
      </c>
      <c r="D1924" t="s">
        <v>1630</v>
      </c>
      <c r="E1924">
        <v>26</v>
      </c>
      <c r="F1924" t="s">
        <v>2198</v>
      </c>
      <c r="G1924">
        <v>2022</v>
      </c>
      <c r="H1924" t="s">
        <v>320</v>
      </c>
      <c r="I1924" t="s">
        <v>58</v>
      </c>
      <c r="J1924">
        <v>0</v>
      </c>
      <c r="K1924">
        <v>0</v>
      </c>
      <c r="L1924">
        <v>0</v>
      </c>
      <c r="M1924">
        <v>0</v>
      </c>
      <c r="N1924">
        <v>0</v>
      </c>
    </row>
    <row r="1925" spans="1:14" x14ac:dyDescent="0.2">
      <c r="A1925" t="s">
        <v>2469</v>
      </c>
      <c r="B1925" s="1" t="s">
        <v>2460</v>
      </c>
      <c r="C1925" t="s">
        <v>106</v>
      </c>
      <c r="D1925" t="s">
        <v>133</v>
      </c>
      <c r="E1925">
        <v>20</v>
      </c>
      <c r="F1925" t="s">
        <v>2198</v>
      </c>
      <c r="G1925">
        <v>2022</v>
      </c>
      <c r="H1925" t="s">
        <v>246</v>
      </c>
      <c r="I1925" t="s">
        <v>58</v>
      </c>
      <c r="J1925">
        <v>-759.05</v>
      </c>
      <c r="K1925">
        <v>320</v>
      </c>
      <c r="L1925">
        <f t="shared" ref="L1925:L1928" si="486">J1925+K1925</f>
        <v>-439.04999999999995</v>
      </c>
      <c r="M1925">
        <v>240</v>
      </c>
      <c r="N1925">
        <f t="shared" ref="N1925:N1928" si="487">L1925+M1925</f>
        <v>-199.04999999999995</v>
      </c>
    </row>
    <row r="1926" spans="1:14" x14ac:dyDescent="0.2">
      <c r="A1926" t="s">
        <v>2354</v>
      </c>
      <c r="B1926" s="1" t="s">
        <v>2334</v>
      </c>
      <c r="C1926" t="s">
        <v>106</v>
      </c>
      <c r="D1926" t="s">
        <v>893</v>
      </c>
      <c r="E1926">
        <v>14</v>
      </c>
      <c r="F1926" t="s">
        <v>2198</v>
      </c>
      <c r="G1926">
        <v>2022</v>
      </c>
      <c r="H1926" t="s">
        <v>579</v>
      </c>
      <c r="I1926" t="s">
        <v>62</v>
      </c>
      <c r="J1926">
        <v>-849</v>
      </c>
      <c r="K1926">
        <v>345</v>
      </c>
      <c r="L1926">
        <f t="shared" si="486"/>
        <v>-504</v>
      </c>
      <c r="M1926">
        <v>240</v>
      </c>
      <c r="N1926">
        <f t="shared" si="487"/>
        <v>-264</v>
      </c>
    </row>
    <row r="1927" spans="1:14" x14ac:dyDescent="0.2">
      <c r="A1927" t="s">
        <v>2492</v>
      </c>
      <c r="B1927" s="1" t="s">
        <v>2471</v>
      </c>
      <c r="C1927" t="s">
        <v>106</v>
      </c>
      <c r="D1927" t="s">
        <v>380</v>
      </c>
      <c r="E1927">
        <v>21</v>
      </c>
      <c r="F1927" t="s">
        <v>2198</v>
      </c>
      <c r="G1927">
        <v>2022</v>
      </c>
      <c r="H1927" t="s">
        <v>2493</v>
      </c>
      <c r="I1927" t="s">
        <v>23</v>
      </c>
      <c r="J1927">
        <v>-849</v>
      </c>
      <c r="K1927">
        <v>345</v>
      </c>
      <c r="L1927">
        <f t="shared" si="486"/>
        <v>-504</v>
      </c>
      <c r="M1927">
        <v>240</v>
      </c>
      <c r="N1927">
        <f t="shared" si="487"/>
        <v>-264</v>
      </c>
    </row>
    <row r="1928" spans="1:14" x14ac:dyDescent="0.2">
      <c r="A1928" t="s">
        <v>2494</v>
      </c>
      <c r="B1928" s="1" t="s">
        <v>2460</v>
      </c>
      <c r="C1928" t="s">
        <v>106</v>
      </c>
      <c r="D1928" t="s">
        <v>2495</v>
      </c>
      <c r="E1928">
        <v>20</v>
      </c>
      <c r="F1928" t="s">
        <v>2198</v>
      </c>
      <c r="G1928">
        <v>2022</v>
      </c>
      <c r="H1928" t="s">
        <v>2496</v>
      </c>
      <c r="I1928" t="s">
        <v>62</v>
      </c>
      <c r="J1928">
        <v>-799</v>
      </c>
      <c r="K1928">
        <v>320</v>
      </c>
      <c r="L1928">
        <f t="shared" si="486"/>
        <v>-479</v>
      </c>
      <c r="M1928">
        <v>240</v>
      </c>
      <c r="N1928">
        <f t="shared" si="487"/>
        <v>-239</v>
      </c>
    </row>
    <row r="1929" spans="1:14" x14ac:dyDescent="0.2">
      <c r="A1929" t="s">
        <v>2605</v>
      </c>
      <c r="B1929" s="1" t="s">
        <v>2604</v>
      </c>
      <c r="C1929" t="s">
        <v>14</v>
      </c>
      <c r="D1929" t="s">
        <v>81</v>
      </c>
      <c r="E1929">
        <v>27</v>
      </c>
      <c r="F1929" t="s">
        <v>2198</v>
      </c>
      <c r="G1929">
        <v>2022</v>
      </c>
      <c r="H1929" t="s">
        <v>162</v>
      </c>
      <c r="I1929" t="s">
        <v>163</v>
      </c>
      <c r="J1929">
        <v>806.55</v>
      </c>
      <c r="K1929">
        <v>227</v>
      </c>
      <c r="L1929">
        <f>J1929-K1929</f>
        <v>579.54999999999995</v>
      </c>
      <c r="M1929">
        <v>240</v>
      </c>
      <c r="N1929">
        <f>L1929-M1929</f>
        <v>339.54999999999995</v>
      </c>
    </row>
    <row r="1930" spans="1:14" x14ac:dyDescent="0.2">
      <c r="A1930" t="s">
        <v>2606</v>
      </c>
      <c r="B1930" s="1" t="s">
        <v>2600</v>
      </c>
      <c r="C1930" t="s">
        <v>20</v>
      </c>
      <c r="D1930" t="s">
        <v>504</v>
      </c>
      <c r="E1930">
        <v>26</v>
      </c>
      <c r="F1930" t="s">
        <v>2198</v>
      </c>
      <c r="G1930">
        <v>2022</v>
      </c>
      <c r="H1930" t="s">
        <v>2484</v>
      </c>
      <c r="I1930" t="s">
        <v>62</v>
      </c>
      <c r="J1930">
        <v>0</v>
      </c>
      <c r="K1930">
        <v>0</v>
      </c>
      <c r="L1930">
        <v>0</v>
      </c>
      <c r="M1930">
        <v>0</v>
      </c>
      <c r="N1930">
        <v>0</v>
      </c>
    </row>
    <row r="1931" spans="1:14" x14ac:dyDescent="0.2">
      <c r="A1931" t="s">
        <v>2607</v>
      </c>
      <c r="B1931" s="1" t="s">
        <v>2600</v>
      </c>
      <c r="C1931" t="s">
        <v>14</v>
      </c>
      <c r="D1931" t="s">
        <v>2058</v>
      </c>
      <c r="E1931">
        <v>26</v>
      </c>
      <c r="F1931" t="s">
        <v>2198</v>
      </c>
      <c r="G1931">
        <v>2022</v>
      </c>
      <c r="H1931" t="s">
        <v>2602</v>
      </c>
      <c r="I1931" t="s">
        <v>28</v>
      </c>
      <c r="J1931">
        <v>849</v>
      </c>
      <c r="K1931">
        <v>250</v>
      </c>
      <c r="L1931">
        <f t="shared" ref="L1931:L1937" si="488">J1931-K1931</f>
        <v>599</v>
      </c>
      <c r="M1931">
        <v>240</v>
      </c>
      <c r="N1931">
        <f t="shared" ref="N1931:N1937" si="489">L1931-M1931</f>
        <v>359</v>
      </c>
    </row>
    <row r="1932" spans="1:14" x14ac:dyDescent="0.2">
      <c r="A1932" t="s">
        <v>2608</v>
      </c>
      <c r="B1932" s="1" t="s">
        <v>2600</v>
      </c>
      <c r="C1932" t="s">
        <v>14</v>
      </c>
      <c r="D1932" t="s">
        <v>70</v>
      </c>
      <c r="E1932">
        <v>26</v>
      </c>
      <c r="F1932" t="s">
        <v>2198</v>
      </c>
      <c r="G1932">
        <v>2022</v>
      </c>
      <c r="H1932" t="s">
        <v>2609</v>
      </c>
      <c r="I1932" t="s">
        <v>135</v>
      </c>
      <c r="J1932">
        <v>849</v>
      </c>
      <c r="K1932">
        <v>250</v>
      </c>
      <c r="L1932">
        <f t="shared" si="488"/>
        <v>599</v>
      </c>
      <c r="M1932">
        <v>240</v>
      </c>
      <c r="N1932">
        <f t="shared" si="489"/>
        <v>359</v>
      </c>
    </row>
    <row r="1933" spans="1:14" x14ac:dyDescent="0.2">
      <c r="A1933" t="s">
        <v>2610</v>
      </c>
      <c r="B1933" s="1" t="s">
        <v>2600</v>
      </c>
      <c r="C1933" t="s">
        <v>14</v>
      </c>
      <c r="D1933" t="s">
        <v>993</v>
      </c>
      <c r="E1933">
        <v>26</v>
      </c>
      <c r="F1933" t="s">
        <v>2198</v>
      </c>
      <c r="G1933">
        <v>2022</v>
      </c>
      <c r="H1933" t="s">
        <v>71</v>
      </c>
      <c r="I1933" t="s">
        <v>62</v>
      </c>
      <c r="J1933">
        <v>799</v>
      </c>
      <c r="K1933">
        <v>205</v>
      </c>
      <c r="L1933">
        <f t="shared" si="488"/>
        <v>594</v>
      </c>
      <c r="M1933">
        <v>240</v>
      </c>
      <c r="N1933">
        <f t="shared" si="489"/>
        <v>354</v>
      </c>
    </row>
    <row r="1934" spans="1:14" x14ac:dyDescent="0.2">
      <c r="A1934" t="s">
        <v>2611</v>
      </c>
      <c r="B1934" s="1" t="s">
        <v>2600</v>
      </c>
      <c r="C1934" t="s">
        <v>14</v>
      </c>
      <c r="D1934" t="s">
        <v>573</v>
      </c>
      <c r="E1934">
        <v>26</v>
      </c>
      <c r="F1934" t="s">
        <v>2198</v>
      </c>
      <c r="G1934">
        <v>2022</v>
      </c>
      <c r="H1934" t="s">
        <v>417</v>
      </c>
      <c r="I1934" t="s">
        <v>253</v>
      </c>
      <c r="J1934">
        <v>899</v>
      </c>
      <c r="K1934">
        <v>295</v>
      </c>
      <c r="L1934">
        <f t="shared" si="488"/>
        <v>604</v>
      </c>
      <c r="M1934">
        <v>240</v>
      </c>
      <c r="N1934">
        <f t="shared" si="489"/>
        <v>364</v>
      </c>
    </row>
    <row r="1935" spans="1:14" x14ac:dyDescent="0.2">
      <c r="A1935" t="s">
        <v>2612</v>
      </c>
      <c r="B1935" s="1" t="s">
        <v>2604</v>
      </c>
      <c r="C1935" t="s">
        <v>14</v>
      </c>
      <c r="D1935" t="s">
        <v>840</v>
      </c>
      <c r="E1935">
        <v>27</v>
      </c>
      <c r="F1935" t="s">
        <v>2198</v>
      </c>
      <c r="G1935">
        <v>2022</v>
      </c>
      <c r="H1935" t="s">
        <v>263</v>
      </c>
      <c r="I1935" t="s">
        <v>144</v>
      </c>
      <c r="J1935">
        <v>949.05</v>
      </c>
      <c r="K1935">
        <v>306</v>
      </c>
      <c r="L1935">
        <f t="shared" si="488"/>
        <v>643.04999999999995</v>
      </c>
      <c r="M1935">
        <v>240</v>
      </c>
      <c r="N1935">
        <f t="shared" si="489"/>
        <v>403.04999999999995</v>
      </c>
    </row>
    <row r="1936" spans="1:14" x14ac:dyDescent="0.2">
      <c r="A1936" t="s">
        <v>2613</v>
      </c>
      <c r="B1936" s="1" t="s">
        <v>2600</v>
      </c>
      <c r="C1936" t="s">
        <v>14</v>
      </c>
      <c r="D1936" t="s">
        <v>548</v>
      </c>
      <c r="E1936">
        <v>26</v>
      </c>
      <c r="F1936" t="s">
        <v>2198</v>
      </c>
      <c r="G1936">
        <v>2022</v>
      </c>
      <c r="H1936" t="s">
        <v>2614</v>
      </c>
      <c r="I1936" t="s">
        <v>502</v>
      </c>
      <c r="J1936">
        <v>899</v>
      </c>
      <c r="K1936">
        <v>295</v>
      </c>
      <c r="L1936">
        <f t="shared" si="488"/>
        <v>604</v>
      </c>
      <c r="M1936">
        <v>240</v>
      </c>
      <c r="N1936">
        <f t="shared" si="489"/>
        <v>364</v>
      </c>
    </row>
    <row r="1937" spans="1:14" x14ac:dyDescent="0.2">
      <c r="A1937" t="s">
        <v>2615</v>
      </c>
      <c r="B1937" s="1" t="s">
        <v>2600</v>
      </c>
      <c r="C1937" t="s">
        <v>14</v>
      </c>
      <c r="D1937" t="s">
        <v>448</v>
      </c>
      <c r="E1937">
        <v>26</v>
      </c>
      <c r="F1937" t="s">
        <v>2198</v>
      </c>
      <c r="G1937">
        <v>2022</v>
      </c>
      <c r="H1937" t="s">
        <v>345</v>
      </c>
      <c r="I1937" t="s">
        <v>62</v>
      </c>
      <c r="J1937">
        <v>899</v>
      </c>
      <c r="K1937">
        <v>295</v>
      </c>
      <c r="L1937">
        <f t="shared" si="488"/>
        <v>604</v>
      </c>
      <c r="M1937">
        <v>240</v>
      </c>
      <c r="N1937">
        <f t="shared" si="489"/>
        <v>364</v>
      </c>
    </row>
    <row r="1938" spans="1:14" x14ac:dyDescent="0.2">
      <c r="A1938" t="s">
        <v>2356</v>
      </c>
      <c r="B1938" s="1" t="s">
        <v>2355</v>
      </c>
      <c r="C1938" t="s">
        <v>106</v>
      </c>
      <c r="D1938" t="s">
        <v>452</v>
      </c>
      <c r="E1938">
        <v>15</v>
      </c>
      <c r="F1938" t="s">
        <v>2198</v>
      </c>
      <c r="G1938">
        <v>2022</v>
      </c>
      <c r="H1938" t="s">
        <v>2357</v>
      </c>
      <c r="I1938" t="s">
        <v>23</v>
      </c>
      <c r="J1938">
        <v>-759.05</v>
      </c>
      <c r="K1938">
        <v>320</v>
      </c>
      <c r="L1938">
        <f t="shared" ref="L1938:L1940" si="490">J1938+K1938</f>
        <v>-439.04999999999995</v>
      </c>
      <c r="M1938">
        <v>240</v>
      </c>
      <c r="N1938">
        <f t="shared" ref="N1938:N1940" si="491">L1938+M1938</f>
        <v>-199.04999999999995</v>
      </c>
    </row>
    <row r="1939" spans="1:14" x14ac:dyDescent="0.2">
      <c r="A1939" t="s">
        <v>2544</v>
      </c>
      <c r="B1939" s="1" t="s">
        <v>2506</v>
      </c>
      <c r="C1939" t="s">
        <v>106</v>
      </c>
      <c r="D1939" t="s">
        <v>1671</v>
      </c>
      <c r="E1939">
        <v>23</v>
      </c>
      <c r="F1939" t="s">
        <v>2198</v>
      </c>
      <c r="G1939">
        <v>2022</v>
      </c>
      <c r="H1939" t="s">
        <v>2545</v>
      </c>
      <c r="I1939" t="s">
        <v>23</v>
      </c>
      <c r="J1939">
        <v>-799</v>
      </c>
      <c r="K1939">
        <v>320</v>
      </c>
      <c r="L1939">
        <f t="shared" si="490"/>
        <v>-479</v>
      </c>
      <c r="M1939">
        <v>240</v>
      </c>
      <c r="N1939">
        <f t="shared" si="491"/>
        <v>-239</v>
      </c>
    </row>
    <row r="1940" spans="1:14" x14ac:dyDescent="0.2">
      <c r="A1940" t="s">
        <v>2544</v>
      </c>
      <c r="B1940" s="1" t="s">
        <v>2506</v>
      </c>
      <c r="C1940" t="s">
        <v>106</v>
      </c>
      <c r="D1940" t="s">
        <v>1171</v>
      </c>
      <c r="E1940">
        <v>23</v>
      </c>
      <c r="F1940" t="s">
        <v>2198</v>
      </c>
      <c r="G1940">
        <v>2022</v>
      </c>
      <c r="H1940" t="s">
        <v>2545</v>
      </c>
      <c r="I1940" t="s">
        <v>23</v>
      </c>
      <c r="J1940">
        <v>-799</v>
      </c>
      <c r="K1940">
        <v>320</v>
      </c>
      <c r="L1940">
        <f t="shared" si="490"/>
        <v>-479</v>
      </c>
      <c r="M1940">
        <v>240</v>
      </c>
      <c r="N1940">
        <f t="shared" si="491"/>
        <v>-239</v>
      </c>
    </row>
    <row r="1941" spans="1:14" x14ac:dyDescent="0.2">
      <c r="A1941" t="s">
        <v>2616</v>
      </c>
      <c r="B1941" s="1" t="s">
        <v>2471</v>
      </c>
      <c r="C1941" t="s">
        <v>43</v>
      </c>
      <c r="D1941" t="s">
        <v>2617</v>
      </c>
      <c r="E1941">
        <v>21</v>
      </c>
      <c r="F1941" t="s">
        <v>2198</v>
      </c>
      <c r="G1941">
        <v>2022</v>
      </c>
      <c r="H1941" t="s">
        <v>2618</v>
      </c>
      <c r="I1941" t="s">
        <v>2619</v>
      </c>
      <c r="J1941">
        <v>0</v>
      </c>
      <c r="K1941">
        <v>0</v>
      </c>
      <c r="L1941">
        <v>0</v>
      </c>
      <c r="M1941">
        <v>0</v>
      </c>
      <c r="N1941">
        <v>0</v>
      </c>
    </row>
    <row r="1942" spans="1:14" x14ac:dyDescent="0.2">
      <c r="A1942" t="s">
        <v>2616</v>
      </c>
      <c r="B1942" s="1" t="s">
        <v>2471</v>
      </c>
      <c r="C1942" t="s">
        <v>43</v>
      </c>
      <c r="D1942" t="s">
        <v>1354</v>
      </c>
      <c r="E1942">
        <v>21</v>
      </c>
      <c r="F1942" t="s">
        <v>2198</v>
      </c>
      <c r="G1942">
        <v>2022</v>
      </c>
      <c r="H1942" t="s">
        <v>2618</v>
      </c>
      <c r="I1942" t="s">
        <v>2619</v>
      </c>
      <c r="J1942">
        <v>0</v>
      </c>
      <c r="K1942">
        <v>0</v>
      </c>
      <c r="L1942">
        <v>0</v>
      </c>
      <c r="M1942">
        <v>0</v>
      </c>
      <c r="N1942">
        <v>0</v>
      </c>
    </row>
    <row r="1943" spans="1:14" x14ac:dyDescent="0.2">
      <c r="A1943" t="s">
        <v>2482</v>
      </c>
      <c r="B1943" s="1" t="s">
        <v>2471</v>
      </c>
      <c r="C1943" t="s">
        <v>106</v>
      </c>
      <c r="D1943" t="s">
        <v>954</v>
      </c>
      <c r="E1943">
        <v>21</v>
      </c>
      <c r="F1943" t="s">
        <v>2198</v>
      </c>
      <c r="G1943">
        <v>2022</v>
      </c>
      <c r="H1943" t="s">
        <v>91</v>
      </c>
      <c r="I1943" t="s">
        <v>23</v>
      </c>
      <c r="J1943">
        <v>-799</v>
      </c>
      <c r="K1943">
        <v>320</v>
      </c>
      <c r="L1943">
        <f t="shared" ref="L1943:L1945" si="492">J1943+K1943</f>
        <v>-479</v>
      </c>
      <c r="M1943">
        <v>240</v>
      </c>
      <c r="N1943">
        <f t="shared" ref="N1943:N1945" si="493">L1943+M1943</f>
        <v>-239</v>
      </c>
    </row>
    <row r="1944" spans="1:14" x14ac:dyDescent="0.2">
      <c r="A1944" t="s">
        <v>2510</v>
      </c>
      <c r="B1944" s="1" t="s">
        <v>2471</v>
      </c>
      <c r="C1944" t="s">
        <v>106</v>
      </c>
      <c r="D1944" t="s">
        <v>379</v>
      </c>
      <c r="E1944">
        <v>21</v>
      </c>
      <c r="F1944" t="s">
        <v>2198</v>
      </c>
      <c r="G1944">
        <v>2022</v>
      </c>
      <c r="H1944" t="s">
        <v>173</v>
      </c>
      <c r="I1944" t="s">
        <v>62</v>
      </c>
      <c r="J1944">
        <v>-759.05</v>
      </c>
      <c r="K1944">
        <v>320</v>
      </c>
      <c r="L1944">
        <f t="shared" si="492"/>
        <v>-439.04999999999995</v>
      </c>
      <c r="M1944">
        <v>240</v>
      </c>
      <c r="N1944">
        <f t="shared" si="493"/>
        <v>-199.04999999999995</v>
      </c>
    </row>
    <row r="1945" spans="1:14" x14ac:dyDescent="0.2">
      <c r="A1945" t="s">
        <v>2461</v>
      </c>
      <c r="B1945" s="1" t="s">
        <v>2460</v>
      </c>
      <c r="C1945" t="s">
        <v>106</v>
      </c>
      <c r="D1945" t="s">
        <v>452</v>
      </c>
      <c r="E1945">
        <v>20</v>
      </c>
      <c r="F1945" t="s">
        <v>2198</v>
      </c>
      <c r="G1945">
        <v>2022</v>
      </c>
      <c r="H1945" t="s">
        <v>162</v>
      </c>
      <c r="I1945" t="s">
        <v>163</v>
      </c>
      <c r="J1945">
        <v>-799</v>
      </c>
      <c r="K1945">
        <v>320</v>
      </c>
      <c r="L1945">
        <f t="shared" si="492"/>
        <v>-479</v>
      </c>
      <c r="M1945">
        <v>240</v>
      </c>
      <c r="N1945">
        <f t="shared" si="493"/>
        <v>-239</v>
      </c>
    </row>
    <row r="1946" spans="1:14" x14ac:dyDescent="0.2">
      <c r="A1946" t="s">
        <v>2620</v>
      </c>
      <c r="B1946" s="1" t="s">
        <v>2604</v>
      </c>
      <c r="C1946" t="s">
        <v>20</v>
      </c>
      <c r="D1946" t="s">
        <v>448</v>
      </c>
      <c r="E1946">
        <v>27</v>
      </c>
      <c r="F1946" t="s">
        <v>2198</v>
      </c>
      <c r="G1946">
        <v>2022</v>
      </c>
      <c r="H1946" t="s">
        <v>2491</v>
      </c>
      <c r="I1946" t="s">
        <v>97</v>
      </c>
      <c r="J1946">
        <v>0</v>
      </c>
      <c r="K1946">
        <v>0</v>
      </c>
      <c r="L1946">
        <v>0</v>
      </c>
      <c r="M1946">
        <v>0</v>
      </c>
      <c r="N1946">
        <v>0</v>
      </c>
    </row>
    <row r="1947" spans="1:14" x14ac:dyDescent="0.2">
      <c r="A1947" t="s">
        <v>2621</v>
      </c>
      <c r="B1947" s="1" t="s">
        <v>2604</v>
      </c>
      <c r="C1947" t="s">
        <v>14</v>
      </c>
      <c r="D1947" t="s">
        <v>812</v>
      </c>
      <c r="E1947">
        <v>27</v>
      </c>
      <c r="F1947" t="s">
        <v>2198</v>
      </c>
      <c r="G1947">
        <v>2022</v>
      </c>
      <c r="H1947" t="s">
        <v>2622</v>
      </c>
      <c r="I1947" t="s">
        <v>502</v>
      </c>
      <c r="J1947">
        <v>999</v>
      </c>
      <c r="K1947">
        <v>325</v>
      </c>
      <c r="L1947">
        <f t="shared" ref="L1947:L1959" si="494">J1947-K1947</f>
        <v>674</v>
      </c>
      <c r="M1947">
        <v>240</v>
      </c>
      <c r="N1947">
        <f t="shared" ref="N1947:N1959" si="495">L1947-M1947</f>
        <v>434</v>
      </c>
    </row>
    <row r="1948" spans="1:14" x14ac:dyDescent="0.2">
      <c r="A1948" t="s">
        <v>2623</v>
      </c>
      <c r="B1948" s="1" t="s">
        <v>2604</v>
      </c>
      <c r="C1948" t="s">
        <v>14</v>
      </c>
      <c r="D1948" t="s">
        <v>954</v>
      </c>
      <c r="E1948">
        <v>27</v>
      </c>
      <c r="F1948" t="s">
        <v>2198</v>
      </c>
      <c r="G1948">
        <v>2022</v>
      </c>
      <c r="H1948" t="s">
        <v>2468</v>
      </c>
      <c r="I1948" t="s">
        <v>135</v>
      </c>
      <c r="J1948">
        <v>799</v>
      </c>
      <c r="K1948">
        <v>205</v>
      </c>
      <c r="L1948">
        <f t="shared" si="494"/>
        <v>594</v>
      </c>
      <c r="M1948">
        <v>240</v>
      </c>
      <c r="N1948">
        <f t="shared" si="495"/>
        <v>354</v>
      </c>
    </row>
    <row r="1949" spans="1:14" x14ac:dyDescent="0.2">
      <c r="A1949" t="s">
        <v>2624</v>
      </c>
      <c r="B1949" s="1" t="s">
        <v>2604</v>
      </c>
      <c r="C1949" t="s">
        <v>14</v>
      </c>
      <c r="D1949" t="s">
        <v>809</v>
      </c>
      <c r="E1949">
        <v>27</v>
      </c>
      <c r="F1949" t="s">
        <v>2198</v>
      </c>
      <c r="G1949">
        <v>2022</v>
      </c>
      <c r="H1949" t="s">
        <v>263</v>
      </c>
      <c r="I1949" t="s">
        <v>144</v>
      </c>
      <c r="J1949">
        <v>999</v>
      </c>
      <c r="K1949">
        <v>325</v>
      </c>
      <c r="L1949">
        <f t="shared" si="494"/>
        <v>674</v>
      </c>
      <c r="M1949">
        <v>240</v>
      </c>
      <c r="N1949">
        <f t="shared" si="495"/>
        <v>434</v>
      </c>
    </row>
    <row r="1950" spans="1:14" x14ac:dyDescent="0.2">
      <c r="A1950" t="s">
        <v>2625</v>
      </c>
      <c r="B1950" s="1" t="s">
        <v>2604</v>
      </c>
      <c r="C1950" t="s">
        <v>14</v>
      </c>
      <c r="D1950" t="s">
        <v>822</v>
      </c>
      <c r="E1950">
        <v>27</v>
      </c>
      <c r="F1950" t="s">
        <v>2198</v>
      </c>
      <c r="G1950">
        <v>2022</v>
      </c>
      <c r="H1950" t="s">
        <v>157</v>
      </c>
      <c r="I1950" t="s">
        <v>97</v>
      </c>
      <c r="J1950">
        <v>849</v>
      </c>
      <c r="K1950">
        <v>250</v>
      </c>
      <c r="L1950">
        <f t="shared" si="494"/>
        <v>599</v>
      </c>
      <c r="M1950">
        <v>240</v>
      </c>
      <c r="N1950">
        <f t="shared" si="495"/>
        <v>359</v>
      </c>
    </row>
    <row r="1951" spans="1:14" x14ac:dyDescent="0.2">
      <c r="A1951" t="s">
        <v>2626</v>
      </c>
      <c r="B1951" s="1" t="s">
        <v>2604</v>
      </c>
      <c r="C1951" t="s">
        <v>14</v>
      </c>
      <c r="D1951" t="s">
        <v>895</v>
      </c>
      <c r="E1951">
        <v>27</v>
      </c>
      <c r="F1951" t="s">
        <v>2198</v>
      </c>
      <c r="G1951">
        <v>2022</v>
      </c>
      <c r="H1951" t="s">
        <v>309</v>
      </c>
      <c r="I1951" t="s">
        <v>212</v>
      </c>
      <c r="J1951">
        <v>849</v>
      </c>
      <c r="K1951">
        <v>250</v>
      </c>
      <c r="L1951">
        <f t="shared" si="494"/>
        <v>599</v>
      </c>
      <c r="M1951">
        <v>240</v>
      </c>
      <c r="N1951">
        <f t="shared" si="495"/>
        <v>359</v>
      </c>
    </row>
    <row r="1952" spans="1:14" x14ac:dyDescent="0.2">
      <c r="A1952" t="s">
        <v>2627</v>
      </c>
      <c r="B1952" s="1" t="s">
        <v>2604</v>
      </c>
      <c r="C1952" t="s">
        <v>14</v>
      </c>
      <c r="D1952" t="s">
        <v>809</v>
      </c>
      <c r="E1952">
        <v>27</v>
      </c>
      <c r="F1952" t="s">
        <v>2198</v>
      </c>
      <c r="G1952">
        <v>2022</v>
      </c>
      <c r="H1952" t="s">
        <v>170</v>
      </c>
      <c r="I1952" t="s">
        <v>171</v>
      </c>
      <c r="J1952">
        <v>949.05</v>
      </c>
      <c r="K1952">
        <v>306</v>
      </c>
      <c r="L1952">
        <f t="shared" si="494"/>
        <v>643.04999999999995</v>
      </c>
      <c r="M1952">
        <v>240</v>
      </c>
      <c r="N1952">
        <f t="shared" si="495"/>
        <v>403.04999999999995</v>
      </c>
    </row>
    <row r="1953" spans="1:14" x14ac:dyDescent="0.2">
      <c r="A1953" t="s">
        <v>2628</v>
      </c>
      <c r="B1953" s="1" t="s">
        <v>2604</v>
      </c>
      <c r="C1953" t="s">
        <v>14</v>
      </c>
      <c r="D1953" t="s">
        <v>957</v>
      </c>
      <c r="E1953">
        <v>27</v>
      </c>
      <c r="F1953" t="s">
        <v>2198</v>
      </c>
      <c r="G1953">
        <v>2022</v>
      </c>
      <c r="H1953" t="s">
        <v>2629</v>
      </c>
      <c r="I1953" t="s">
        <v>37</v>
      </c>
      <c r="J1953">
        <v>799</v>
      </c>
      <c r="K1953">
        <v>205</v>
      </c>
      <c r="L1953">
        <f t="shared" si="494"/>
        <v>594</v>
      </c>
      <c r="M1953">
        <v>240</v>
      </c>
      <c r="N1953">
        <f t="shared" si="495"/>
        <v>354</v>
      </c>
    </row>
    <row r="1954" spans="1:14" x14ac:dyDescent="0.2">
      <c r="A1954" t="s">
        <v>2630</v>
      </c>
      <c r="B1954" s="1" t="s">
        <v>2604</v>
      </c>
      <c r="C1954" t="s">
        <v>14</v>
      </c>
      <c r="D1954" t="s">
        <v>81</v>
      </c>
      <c r="E1954">
        <v>27</v>
      </c>
      <c r="F1954" t="s">
        <v>2198</v>
      </c>
      <c r="G1954">
        <v>2022</v>
      </c>
      <c r="H1954" t="s">
        <v>2631</v>
      </c>
      <c r="I1954" t="s">
        <v>376</v>
      </c>
      <c r="J1954">
        <v>806.55</v>
      </c>
      <c r="K1954">
        <v>227</v>
      </c>
      <c r="L1954">
        <f t="shared" si="494"/>
        <v>579.54999999999995</v>
      </c>
      <c r="M1954">
        <v>240</v>
      </c>
      <c r="N1954">
        <f t="shared" si="495"/>
        <v>339.54999999999995</v>
      </c>
    </row>
    <row r="1955" spans="1:14" x14ac:dyDescent="0.2">
      <c r="A1955" t="s">
        <v>2632</v>
      </c>
      <c r="B1955" s="1" t="s">
        <v>2604</v>
      </c>
      <c r="C1955" t="s">
        <v>14</v>
      </c>
      <c r="D1955" t="s">
        <v>1386</v>
      </c>
      <c r="E1955">
        <v>27</v>
      </c>
      <c r="F1955" t="s">
        <v>2198</v>
      </c>
      <c r="G1955">
        <v>2022</v>
      </c>
      <c r="H1955" t="s">
        <v>31</v>
      </c>
      <c r="I1955" t="s">
        <v>32</v>
      </c>
      <c r="J1955">
        <v>799</v>
      </c>
      <c r="K1955">
        <v>205</v>
      </c>
      <c r="L1955">
        <f t="shared" si="494"/>
        <v>594</v>
      </c>
      <c r="M1955">
        <v>240</v>
      </c>
      <c r="N1955">
        <f t="shared" si="495"/>
        <v>354</v>
      </c>
    </row>
    <row r="1956" spans="1:14" x14ac:dyDescent="0.2">
      <c r="A1956" t="s">
        <v>2633</v>
      </c>
      <c r="B1956" s="1" t="s">
        <v>2604</v>
      </c>
      <c r="C1956" t="s">
        <v>14</v>
      </c>
      <c r="D1956" t="s">
        <v>792</v>
      </c>
      <c r="E1956">
        <v>27</v>
      </c>
      <c r="F1956" t="s">
        <v>2198</v>
      </c>
      <c r="G1956">
        <v>2022</v>
      </c>
      <c r="H1956" t="s">
        <v>31</v>
      </c>
      <c r="I1956" t="s">
        <v>32</v>
      </c>
      <c r="J1956">
        <v>849</v>
      </c>
      <c r="K1956">
        <v>250</v>
      </c>
      <c r="L1956">
        <f t="shared" si="494"/>
        <v>599</v>
      </c>
      <c r="M1956">
        <v>240</v>
      </c>
      <c r="N1956">
        <f t="shared" si="495"/>
        <v>359</v>
      </c>
    </row>
    <row r="1957" spans="1:14" x14ac:dyDescent="0.2">
      <c r="A1957" t="s">
        <v>2634</v>
      </c>
      <c r="B1957" s="1" t="s">
        <v>2604</v>
      </c>
      <c r="C1957" t="s">
        <v>14</v>
      </c>
      <c r="D1957" t="s">
        <v>2184</v>
      </c>
      <c r="E1957">
        <v>27</v>
      </c>
      <c r="F1957" t="s">
        <v>2198</v>
      </c>
      <c r="G1957">
        <v>2022</v>
      </c>
      <c r="H1957" t="s">
        <v>2445</v>
      </c>
      <c r="I1957" t="s">
        <v>62</v>
      </c>
      <c r="J1957">
        <v>799</v>
      </c>
      <c r="K1957">
        <v>205</v>
      </c>
      <c r="L1957">
        <f t="shared" si="494"/>
        <v>594</v>
      </c>
      <c r="M1957">
        <v>240</v>
      </c>
      <c r="N1957">
        <f t="shared" si="495"/>
        <v>354</v>
      </c>
    </row>
    <row r="1958" spans="1:14" x14ac:dyDescent="0.2">
      <c r="A1958" t="s">
        <v>2635</v>
      </c>
      <c r="B1958" s="1" t="s">
        <v>2604</v>
      </c>
      <c r="C1958" t="s">
        <v>14</v>
      </c>
      <c r="D1958" t="s">
        <v>380</v>
      </c>
      <c r="E1958">
        <v>27</v>
      </c>
      <c r="F1958" t="s">
        <v>2198</v>
      </c>
      <c r="G1958">
        <v>2022</v>
      </c>
      <c r="H1958" t="s">
        <v>2042</v>
      </c>
      <c r="I1958" t="s">
        <v>171</v>
      </c>
      <c r="J1958">
        <v>806.55</v>
      </c>
      <c r="K1958">
        <v>227</v>
      </c>
      <c r="L1958">
        <f t="shared" si="494"/>
        <v>579.54999999999995</v>
      </c>
      <c r="M1958">
        <v>240</v>
      </c>
      <c r="N1958">
        <f t="shared" si="495"/>
        <v>339.54999999999995</v>
      </c>
    </row>
    <row r="1959" spans="1:14" x14ac:dyDescent="0.2">
      <c r="A1959" t="s">
        <v>2636</v>
      </c>
      <c r="B1959" s="1" t="s">
        <v>2604</v>
      </c>
      <c r="C1959" t="s">
        <v>14</v>
      </c>
      <c r="D1959" t="s">
        <v>792</v>
      </c>
      <c r="E1959">
        <v>27</v>
      </c>
      <c r="F1959" t="s">
        <v>2198</v>
      </c>
      <c r="G1959">
        <v>2022</v>
      </c>
      <c r="H1959" t="s">
        <v>2637</v>
      </c>
      <c r="I1959" t="s">
        <v>135</v>
      </c>
      <c r="J1959">
        <v>849</v>
      </c>
      <c r="K1959">
        <v>250</v>
      </c>
      <c r="L1959">
        <f t="shared" si="494"/>
        <v>599</v>
      </c>
      <c r="M1959">
        <v>240</v>
      </c>
      <c r="N1959">
        <f t="shared" si="495"/>
        <v>359</v>
      </c>
    </row>
    <row r="1960" spans="1:14" x14ac:dyDescent="0.2">
      <c r="A1960" t="s">
        <v>2497</v>
      </c>
      <c r="B1960" s="1" t="s">
        <v>2471</v>
      </c>
      <c r="C1960" t="s">
        <v>106</v>
      </c>
      <c r="D1960" t="s">
        <v>133</v>
      </c>
      <c r="E1960">
        <v>21</v>
      </c>
      <c r="F1960" t="s">
        <v>2198</v>
      </c>
      <c r="G1960">
        <v>2022</v>
      </c>
      <c r="H1960" t="s">
        <v>2498</v>
      </c>
      <c r="I1960" t="s">
        <v>135</v>
      </c>
      <c r="J1960">
        <v>-759.05</v>
      </c>
      <c r="K1960">
        <v>320</v>
      </c>
      <c r="L1960">
        <f t="shared" ref="L1960:L1962" si="496">J1960+K1960</f>
        <v>-439.04999999999995</v>
      </c>
      <c r="M1960">
        <v>240</v>
      </c>
      <c r="N1960">
        <f t="shared" ref="N1960:N1962" si="497">L1960+M1960</f>
        <v>-199.04999999999995</v>
      </c>
    </row>
    <row r="1961" spans="1:14" x14ac:dyDescent="0.2">
      <c r="A1961" t="s">
        <v>2566</v>
      </c>
      <c r="B1961" s="1" t="s">
        <v>2471</v>
      </c>
      <c r="C1961" t="s">
        <v>106</v>
      </c>
      <c r="D1961" t="s">
        <v>895</v>
      </c>
      <c r="E1961">
        <v>21</v>
      </c>
      <c r="F1961" t="s">
        <v>2198</v>
      </c>
      <c r="G1961">
        <v>2022</v>
      </c>
      <c r="H1961" t="s">
        <v>2567</v>
      </c>
      <c r="I1961" t="s">
        <v>171</v>
      </c>
      <c r="J1961">
        <v>-849</v>
      </c>
      <c r="K1961">
        <v>345</v>
      </c>
      <c r="L1961">
        <f t="shared" si="496"/>
        <v>-504</v>
      </c>
      <c r="M1961">
        <v>240</v>
      </c>
      <c r="N1961">
        <f t="shared" si="497"/>
        <v>-264</v>
      </c>
    </row>
    <row r="1962" spans="1:14" x14ac:dyDescent="0.2">
      <c r="A1962" t="s">
        <v>2385</v>
      </c>
      <c r="B1962" s="1" t="s">
        <v>2384</v>
      </c>
      <c r="C1962" t="s">
        <v>106</v>
      </c>
      <c r="D1962" t="s">
        <v>809</v>
      </c>
      <c r="E1962">
        <v>16</v>
      </c>
      <c r="F1962" t="s">
        <v>2198</v>
      </c>
      <c r="G1962">
        <v>2022</v>
      </c>
      <c r="H1962" t="s">
        <v>104</v>
      </c>
      <c r="I1962" t="s">
        <v>62</v>
      </c>
      <c r="J1962">
        <v>-949.05</v>
      </c>
      <c r="K1962">
        <v>395</v>
      </c>
      <c r="L1962">
        <f t="shared" si="496"/>
        <v>-554.04999999999995</v>
      </c>
      <c r="M1962">
        <v>240</v>
      </c>
      <c r="N1962">
        <f t="shared" si="497"/>
        <v>-314.04999999999995</v>
      </c>
    </row>
    <row r="1963" spans="1:14" x14ac:dyDescent="0.2">
      <c r="A1963" t="s">
        <v>2638</v>
      </c>
      <c r="B1963" s="1" t="s">
        <v>2471</v>
      </c>
      <c r="C1963" t="s">
        <v>43</v>
      </c>
      <c r="D1963" t="s">
        <v>747</v>
      </c>
      <c r="E1963">
        <v>21</v>
      </c>
      <c r="F1963" t="s">
        <v>2198</v>
      </c>
      <c r="G1963">
        <v>2022</v>
      </c>
      <c r="H1963" t="s">
        <v>170</v>
      </c>
      <c r="I1963" t="s">
        <v>171</v>
      </c>
      <c r="J1963">
        <v>0</v>
      </c>
      <c r="K1963">
        <v>0</v>
      </c>
      <c r="L1963">
        <v>0</v>
      </c>
      <c r="M1963">
        <v>0</v>
      </c>
      <c r="N1963">
        <v>0</v>
      </c>
    </row>
    <row r="1964" spans="1:14" x14ac:dyDescent="0.2">
      <c r="A1964" t="s">
        <v>2640</v>
      </c>
      <c r="B1964" s="1" t="s">
        <v>2639</v>
      </c>
      <c r="C1964" t="s">
        <v>14</v>
      </c>
      <c r="D1964" t="s">
        <v>242</v>
      </c>
      <c r="E1964">
        <v>28</v>
      </c>
      <c r="F1964" t="s">
        <v>2198</v>
      </c>
      <c r="G1964">
        <v>2022</v>
      </c>
      <c r="H1964" t="s">
        <v>2641</v>
      </c>
      <c r="I1964" t="s">
        <v>32</v>
      </c>
      <c r="J1964">
        <v>899</v>
      </c>
      <c r="K1964">
        <v>295</v>
      </c>
      <c r="L1964">
        <f t="shared" ref="L1964:L1974" si="498">J1964-K1964</f>
        <v>604</v>
      </c>
      <c r="M1964">
        <v>240</v>
      </c>
      <c r="N1964">
        <f t="shared" ref="N1964:N1974" si="499">L1964-M1964</f>
        <v>364</v>
      </c>
    </row>
    <row r="1965" spans="1:14" x14ac:dyDescent="0.2">
      <c r="A1965" t="s">
        <v>2642</v>
      </c>
      <c r="B1965" s="1" t="s">
        <v>2639</v>
      </c>
      <c r="C1965" t="s">
        <v>14</v>
      </c>
      <c r="D1965" t="s">
        <v>2409</v>
      </c>
      <c r="E1965">
        <v>28</v>
      </c>
      <c r="F1965" t="s">
        <v>2198</v>
      </c>
      <c r="G1965">
        <v>2022</v>
      </c>
      <c r="H1965" t="s">
        <v>2643</v>
      </c>
      <c r="I1965" t="s">
        <v>85</v>
      </c>
      <c r="J1965">
        <v>799</v>
      </c>
      <c r="K1965">
        <v>205</v>
      </c>
      <c r="L1965">
        <f t="shared" si="498"/>
        <v>594</v>
      </c>
      <c r="M1965">
        <v>240</v>
      </c>
      <c r="N1965">
        <f t="shared" si="499"/>
        <v>354</v>
      </c>
    </row>
    <row r="1966" spans="1:14" x14ac:dyDescent="0.2">
      <c r="A1966" t="s">
        <v>2644</v>
      </c>
      <c r="B1966" s="1" t="s">
        <v>2639</v>
      </c>
      <c r="C1966" t="s">
        <v>14</v>
      </c>
      <c r="D1966" t="s">
        <v>1338</v>
      </c>
      <c r="E1966">
        <v>28</v>
      </c>
      <c r="F1966" t="s">
        <v>2198</v>
      </c>
      <c r="G1966">
        <v>2022</v>
      </c>
      <c r="H1966" t="s">
        <v>1043</v>
      </c>
      <c r="I1966" t="s">
        <v>19</v>
      </c>
      <c r="J1966">
        <v>799</v>
      </c>
      <c r="K1966">
        <v>205</v>
      </c>
      <c r="L1966">
        <f t="shared" si="498"/>
        <v>594</v>
      </c>
      <c r="M1966">
        <v>240</v>
      </c>
      <c r="N1966">
        <f t="shared" si="499"/>
        <v>354</v>
      </c>
    </row>
    <row r="1967" spans="1:14" x14ac:dyDescent="0.2">
      <c r="A1967" t="s">
        <v>2645</v>
      </c>
      <c r="B1967" s="1" t="s">
        <v>2639</v>
      </c>
      <c r="C1967" t="s">
        <v>14</v>
      </c>
      <c r="D1967" t="s">
        <v>81</v>
      </c>
      <c r="E1967">
        <v>28</v>
      </c>
      <c r="F1967" t="s">
        <v>2198</v>
      </c>
      <c r="G1967">
        <v>2022</v>
      </c>
      <c r="H1967" t="s">
        <v>2646</v>
      </c>
      <c r="I1967" t="s">
        <v>32</v>
      </c>
      <c r="J1967">
        <v>849</v>
      </c>
      <c r="K1967">
        <v>250</v>
      </c>
      <c r="L1967">
        <f t="shared" si="498"/>
        <v>599</v>
      </c>
      <c r="M1967">
        <v>240</v>
      </c>
      <c r="N1967">
        <f t="shared" si="499"/>
        <v>359</v>
      </c>
    </row>
    <row r="1968" spans="1:14" x14ac:dyDescent="0.2">
      <c r="A1968" t="s">
        <v>2647</v>
      </c>
      <c r="B1968" s="1" t="s">
        <v>2639</v>
      </c>
      <c r="C1968" t="s">
        <v>14</v>
      </c>
      <c r="D1968" t="s">
        <v>895</v>
      </c>
      <c r="E1968">
        <v>28</v>
      </c>
      <c r="F1968" t="s">
        <v>2198</v>
      </c>
      <c r="G1968">
        <v>2022</v>
      </c>
      <c r="H1968" t="s">
        <v>514</v>
      </c>
      <c r="I1968" t="s">
        <v>58</v>
      </c>
      <c r="J1968">
        <v>849</v>
      </c>
      <c r="K1968">
        <v>250</v>
      </c>
      <c r="L1968">
        <f t="shared" si="498"/>
        <v>599</v>
      </c>
      <c r="M1968">
        <v>240</v>
      </c>
      <c r="N1968">
        <f t="shared" si="499"/>
        <v>359</v>
      </c>
    </row>
    <row r="1969" spans="1:14" x14ac:dyDescent="0.2">
      <c r="A1969" t="s">
        <v>2648</v>
      </c>
      <c r="B1969" s="1" t="s">
        <v>2639</v>
      </c>
      <c r="C1969" t="s">
        <v>14</v>
      </c>
      <c r="D1969" t="s">
        <v>1556</v>
      </c>
      <c r="E1969">
        <v>28</v>
      </c>
      <c r="F1969" t="s">
        <v>2198</v>
      </c>
      <c r="G1969">
        <v>2022</v>
      </c>
      <c r="H1969" t="s">
        <v>170</v>
      </c>
      <c r="I1969" t="s">
        <v>171</v>
      </c>
      <c r="J1969">
        <v>854.05</v>
      </c>
      <c r="K1969">
        <v>270</v>
      </c>
      <c r="L1969">
        <f t="shared" si="498"/>
        <v>584.04999999999995</v>
      </c>
      <c r="M1969">
        <v>240</v>
      </c>
      <c r="N1969">
        <f t="shared" si="499"/>
        <v>344.04999999999995</v>
      </c>
    </row>
    <row r="1970" spans="1:14" x14ac:dyDescent="0.2">
      <c r="A1970" t="s">
        <v>2649</v>
      </c>
      <c r="B1970" s="1" t="s">
        <v>2639</v>
      </c>
      <c r="C1970" t="s">
        <v>14</v>
      </c>
      <c r="D1970" t="s">
        <v>128</v>
      </c>
      <c r="E1970">
        <v>28</v>
      </c>
      <c r="F1970" t="s">
        <v>2198</v>
      </c>
      <c r="G1970">
        <v>2022</v>
      </c>
      <c r="H1970" t="s">
        <v>235</v>
      </c>
      <c r="I1970" t="s">
        <v>62</v>
      </c>
      <c r="J1970">
        <v>849</v>
      </c>
      <c r="K1970">
        <v>250</v>
      </c>
      <c r="L1970">
        <f t="shared" si="498"/>
        <v>599</v>
      </c>
      <c r="M1970">
        <v>240</v>
      </c>
      <c r="N1970">
        <f t="shared" si="499"/>
        <v>359</v>
      </c>
    </row>
    <row r="1971" spans="1:14" x14ac:dyDescent="0.2">
      <c r="A1971" t="s">
        <v>2650</v>
      </c>
      <c r="B1971" s="1" t="s">
        <v>2639</v>
      </c>
      <c r="C1971" t="s">
        <v>14</v>
      </c>
      <c r="D1971" t="s">
        <v>2651</v>
      </c>
      <c r="E1971">
        <v>28</v>
      </c>
      <c r="F1971" t="s">
        <v>2198</v>
      </c>
      <c r="G1971">
        <v>2022</v>
      </c>
      <c r="H1971" t="s">
        <v>2652</v>
      </c>
      <c r="I1971" t="s">
        <v>253</v>
      </c>
      <c r="J1971">
        <v>999</v>
      </c>
      <c r="K1971">
        <v>325</v>
      </c>
      <c r="L1971">
        <f t="shared" si="498"/>
        <v>674</v>
      </c>
      <c r="M1971">
        <v>240</v>
      </c>
      <c r="N1971">
        <f t="shared" si="499"/>
        <v>434</v>
      </c>
    </row>
    <row r="1972" spans="1:14" x14ac:dyDescent="0.2">
      <c r="A1972" t="s">
        <v>2653</v>
      </c>
      <c r="B1972" s="1" t="s">
        <v>2639</v>
      </c>
      <c r="C1972" t="s">
        <v>14</v>
      </c>
      <c r="D1972" t="s">
        <v>81</v>
      </c>
      <c r="E1972">
        <v>28</v>
      </c>
      <c r="F1972" t="s">
        <v>2198</v>
      </c>
      <c r="G1972">
        <v>2022</v>
      </c>
      <c r="H1972" t="s">
        <v>2654</v>
      </c>
      <c r="I1972" t="s">
        <v>62</v>
      </c>
      <c r="J1972">
        <v>849</v>
      </c>
      <c r="K1972">
        <v>250</v>
      </c>
      <c r="L1972">
        <f t="shared" si="498"/>
        <v>599</v>
      </c>
      <c r="M1972">
        <v>240</v>
      </c>
      <c r="N1972">
        <f t="shared" si="499"/>
        <v>359</v>
      </c>
    </row>
    <row r="1973" spans="1:14" x14ac:dyDescent="0.2">
      <c r="A1973" t="s">
        <v>2655</v>
      </c>
      <c r="B1973" s="1" t="s">
        <v>2639</v>
      </c>
      <c r="C1973" t="s">
        <v>14</v>
      </c>
      <c r="D1973" t="s">
        <v>840</v>
      </c>
      <c r="E1973">
        <v>28</v>
      </c>
      <c r="F1973" t="s">
        <v>2198</v>
      </c>
      <c r="G1973">
        <v>2022</v>
      </c>
      <c r="H1973" t="s">
        <v>2654</v>
      </c>
      <c r="I1973" t="s">
        <v>62</v>
      </c>
      <c r="J1973">
        <v>999</v>
      </c>
      <c r="K1973">
        <v>325</v>
      </c>
      <c r="L1973">
        <f t="shared" si="498"/>
        <v>674</v>
      </c>
      <c r="M1973">
        <v>240</v>
      </c>
      <c r="N1973">
        <f t="shared" si="499"/>
        <v>434</v>
      </c>
    </row>
    <row r="1974" spans="1:14" x14ac:dyDescent="0.2">
      <c r="A1974" t="s">
        <v>2656</v>
      </c>
      <c r="B1974" s="1" t="s">
        <v>2604</v>
      </c>
      <c r="C1974" t="s">
        <v>14</v>
      </c>
      <c r="D1974" t="s">
        <v>2657</v>
      </c>
      <c r="E1974">
        <v>27</v>
      </c>
      <c r="F1974" t="s">
        <v>2198</v>
      </c>
      <c r="G1974">
        <v>2022</v>
      </c>
      <c r="H1974" t="s">
        <v>104</v>
      </c>
      <c r="I1974" t="s">
        <v>62</v>
      </c>
      <c r="J1974">
        <v>799</v>
      </c>
      <c r="K1974">
        <v>205</v>
      </c>
      <c r="L1974">
        <f t="shared" si="498"/>
        <v>594</v>
      </c>
      <c r="M1974">
        <v>240</v>
      </c>
      <c r="N1974">
        <f t="shared" si="499"/>
        <v>354</v>
      </c>
    </row>
    <row r="1975" spans="1:14" x14ac:dyDescent="0.2">
      <c r="A1975" t="s">
        <v>2658</v>
      </c>
      <c r="B1975" s="1" t="s">
        <v>2604</v>
      </c>
      <c r="C1975" t="s">
        <v>20</v>
      </c>
      <c r="D1975" t="s">
        <v>1780</v>
      </c>
      <c r="E1975">
        <v>27</v>
      </c>
      <c r="F1975" t="s">
        <v>2198</v>
      </c>
      <c r="G1975">
        <v>2022</v>
      </c>
      <c r="H1975" t="s">
        <v>2234</v>
      </c>
      <c r="I1975" t="s">
        <v>257</v>
      </c>
      <c r="J1975">
        <v>0</v>
      </c>
      <c r="K1975">
        <v>0</v>
      </c>
      <c r="L1975">
        <v>0</v>
      </c>
      <c r="M1975">
        <v>0</v>
      </c>
      <c r="N1975">
        <v>0</v>
      </c>
    </row>
    <row r="1976" spans="1:14" x14ac:dyDescent="0.2">
      <c r="A1976" t="s">
        <v>2659</v>
      </c>
      <c r="B1976" s="1" t="s">
        <v>2639</v>
      </c>
      <c r="C1976" t="s">
        <v>14</v>
      </c>
      <c r="D1976" t="s">
        <v>1985</v>
      </c>
      <c r="E1976">
        <v>28</v>
      </c>
      <c r="F1976" t="s">
        <v>2198</v>
      </c>
      <c r="G1976">
        <v>2022</v>
      </c>
      <c r="H1976" t="s">
        <v>2660</v>
      </c>
      <c r="I1976" t="s">
        <v>28</v>
      </c>
      <c r="J1976">
        <v>849</v>
      </c>
      <c r="K1976">
        <v>250</v>
      </c>
      <c r="L1976">
        <f t="shared" ref="L1976:L1979" si="500">J1976-K1976</f>
        <v>599</v>
      </c>
      <c r="M1976">
        <v>240</v>
      </c>
      <c r="N1976">
        <f t="shared" ref="N1976:N1979" si="501">L1976-M1976</f>
        <v>359</v>
      </c>
    </row>
    <row r="1977" spans="1:14" x14ac:dyDescent="0.2">
      <c r="A1977" t="s">
        <v>2661</v>
      </c>
      <c r="B1977" s="1" t="s">
        <v>2604</v>
      </c>
      <c r="C1977" t="s">
        <v>14</v>
      </c>
      <c r="D1977" t="s">
        <v>2662</v>
      </c>
      <c r="E1977">
        <v>27</v>
      </c>
      <c r="F1977" t="s">
        <v>2198</v>
      </c>
      <c r="G1977">
        <v>2022</v>
      </c>
      <c r="H1977" t="s">
        <v>173</v>
      </c>
      <c r="I1977" t="s">
        <v>62</v>
      </c>
      <c r="J1977">
        <v>799</v>
      </c>
      <c r="K1977">
        <v>205</v>
      </c>
      <c r="L1977">
        <f t="shared" si="500"/>
        <v>594</v>
      </c>
      <c r="M1977">
        <v>240</v>
      </c>
      <c r="N1977">
        <f t="shared" si="501"/>
        <v>354</v>
      </c>
    </row>
    <row r="1978" spans="1:14" x14ac:dyDescent="0.2">
      <c r="A1978" t="s">
        <v>2663</v>
      </c>
      <c r="B1978" s="1" t="s">
        <v>2639</v>
      </c>
      <c r="C1978" t="s">
        <v>14</v>
      </c>
      <c r="D1978" t="s">
        <v>81</v>
      </c>
      <c r="E1978">
        <v>28</v>
      </c>
      <c r="F1978" t="s">
        <v>2198</v>
      </c>
      <c r="G1978">
        <v>2022</v>
      </c>
      <c r="H1978" t="s">
        <v>2664</v>
      </c>
      <c r="I1978" t="s">
        <v>23</v>
      </c>
      <c r="J1978">
        <v>806.55</v>
      </c>
      <c r="K1978">
        <v>227</v>
      </c>
      <c r="L1978">
        <f t="shared" si="500"/>
        <v>579.54999999999995</v>
      </c>
      <c r="M1978">
        <v>240</v>
      </c>
      <c r="N1978">
        <f t="shared" si="501"/>
        <v>339.54999999999995</v>
      </c>
    </row>
    <row r="1979" spans="1:14" x14ac:dyDescent="0.2">
      <c r="A1979" t="s">
        <v>2665</v>
      </c>
      <c r="B1979" s="1" t="s">
        <v>2639</v>
      </c>
      <c r="C1979" t="s">
        <v>14</v>
      </c>
      <c r="D1979" t="s">
        <v>2152</v>
      </c>
      <c r="E1979">
        <v>28</v>
      </c>
      <c r="F1979" t="s">
        <v>2198</v>
      </c>
      <c r="G1979">
        <v>2022</v>
      </c>
      <c r="H1979" t="s">
        <v>157</v>
      </c>
      <c r="I1979" t="s">
        <v>97</v>
      </c>
      <c r="J1979">
        <v>759.05</v>
      </c>
      <c r="K1979">
        <v>202</v>
      </c>
      <c r="L1979">
        <f t="shared" si="500"/>
        <v>557.04999999999995</v>
      </c>
      <c r="M1979">
        <v>240</v>
      </c>
      <c r="N1979">
        <f t="shared" si="501"/>
        <v>317.04999999999995</v>
      </c>
    </row>
    <row r="1980" spans="1:14" x14ac:dyDescent="0.2">
      <c r="A1980" t="s">
        <v>2570</v>
      </c>
      <c r="B1980" s="1" t="s">
        <v>2541</v>
      </c>
      <c r="C1980" t="s">
        <v>106</v>
      </c>
      <c r="D1980" t="s">
        <v>81</v>
      </c>
      <c r="E1980">
        <v>24</v>
      </c>
      <c r="F1980" t="s">
        <v>2198</v>
      </c>
      <c r="G1980">
        <v>2022</v>
      </c>
      <c r="H1980" t="s">
        <v>170</v>
      </c>
      <c r="I1980" t="s">
        <v>171</v>
      </c>
      <c r="J1980">
        <v>-849</v>
      </c>
      <c r="K1980">
        <v>345</v>
      </c>
      <c r="L1980">
        <f t="shared" ref="L1980:L1983" si="502">J1980+K1980</f>
        <v>-504</v>
      </c>
      <c r="M1980">
        <v>240</v>
      </c>
      <c r="N1980">
        <f t="shared" ref="N1980:N1983" si="503">L1980+M1980</f>
        <v>-264</v>
      </c>
    </row>
    <row r="1981" spans="1:14" x14ac:dyDescent="0.2">
      <c r="A1981" t="s">
        <v>2543</v>
      </c>
      <c r="B1981" s="1" t="s">
        <v>2506</v>
      </c>
      <c r="C1981" t="s">
        <v>106</v>
      </c>
      <c r="D1981" t="s">
        <v>1168</v>
      </c>
      <c r="E1981">
        <v>23</v>
      </c>
      <c r="F1981" t="s">
        <v>2198</v>
      </c>
      <c r="G1981">
        <v>2022</v>
      </c>
      <c r="H1981" t="s">
        <v>157</v>
      </c>
      <c r="I1981" t="s">
        <v>97</v>
      </c>
      <c r="J1981">
        <v>-799</v>
      </c>
      <c r="K1981">
        <v>320</v>
      </c>
      <c r="L1981">
        <f t="shared" si="502"/>
        <v>-479</v>
      </c>
      <c r="M1981">
        <v>240</v>
      </c>
      <c r="N1981">
        <f t="shared" si="503"/>
        <v>-239</v>
      </c>
    </row>
    <row r="1982" spans="1:14" x14ac:dyDescent="0.2">
      <c r="A1982" t="s">
        <v>2463</v>
      </c>
      <c r="B1982" s="1" t="s">
        <v>2460</v>
      </c>
      <c r="C1982" t="s">
        <v>106</v>
      </c>
      <c r="D1982" t="s">
        <v>490</v>
      </c>
      <c r="E1982">
        <v>20</v>
      </c>
      <c r="F1982" t="s">
        <v>2198</v>
      </c>
      <c r="G1982">
        <v>2022</v>
      </c>
      <c r="H1982" t="s">
        <v>2464</v>
      </c>
      <c r="I1982" t="s">
        <v>58</v>
      </c>
      <c r="J1982">
        <v>-899</v>
      </c>
      <c r="K1982">
        <v>375</v>
      </c>
      <c r="L1982">
        <f t="shared" si="502"/>
        <v>-524</v>
      </c>
      <c r="M1982">
        <v>240</v>
      </c>
      <c r="N1982">
        <f t="shared" si="503"/>
        <v>-284</v>
      </c>
    </row>
    <row r="1983" spans="1:14" x14ac:dyDescent="0.2">
      <c r="A1983" t="s">
        <v>2521</v>
      </c>
      <c r="B1983" s="1" t="s">
        <v>2504</v>
      </c>
      <c r="C1983" t="s">
        <v>106</v>
      </c>
      <c r="D1983" t="s">
        <v>1508</v>
      </c>
      <c r="E1983">
        <v>22</v>
      </c>
      <c r="F1983" t="s">
        <v>2198</v>
      </c>
      <c r="G1983">
        <v>2022</v>
      </c>
      <c r="H1983" t="s">
        <v>2522</v>
      </c>
      <c r="I1983" t="s">
        <v>85</v>
      </c>
      <c r="J1983">
        <v>-999</v>
      </c>
      <c r="K1983">
        <v>395</v>
      </c>
      <c r="L1983">
        <f t="shared" si="502"/>
        <v>-604</v>
      </c>
      <c r="M1983">
        <v>240</v>
      </c>
      <c r="N1983">
        <f t="shared" si="503"/>
        <v>-364</v>
      </c>
    </row>
    <row r="1984" spans="1:14" x14ac:dyDescent="0.2">
      <c r="A1984" t="s">
        <v>2667</v>
      </c>
      <c r="B1984" s="1" t="s">
        <v>2666</v>
      </c>
      <c r="C1984" t="s">
        <v>43</v>
      </c>
      <c r="D1984" t="s">
        <v>1037</v>
      </c>
      <c r="E1984">
        <v>29</v>
      </c>
      <c r="F1984" t="s">
        <v>2198</v>
      </c>
      <c r="G1984">
        <v>2022</v>
      </c>
      <c r="H1984" t="s">
        <v>2668</v>
      </c>
      <c r="I1984" t="s">
        <v>212</v>
      </c>
      <c r="J1984">
        <v>0</v>
      </c>
      <c r="K1984">
        <v>0</v>
      </c>
      <c r="L1984">
        <v>0</v>
      </c>
      <c r="M1984">
        <v>0</v>
      </c>
      <c r="N1984">
        <v>0</v>
      </c>
    </row>
    <row r="1985" spans="1:14" x14ac:dyDescent="0.2">
      <c r="A1985" t="s">
        <v>2315</v>
      </c>
      <c r="B1985" s="1" t="s">
        <v>2307</v>
      </c>
      <c r="C1985" t="s">
        <v>106</v>
      </c>
      <c r="D1985" t="s">
        <v>242</v>
      </c>
      <c r="E1985">
        <v>12</v>
      </c>
      <c r="F1985" t="s">
        <v>2198</v>
      </c>
      <c r="G1985">
        <v>2022</v>
      </c>
      <c r="H1985" t="s">
        <v>2316</v>
      </c>
      <c r="I1985" t="s">
        <v>144</v>
      </c>
      <c r="J1985">
        <v>-899</v>
      </c>
      <c r="K1985">
        <v>375</v>
      </c>
      <c r="L1985">
        <f>J1985+K1985</f>
        <v>-524</v>
      </c>
      <c r="M1985">
        <v>240</v>
      </c>
      <c r="N1985">
        <f>L1985+M1985</f>
        <v>-284</v>
      </c>
    </row>
    <row r="1986" spans="1:14" x14ac:dyDescent="0.2">
      <c r="A1986" t="s">
        <v>2669</v>
      </c>
      <c r="B1986" s="1" t="s">
        <v>2666</v>
      </c>
      <c r="C1986" t="s">
        <v>14</v>
      </c>
      <c r="D1986" t="s">
        <v>379</v>
      </c>
      <c r="E1986">
        <v>29</v>
      </c>
      <c r="F1986" t="s">
        <v>2198</v>
      </c>
      <c r="G1986">
        <v>2022</v>
      </c>
      <c r="H1986" t="s">
        <v>157</v>
      </c>
      <c r="I1986" t="s">
        <v>97</v>
      </c>
      <c r="J1986">
        <v>799</v>
      </c>
      <c r="K1986">
        <v>205</v>
      </c>
      <c r="L1986">
        <f t="shared" ref="L1986:L1996" si="504">J1986-K1986</f>
        <v>594</v>
      </c>
      <c r="M1986">
        <v>240</v>
      </c>
      <c r="N1986">
        <f t="shared" ref="N1986:N1996" si="505">L1986-M1986</f>
        <v>354</v>
      </c>
    </row>
    <row r="1987" spans="1:14" x14ac:dyDescent="0.2">
      <c r="A1987" t="s">
        <v>2667</v>
      </c>
      <c r="B1987" s="1" t="s">
        <v>2666</v>
      </c>
      <c r="C1987" t="s">
        <v>14</v>
      </c>
      <c r="D1987" t="s">
        <v>1037</v>
      </c>
      <c r="E1987">
        <v>29</v>
      </c>
      <c r="F1987" t="s">
        <v>2198</v>
      </c>
      <c r="G1987">
        <v>2022</v>
      </c>
      <c r="H1987" t="s">
        <v>2668</v>
      </c>
      <c r="I1987" t="s">
        <v>212</v>
      </c>
      <c r="J1987">
        <v>799</v>
      </c>
      <c r="K1987">
        <v>205</v>
      </c>
      <c r="L1987">
        <f t="shared" si="504"/>
        <v>594</v>
      </c>
      <c r="M1987">
        <v>240</v>
      </c>
      <c r="N1987">
        <f t="shared" si="505"/>
        <v>354</v>
      </c>
    </row>
    <row r="1988" spans="1:14" x14ac:dyDescent="0.2">
      <c r="A1988" t="s">
        <v>2616</v>
      </c>
      <c r="B1988" s="1" t="s">
        <v>2604</v>
      </c>
      <c r="C1988" t="s">
        <v>14</v>
      </c>
      <c r="D1988" t="s">
        <v>2617</v>
      </c>
      <c r="E1988">
        <v>27</v>
      </c>
      <c r="F1988" t="s">
        <v>2198</v>
      </c>
      <c r="G1988">
        <v>2022</v>
      </c>
      <c r="H1988" t="s">
        <v>2618</v>
      </c>
      <c r="I1988" t="s">
        <v>2619</v>
      </c>
      <c r="J1988">
        <v>999</v>
      </c>
      <c r="K1988">
        <v>325</v>
      </c>
      <c r="L1988">
        <f t="shared" si="504"/>
        <v>674</v>
      </c>
      <c r="M1988">
        <v>240</v>
      </c>
      <c r="N1988">
        <f t="shared" si="505"/>
        <v>434</v>
      </c>
    </row>
    <row r="1989" spans="1:14" x14ac:dyDescent="0.2">
      <c r="A1989" t="s">
        <v>2616</v>
      </c>
      <c r="B1989" s="1" t="s">
        <v>2604</v>
      </c>
      <c r="C1989" t="s">
        <v>14</v>
      </c>
      <c r="D1989" t="s">
        <v>1354</v>
      </c>
      <c r="E1989">
        <v>27</v>
      </c>
      <c r="F1989" t="s">
        <v>2198</v>
      </c>
      <c r="G1989">
        <v>2022</v>
      </c>
      <c r="H1989" t="s">
        <v>2618</v>
      </c>
      <c r="I1989" t="s">
        <v>2619</v>
      </c>
      <c r="J1989">
        <v>799</v>
      </c>
      <c r="K1989">
        <v>205</v>
      </c>
      <c r="L1989">
        <f t="shared" si="504"/>
        <v>594</v>
      </c>
      <c r="M1989">
        <v>240</v>
      </c>
      <c r="N1989">
        <f t="shared" si="505"/>
        <v>354</v>
      </c>
    </row>
    <row r="1990" spans="1:14" x14ac:dyDescent="0.2">
      <c r="A1990" t="s">
        <v>2670</v>
      </c>
      <c r="B1990" s="1" t="s">
        <v>2666</v>
      </c>
      <c r="C1990" t="s">
        <v>14</v>
      </c>
      <c r="D1990" t="s">
        <v>1015</v>
      </c>
      <c r="E1990">
        <v>29</v>
      </c>
      <c r="F1990" t="s">
        <v>2198</v>
      </c>
      <c r="G1990">
        <v>2022</v>
      </c>
      <c r="H1990" t="s">
        <v>579</v>
      </c>
      <c r="I1990" t="s">
        <v>62</v>
      </c>
      <c r="J1990">
        <v>849</v>
      </c>
      <c r="K1990">
        <v>250</v>
      </c>
      <c r="L1990">
        <f t="shared" si="504"/>
        <v>599</v>
      </c>
      <c r="M1990">
        <v>240</v>
      </c>
      <c r="N1990">
        <f t="shared" si="505"/>
        <v>359</v>
      </c>
    </row>
    <row r="1991" spans="1:14" x14ac:dyDescent="0.2">
      <c r="A1991" t="s">
        <v>2671</v>
      </c>
      <c r="B1991" s="1" t="s">
        <v>2666</v>
      </c>
      <c r="C1991" t="s">
        <v>14</v>
      </c>
      <c r="D1991" t="s">
        <v>957</v>
      </c>
      <c r="E1991">
        <v>29</v>
      </c>
      <c r="F1991" t="s">
        <v>2198</v>
      </c>
      <c r="G1991">
        <v>2022</v>
      </c>
      <c r="H1991" t="s">
        <v>2672</v>
      </c>
      <c r="I1991" t="s">
        <v>135</v>
      </c>
      <c r="J1991">
        <v>799</v>
      </c>
      <c r="K1991">
        <v>205</v>
      </c>
      <c r="L1991">
        <f t="shared" si="504"/>
        <v>594</v>
      </c>
      <c r="M1991">
        <v>240</v>
      </c>
      <c r="N1991">
        <f t="shared" si="505"/>
        <v>354</v>
      </c>
    </row>
    <row r="1992" spans="1:14" x14ac:dyDescent="0.2">
      <c r="A1992" t="s">
        <v>2673</v>
      </c>
      <c r="B1992" s="1" t="s">
        <v>2666</v>
      </c>
      <c r="C1992" t="s">
        <v>14</v>
      </c>
      <c r="D1992" t="s">
        <v>504</v>
      </c>
      <c r="E1992">
        <v>29</v>
      </c>
      <c r="F1992" t="s">
        <v>2198</v>
      </c>
      <c r="G1992">
        <v>2022</v>
      </c>
      <c r="H1992" t="s">
        <v>748</v>
      </c>
      <c r="I1992" t="s">
        <v>62</v>
      </c>
      <c r="J1992">
        <v>854.05</v>
      </c>
      <c r="K1992">
        <v>270</v>
      </c>
      <c r="L1992">
        <f t="shared" si="504"/>
        <v>584.04999999999995</v>
      </c>
      <c r="M1992">
        <v>240</v>
      </c>
      <c r="N1992">
        <f t="shared" si="505"/>
        <v>344.04999999999995</v>
      </c>
    </row>
    <row r="1993" spans="1:14" x14ac:dyDescent="0.2">
      <c r="A1993" t="s">
        <v>2674</v>
      </c>
      <c r="B1993" s="1" t="s">
        <v>2666</v>
      </c>
      <c r="C1993" t="s">
        <v>14</v>
      </c>
      <c r="D1993" t="s">
        <v>81</v>
      </c>
      <c r="E1993">
        <v>29</v>
      </c>
      <c r="F1993" t="s">
        <v>2198</v>
      </c>
      <c r="G1993">
        <v>2022</v>
      </c>
      <c r="H1993" t="s">
        <v>235</v>
      </c>
      <c r="I1993" t="s">
        <v>62</v>
      </c>
      <c r="J1993">
        <v>806.55</v>
      </c>
      <c r="K1993">
        <v>227</v>
      </c>
      <c r="L1993">
        <f t="shared" si="504"/>
        <v>579.54999999999995</v>
      </c>
      <c r="M1993">
        <v>240</v>
      </c>
      <c r="N1993">
        <f t="shared" si="505"/>
        <v>339.54999999999995</v>
      </c>
    </row>
    <row r="1994" spans="1:14" x14ac:dyDescent="0.2">
      <c r="A1994" t="s">
        <v>2675</v>
      </c>
      <c r="B1994" s="1" t="s">
        <v>2666</v>
      </c>
      <c r="C1994" t="s">
        <v>14</v>
      </c>
      <c r="D1994" t="s">
        <v>881</v>
      </c>
      <c r="E1994">
        <v>29</v>
      </c>
      <c r="F1994" t="s">
        <v>2198</v>
      </c>
      <c r="G1994">
        <v>2022</v>
      </c>
      <c r="H1994" t="s">
        <v>171</v>
      </c>
      <c r="I1994" t="s">
        <v>171</v>
      </c>
      <c r="J1994">
        <v>759.05</v>
      </c>
      <c r="K1994">
        <v>202</v>
      </c>
      <c r="L1994">
        <f t="shared" si="504"/>
        <v>557.04999999999995</v>
      </c>
      <c r="M1994">
        <v>240</v>
      </c>
      <c r="N1994">
        <f t="shared" si="505"/>
        <v>317.04999999999995</v>
      </c>
    </row>
    <row r="1995" spans="1:14" x14ac:dyDescent="0.2">
      <c r="A1995" t="s">
        <v>2676</v>
      </c>
      <c r="B1995" s="1" t="s">
        <v>2666</v>
      </c>
      <c r="C1995" t="s">
        <v>14</v>
      </c>
      <c r="D1995" t="s">
        <v>895</v>
      </c>
      <c r="E1995">
        <v>29</v>
      </c>
      <c r="F1995" t="s">
        <v>2198</v>
      </c>
      <c r="G1995">
        <v>2022</v>
      </c>
      <c r="H1995" t="s">
        <v>2677</v>
      </c>
      <c r="I1995" t="s">
        <v>28</v>
      </c>
      <c r="J1995">
        <v>849</v>
      </c>
      <c r="K1995">
        <v>250</v>
      </c>
      <c r="L1995">
        <f t="shared" si="504"/>
        <v>599</v>
      </c>
      <c r="M1995">
        <v>240</v>
      </c>
      <c r="N1995">
        <f t="shared" si="505"/>
        <v>359</v>
      </c>
    </row>
    <row r="1996" spans="1:14" x14ac:dyDescent="0.2">
      <c r="A1996" t="s">
        <v>2678</v>
      </c>
      <c r="B1996" s="1" t="s">
        <v>2666</v>
      </c>
      <c r="C1996" t="s">
        <v>14</v>
      </c>
      <c r="D1996" t="s">
        <v>169</v>
      </c>
      <c r="E1996">
        <v>29</v>
      </c>
      <c r="F1996" t="s">
        <v>2198</v>
      </c>
      <c r="G1996">
        <v>2022</v>
      </c>
      <c r="H1996" t="s">
        <v>246</v>
      </c>
      <c r="I1996" t="s">
        <v>58</v>
      </c>
      <c r="J1996">
        <v>799</v>
      </c>
      <c r="K1996">
        <v>205</v>
      </c>
      <c r="L1996">
        <f t="shared" si="504"/>
        <v>594</v>
      </c>
      <c r="M1996">
        <v>240</v>
      </c>
      <c r="N1996">
        <f t="shared" si="505"/>
        <v>354</v>
      </c>
    </row>
    <row r="1997" spans="1:14" x14ac:dyDescent="0.2">
      <c r="A1997" t="s">
        <v>2568</v>
      </c>
      <c r="B1997" s="1" t="s">
        <v>2541</v>
      </c>
      <c r="C1997" t="s">
        <v>106</v>
      </c>
      <c r="D1997" t="s">
        <v>792</v>
      </c>
      <c r="E1997">
        <v>24</v>
      </c>
      <c r="F1997" t="s">
        <v>2198</v>
      </c>
      <c r="G1997">
        <v>2022</v>
      </c>
      <c r="H1997" t="s">
        <v>235</v>
      </c>
      <c r="I1997" t="s">
        <v>62</v>
      </c>
      <c r="J1997">
        <v>-849</v>
      </c>
      <c r="K1997">
        <v>345</v>
      </c>
      <c r="L1997">
        <f t="shared" ref="L1997:L2002" si="506">J1997+K1997</f>
        <v>-504</v>
      </c>
      <c r="M1997">
        <v>240</v>
      </c>
      <c r="N1997">
        <f t="shared" ref="N1997:N2002" si="507">L1997+M1997</f>
        <v>-264</v>
      </c>
    </row>
    <row r="1998" spans="1:14" x14ac:dyDescent="0.2">
      <c r="A1998" t="s">
        <v>2518</v>
      </c>
      <c r="B1998" s="1" t="s">
        <v>2471</v>
      </c>
      <c r="C1998" t="s">
        <v>106</v>
      </c>
      <c r="D1998" t="s">
        <v>448</v>
      </c>
      <c r="E1998">
        <v>21</v>
      </c>
      <c r="F1998" t="s">
        <v>2198</v>
      </c>
      <c r="G1998">
        <v>2022</v>
      </c>
      <c r="H1998" t="s">
        <v>2519</v>
      </c>
      <c r="I1998" t="s">
        <v>502</v>
      </c>
      <c r="J1998">
        <v>-854.05</v>
      </c>
      <c r="K1998">
        <v>345</v>
      </c>
      <c r="L1998">
        <f t="shared" si="506"/>
        <v>-509.04999999999995</v>
      </c>
      <c r="M1998">
        <v>240</v>
      </c>
      <c r="N1998">
        <f t="shared" si="507"/>
        <v>-269.04999999999995</v>
      </c>
    </row>
    <row r="1999" spans="1:14" x14ac:dyDescent="0.2">
      <c r="A1999" t="s">
        <v>2547</v>
      </c>
      <c r="B1999" s="1" t="s">
        <v>2506</v>
      </c>
      <c r="C1999" t="s">
        <v>106</v>
      </c>
      <c r="D1999" t="s">
        <v>2548</v>
      </c>
      <c r="E1999">
        <v>23</v>
      </c>
      <c r="F1999" t="s">
        <v>2198</v>
      </c>
      <c r="G1999">
        <v>2022</v>
      </c>
      <c r="H1999" t="s">
        <v>91</v>
      </c>
      <c r="I1999" t="s">
        <v>23</v>
      </c>
      <c r="J1999">
        <v>-799</v>
      </c>
      <c r="K1999">
        <v>320</v>
      </c>
      <c r="L1999">
        <f t="shared" si="506"/>
        <v>-479</v>
      </c>
      <c r="M1999">
        <v>240</v>
      </c>
      <c r="N1999">
        <f t="shared" si="507"/>
        <v>-239</v>
      </c>
    </row>
    <row r="2000" spans="1:14" x14ac:dyDescent="0.2">
      <c r="A2000" t="s">
        <v>2591</v>
      </c>
      <c r="B2000" s="1" t="s">
        <v>2586</v>
      </c>
      <c r="C2000" t="s">
        <v>106</v>
      </c>
      <c r="D2000" t="s">
        <v>133</v>
      </c>
      <c r="E2000">
        <v>25</v>
      </c>
      <c r="F2000" t="s">
        <v>2198</v>
      </c>
      <c r="G2000">
        <v>2022</v>
      </c>
      <c r="H2000" t="s">
        <v>2589</v>
      </c>
      <c r="I2000" t="s">
        <v>144</v>
      </c>
      <c r="J2000">
        <v>-759.05</v>
      </c>
      <c r="K2000">
        <v>320</v>
      </c>
      <c r="L2000">
        <f t="shared" si="506"/>
        <v>-439.04999999999995</v>
      </c>
      <c r="M2000">
        <v>240</v>
      </c>
      <c r="N2000">
        <f t="shared" si="507"/>
        <v>-199.04999999999995</v>
      </c>
    </row>
    <row r="2001" spans="1:14" x14ac:dyDescent="0.2">
      <c r="A2001" t="s">
        <v>2529</v>
      </c>
      <c r="B2001" s="1" t="s">
        <v>2506</v>
      </c>
      <c r="C2001" t="s">
        <v>106</v>
      </c>
      <c r="D2001" t="s">
        <v>1556</v>
      </c>
      <c r="E2001">
        <v>23</v>
      </c>
      <c r="F2001" t="s">
        <v>2198</v>
      </c>
      <c r="G2001">
        <v>2022</v>
      </c>
      <c r="H2001" t="s">
        <v>2527</v>
      </c>
      <c r="I2001" t="s">
        <v>32</v>
      </c>
      <c r="J2001">
        <v>-899</v>
      </c>
      <c r="K2001">
        <v>375</v>
      </c>
      <c r="L2001">
        <f t="shared" si="506"/>
        <v>-524</v>
      </c>
      <c r="M2001">
        <v>240</v>
      </c>
      <c r="N2001">
        <f t="shared" si="507"/>
        <v>-284</v>
      </c>
    </row>
    <row r="2002" spans="1:14" x14ac:dyDescent="0.2">
      <c r="A2002" t="s">
        <v>2526</v>
      </c>
      <c r="B2002" s="1" t="s">
        <v>2506</v>
      </c>
      <c r="C2002" t="s">
        <v>106</v>
      </c>
      <c r="D2002" t="s">
        <v>477</v>
      </c>
      <c r="E2002">
        <v>23</v>
      </c>
      <c r="F2002" t="s">
        <v>2198</v>
      </c>
      <c r="G2002">
        <v>2022</v>
      </c>
      <c r="H2002" t="s">
        <v>2527</v>
      </c>
      <c r="I2002" t="s">
        <v>32</v>
      </c>
      <c r="J2002">
        <v>-854.05</v>
      </c>
      <c r="K2002">
        <v>345</v>
      </c>
      <c r="L2002">
        <f t="shared" si="506"/>
        <v>-509.04999999999995</v>
      </c>
      <c r="M2002">
        <v>240</v>
      </c>
      <c r="N2002">
        <f t="shared" si="507"/>
        <v>-269.04999999999995</v>
      </c>
    </row>
    <row r="2003" spans="1:14" x14ac:dyDescent="0.2">
      <c r="A2003" t="s">
        <v>2680</v>
      </c>
      <c r="B2003" s="1" t="s">
        <v>2679</v>
      </c>
      <c r="C2003" t="s">
        <v>14</v>
      </c>
      <c r="D2003" t="s">
        <v>881</v>
      </c>
      <c r="E2003">
        <v>30</v>
      </c>
      <c r="F2003" t="s">
        <v>2198</v>
      </c>
      <c r="G2003">
        <v>2022</v>
      </c>
      <c r="H2003" t="s">
        <v>2681</v>
      </c>
      <c r="I2003" t="s">
        <v>19</v>
      </c>
      <c r="J2003">
        <v>799</v>
      </c>
      <c r="K2003">
        <v>205</v>
      </c>
      <c r="L2003">
        <f t="shared" ref="L2003:L2019" si="508">J2003-K2003</f>
        <v>594</v>
      </c>
      <c r="M2003">
        <v>240</v>
      </c>
      <c r="N2003">
        <f t="shared" ref="N2003:N2019" si="509">L2003-M2003</f>
        <v>354</v>
      </c>
    </row>
    <row r="2004" spans="1:14" x14ac:dyDescent="0.2">
      <c r="A2004" t="s">
        <v>2682</v>
      </c>
      <c r="B2004" s="1" t="s">
        <v>2679</v>
      </c>
      <c r="C2004" t="s">
        <v>14</v>
      </c>
      <c r="D2004" t="s">
        <v>954</v>
      </c>
      <c r="E2004">
        <v>30</v>
      </c>
      <c r="F2004" t="s">
        <v>2198</v>
      </c>
      <c r="G2004">
        <v>2022</v>
      </c>
      <c r="H2004" t="s">
        <v>91</v>
      </c>
      <c r="I2004" t="s">
        <v>23</v>
      </c>
      <c r="J2004">
        <v>799</v>
      </c>
      <c r="K2004">
        <v>205</v>
      </c>
      <c r="L2004">
        <f t="shared" si="508"/>
        <v>594</v>
      </c>
      <c r="M2004">
        <v>240</v>
      </c>
      <c r="N2004">
        <f t="shared" si="509"/>
        <v>354</v>
      </c>
    </row>
    <row r="2005" spans="1:14" x14ac:dyDescent="0.2">
      <c r="A2005" t="s">
        <v>2683</v>
      </c>
      <c r="B2005" s="1" t="s">
        <v>2679</v>
      </c>
      <c r="C2005" t="s">
        <v>14</v>
      </c>
      <c r="D2005" t="s">
        <v>81</v>
      </c>
      <c r="E2005">
        <v>30</v>
      </c>
      <c r="F2005" t="s">
        <v>2198</v>
      </c>
      <c r="G2005">
        <v>2022</v>
      </c>
      <c r="H2005" t="s">
        <v>2684</v>
      </c>
      <c r="I2005" t="s">
        <v>23</v>
      </c>
      <c r="J2005">
        <v>806.55</v>
      </c>
      <c r="K2005">
        <v>227</v>
      </c>
      <c r="L2005">
        <f t="shared" si="508"/>
        <v>579.54999999999995</v>
      </c>
      <c r="M2005">
        <v>240</v>
      </c>
      <c r="N2005">
        <f t="shared" si="509"/>
        <v>339.54999999999995</v>
      </c>
    </row>
    <row r="2006" spans="1:14" x14ac:dyDescent="0.2">
      <c r="A2006" t="s">
        <v>2685</v>
      </c>
      <c r="B2006" s="1" t="s">
        <v>2679</v>
      </c>
      <c r="C2006" t="s">
        <v>14</v>
      </c>
      <c r="D2006" t="s">
        <v>81</v>
      </c>
      <c r="E2006">
        <v>30</v>
      </c>
      <c r="F2006" t="s">
        <v>2198</v>
      </c>
      <c r="G2006">
        <v>2022</v>
      </c>
      <c r="H2006" t="s">
        <v>246</v>
      </c>
      <c r="I2006" t="s">
        <v>58</v>
      </c>
      <c r="J2006">
        <v>849</v>
      </c>
      <c r="K2006">
        <v>250</v>
      </c>
      <c r="L2006">
        <f t="shared" si="508"/>
        <v>599</v>
      </c>
      <c r="M2006">
        <v>240</v>
      </c>
      <c r="N2006">
        <f t="shared" si="509"/>
        <v>359</v>
      </c>
    </row>
    <row r="2007" spans="1:14" x14ac:dyDescent="0.2">
      <c r="A2007" t="s">
        <v>2686</v>
      </c>
      <c r="B2007" s="1" t="s">
        <v>2666</v>
      </c>
      <c r="C2007" t="s">
        <v>14</v>
      </c>
      <c r="D2007" t="s">
        <v>940</v>
      </c>
      <c r="E2007">
        <v>29</v>
      </c>
      <c r="F2007" t="s">
        <v>2198</v>
      </c>
      <c r="G2007">
        <v>2022</v>
      </c>
      <c r="H2007" t="s">
        <v>193</v>
      </c>
      <c r="I2007" t="s">
        <v>62</v>
      </c>
      <c r="J2007">
        <v>799</v>
      </c>
      <c r="K2007">
        <v>205</v>
      </c>
      <c r="L2007">
        <f t="shared" si="508"/>
        <v>594</v>
      </c>
      <c r="M2007">
        <v>240</v>
      </c>
      <c r="N2007">
        <f t="shared" si="509"/>
        <v>354</v>
      </c>
    </row>
    <row r="2008" spans="1:14" x14ac:dyDescent="0.2">
      <c r="A2008" t="s">
        <v>2686</v>
      </c>
      <c r="B2008" s="1" t="s">
        <v>2666</v>
      </c>
      <c r="C2008" t="s">
        <v>14</v>
      </c>
      <c r="D2008" t="s">
        <v>1937</v>
      </c>
      <c r="E2008">
        <v>29</v>
      </c>
      <c r="F2008" t="s">
        <v>2198</v>
      </c>
      <c r="G2008">
        <v>2022</v>
      </c>
      <c r="H2008" t="s">
        <v>193</v>
      </c>
      <c r="I2008" t="s">
        <v>62</v>
      </c>
      <c r="J2008">
        <v>799</v>
      </c>
      <c r="K2008">
        <v>205</v>
      </c>
      <c r="L2008">
        <f t="shared" si="508"/>
        <v>594</v>
      </c>
      <c r="M2008">
        <v>240</v>
      </c>
      <c r="N2008">
        <f t="shared" si="509"/>
        <v>354</v>
      </c>
    </row>
    <row r="2009" spans="1:14" x14ac:dyDescent="0.2">
      <c r="A2009" t="s">
        <v>2687</v>
      </c>
      <c r="B2009" s="1" t="s">
        <v>2666</v>
      </c>
      <c r="C2009" t="s">
        <v>14</v>
      </c>
      <c r="D2009" t="s">
        <v>895</v>
      </c>
      <c r="E2009">
        <v>29</v>
      </c>
      <c r="F2009" t="s">
        <v>2198</v>
      </c>
      <c r="G2009">
        <v>2022</v>
      </c>
      <c r="H2009" t="s">
        <v>417</v>
      </c>
      <c r="I2009" t="s">
        <v>253</v>
      </c>
      <c r="J2009">
        <v>849</v>
      </c>
      <c r="K2009">
        <v>250</v>
      </c>
      <c r="L2009">
        <f t="shared" si="508"/>
        <v>599</v>
      </c>
      <c r="M2009">
        <v>240</v>
      </c>
      <c r="N2009">
        <f t="shared" si="509"/>
        <v>359</v>
      </c>
    </row>
    <row r="2010" spans="1:14" x14ac:dyDescent="0.2">
      <c r="A2010" t="s">
        <v>2686</v>
      </c>
      <c r="B2010" s="1" t="s">
        <v>2666</v>
      </c>
      <c r="C2010" t="s">
        <v>14</v>
      </c>
      <c r="D2010" t="s">
        <v>1338</v>
      </c>
      <c r="E2010">
        <v>29</v>
      </c>
      <c r="F2010" t="s">
        <v>2198</v>
      </c>
      <c r="G2010">
        <v>2022</v>
      </c>
      <c r="H2010" t="s">
        <v>193</v>
      </c>
      <c r="I2010" t="s">
        <v>62</v>
      </c>
      <c r="J2010">
        <v>799</v>
      </c>
      <c r="K2010">
        <v>205</v>
      </c>
      <c r="L2010">
        <f t="shared" si="508"/>
        <v>594</v>
      </c>
      <c r="M2010">
        <v>240</v>
      </c>
      <c r="N2010">
        <f t="shared" si="509"/>
        <v>354</v>
      </c>
    </row>
    <row r="2011" spans="1:14" x14ac:dyDescent="0.2">
      <c r="A2011" t="s">
        <v>2688</v>
      </c>
      <c r="B2011" s="1" t="s">
        <v>2679</v>
      </c>
      <c r="C2011" t="s">
        <v>14</v>
      </c>
      <c r="D2011" t="s">
        <v>881</v>
      </c>
      <c r="E2011">
        <v>30</v>
      </c>
      <c r="F2011" t="s">
        <v>2198</v>
      </c>
      <c r="G2011">
        <v>2022</v>
      </c>
      <c r="H2011" t="s">
        <v>2689</v>
      </c>
      <c r="I2011" t="s">
        <v>502</v>
      </c>
      <c r="J2011">
        <v>759.05</v>
      </c>
      <c r="K2011">
        <v>202</v>
      </c>
      <c r="L2011">
        <f t="shared" si="508"/>
        <v>557.04999999999995</v>
      </c>
      <c r="M2011">
        <v>240</v>
      </c>
      <c r="N2011">
        <f t="shared" si="509"/>
        <v>317.04999999999995</v>
      </c>
    </row>
    <row r="2012" spans="1:14" x14ac:dyDescent="0.2">
      <c r="A2012" t="s">
        <v>2690</v>
      </c>
      <c r="B2012" s="1" t="s">
        <v>2679</v>
      </c>
      <c r="C2012" t="s">
        <v>14</v>
      </c>
      <c r="D2012" t="s">
        <v>452</v>
      </c>
      <c r="E2012">
        <v>30</v>
      </c>
      <c r="F2012" t="s">
        <v>2198</v>
      </c>
      <c r="G2012">
        <v>2022</v>
      </c>
      <c r="H2012" t="s">
        <v>2691</v>
      </c>
      <c r="I2012" t="s">
        <v>85</v>
      </c>
      <c r="J2012">
        <v>799</v>
      </c>
      <c r="K2012">
        <v>205</v>
      </c>
      <c r="L2012">
        <f t="shared" si="508"/>
        <v>594</v>
      </c>
      <c r="M2012">
        <v>240</v>
      </c>
      <c r="N2012">
        <f t="shared" si="509"/>
        <v>354</v>
      </c>
    </row>
    <row r="2013" spans="1:14" x14ac:dyDescent="0.2">
      <c r="A2013" t="s">
        <v>2692</v>
      </c>
      <c r="B2013" s="1" t="s">
        <v>2679</v>
      </c>
      <c r="C2013" t="s">
        <v>14</v>
      </c>
      <c r="D2013" t="s">
        <v>420</v>
      </c>
      <c r="E2013">
        <v>30</v>
      </c>
      <c r="F2013" t="s">
        <v>2198</v>
      </c>
      <c r="G2013">
        <v>2022</v>
      </c>
      <c r="H2013" t="s">
        <v>246</v>
      </c>
      <c r="I2013" t="s">
        <v>58</v>
      </c>
      <c r="J2013">
        <v>899</v>
      </c>
      <c r="K2013">
        <v>295</v>
      </c>
      <c r="L2013">
        <f t="shared" si="508"/>
        <v>604</v>
      </c>
      <c r="M2013">
        <v>240</v>
      </c>
      <c r="N2013">
        <f t="shared" si="509"/>
        <v>364</v>
      </c>
    </row>
    <row r="2014" spans="1:14" x14ac:dyDescent="0.2">
      <c r="A2014" t="s">
        <v>2693</v>
      </c>
      <c r="B2014" s="1" t="s">
        <v>2679</v>
      </c>
      <c r="C2014" t="s">
        <v>14</v>
      </c>
      <c r="D2014" t="s">
        <v>445</v>
      </c>
      <c r="E2014">
        <v>30</v>
      </c>
      <c r="F2014" t="s">
        <v>2198</v>
      </c>
      <c r="G2014">
        <v>2022</v>
      </c>
      <c r="H2014" t="s">
        <v>1146</v>
      </c>
      <c r="I2014" t="s">
        <v>58</v>
      </c>
      <c r="J2014">
        <v>854.05</v>
      </c>
      <c r="K2014">
        <v>270</v>
      </c>
      <c r="L2014">
        <f t="shared" si="508"/>
        <v>584.04999999999995</v>
      </c>
      <c r="M2014">
        <v>240</v>
      </c>
      <c r="N2014">
        <f t="shared" si="509"/>
        <v>344.04999999999995</v>
      </c>
    </row>
    <row r="2015" spans="1:14" x14ac:dyDescent="0.2">
      <c r="A2015" t="s">
        <v>2694</v>
      </c>
      <c r="B2015" s="1" t="s">
        <v>2679</v>
      </c>
      <c r="C2015" t="s">
        <v>14</v>
      </c>
      <c r="D2015" t="s">
        <v>1168</v>
      </c>
      <c r="E2015">
        <v>30</v>
      </c>
      <c r="F2015" t="s">
        <v>2198</v>
      </c>
      <c r="G2015">
        <v>2022</v>
      </c>
      <c r="H2015" t="s">
        <v>157</v>
      </c>
      <c r="I2015" t="s">
        <v>97</v>
      </c>
      <c r="J2015">
        <v>799</v>
      </c>
      <c r="K2015">
        <v>205</v>
      </c>
      <c r="L2015">
        <f t="shared" si="508"/>
        <v>594</v>
      </c>
      <c r="M2015">
        <v>240</v>
      </c>
      <c r="N2015">
        <f t="shared" si="509"/>
        <v>354</v>
      </c>
    </row>
    <row r="2016" spans="1:14" x14ac:dyDescent="0.2">
      <c r="A2016" t="s">
        <v>2695</v>
      </c>
      <c r="B2016" s="1" t="s">
        <v>2679</v>
      </c>
      <c r="C2016" t="s">
        <v>14</v>
      </c>
      <c r="D2016" t="s">
        <v>169</v>
      </c>
      <c r="E2016">
        <v>30</v>
      </c>
      <c r="F2016" t="s">
        <v>2198</v>
      </c>
      <c r="G2016">
        <v>2022</v>
      </c>
      <c r="H2016" t="s">
        <v>579</v>
      </c>
      <c r="I2016" t="s">
        <v>62</v>
      </c>
      <c r="J2016">
        <v>759.05</v>
      </c>
      <c r="K2016">
        <v>202</v>
      </c>
      <c r="L2016">
        <f t="shared" si="508"/>
        <v>557.04999999999995</v>
      </c>
      <c r="M2016">
        <v>240</v>
      </c>
      <c r="N2016">
        <f t="shared" si="509"/>
        <v>317.04999999999995</v>
      </c>
    </row>
    <row r="2017" spans="1:14" x14ac:dyDescent="0.2">
      <c r="A2017" t="s">
        <v>2696</v>
      </c>
      <c r="B2017" s="1" t="s">
        <v>2679</v>
      </c>
      <c r="C2017" t="s">
        <v>14</v>
      </c>
      <c r="D2017" t="s">
        <v>957</v>
      </c>
      <c r="E2017">
        <v>30</v>
      </c>
      <c r="F2017" t="s">
        <v>2198</v>
      </c>
      <c r="G2017">
        <v>2022</v>
      </c>
      <c r="H2017" t="s">
        <v>235</v>
      </c>
      <c r="I2017" t="s">
        <v>62</v>
      </c>
      <c r="J2017">
        <v>799</v>
      </c>
      <c r="K2017">
        <v>205</v>
      </c>
      <c r="L2017">
        <f t="shared" si="508"/>
        <v>594</v>
      </c>
      <c r="M2017">
        <v>240</v>
      </c>
      <c r="N2017">
        <f t="shared" si="509"/>
        <v>354</v>
      </c>
    </row>
    <row r="2018" spans="1:14" x14ac:dyDescent="0.2">
      <c r="A2018" t="s">
        <v>2697</v>
      </c>
      <c r="B2018" s="1" t="s">
        <v>2679</v>
      </c>
      <c r="C2018" t="s">
        <v>14</v>
      </c>
      <c r="D2018" t="s">
        <v>169</v>
      </c>
      <c r="E2018">
        <v>30</v>
      </c>
      <c r="F2018" t="s">
        <v>2198</v>
      </c>
      <c r="G2018">
        <v>2022</v>
      </c>
      <c r="H2018" t="s">
        <v>2698</v>
      </c>
      <c r="I2018" t="s">
        <v>28</v>
      </c>
      <c r="J2018">
        <v>759.05</v>
      </c>
      <c r="K2018">
        <v>202</v>
      </c>
      <c r="L2018">
        <f t="shared" si="508"/>
        <v>557.04999999999995</v>
      </c>
      <c r="M2018">
        <v>240</v>
      </c>
      <c r="N2018">
        <f t="shared" si="509"/>
        <v>317.04999999999995</v>
      </c>
    </row>
    <row r="2019" spans="1:14" x14ac:dyDescent="0.2">
      <c r="A2019" t="s">
        <v>2699</v>
      </c>
      <c r="B2019" s="1" t="s">
        <v>2679</v>
      </c>
      <c r="C2019" t="s">
        <v>14</v>
      </c>
      <c r="D2019" t="s">
        <v>1495</v>
      </c>
      <c r="E2019">
        <v>30</v>
      </c>
      <c r="F2019" t="s">
        <v>2198</v>
      </c>
      <c r="G2019">
        <v>2022</v>
      </c>
      <c r="H2019" t="s">
        <v>2700</v>
      </c>
      <c r="I2019" t="s">
        <v>455</v>
      </c>
      <c r="J2019">
        <v>799</v>
      </c>
      <c r="K2019">
        <v>205</v>
      </c>
      <c r="L2019">
        <f t="shared" si="508"/>
        <v>594</v>
      </c>
      <c r="M2019">
        <v>240</v>
      </c>
      <c r="N2019">
        <f t="shared" si="509"/>
        <v>354</v>
      </c>
    </row>
    <row r="2020" spans="1:14" x14ac:dyDescent="0.2">
      <c r="A2020" t="s">
        <v>2181</v>
      </c>
      <c r="B2020" s="1" t="s">
        <v>2167</v>
      </c>
      <c r="C2020" t="s">
        <v>106</v>
      </c>
      <c r="D2020" t="s">
        <v>2182</v>
      </c>
      <c r="E2020">
        <v>30</v>
      </c>
      <c r="F2020" t="s">
        <v>1901</v>
      </c>
      <c r="G2020">
        <v>2022</v>
      </c>
      <c r="H2020" t="s">
        <v>173</v>
      </c>
      <c r="I2020" t="s">
        <v>62</v>
      </c>
      <c r="J2020">
        <v>-999</v>
      </c>
      <c r="K2020">
        <v>395</v>
      </c>
      <c r="L2020">
        <f t="shared" ref="L2020:L2027" si="510">J2020+K2020</f>
        <v>-604</v>
      </c>
      <c r="M2020">
        <v>240</v>
      </c>
      <c r="N2020">
        <f t="shared" ref="N2020:N2027" si="511">L2020+M2020</f>
        <v>-364</v>
      </c>
    </row>
    <row r="2021" spans="1:14" x14ac:dyDescent="0.2">
      <c r="A2021" t="s">
        <v>2176</v>
      </c>
      <c r="B2021" s="1" t="s">
        <v>2167</v>
      </c>
      <c r="C2021" t="s">
        <v>106</v>
      </c>
      <c r="D2021" t="s">
        <v>2177</v>
      </c>
      <c r="E2021">
        <v>30</v>
      </c>
      <c r="F2021" t="s">
        <v>1901</v>
      </c>
      <c r="G2021">
        <v>2022</v>
      </c>
      <c r="H2021" t="s">
        <v>170</v>
      </c>
      <c r="I2021" t="s">
        <v>171</v>
      </c>
      <c r="J2021">
        <v>-799</v>
      </c>
      <c r="K2021">
        <v>320</v>
      </c>
      <c r="L2021">
        <f t="shared" si="510"/>
        <v>-479</v>
      </c>
      <c r="M2021">
        <v>240</v>
      </c>
      <c r="N2021">
        <f t="shared" si="511"/>
        <v>-239</v>
      </c>
    </row>
    <row r="2022" spans="1:14" x14ac:dyDescent="0.2">
      <c r="A2022" t="s">
        <v>2189</v>
      </c>
      <c r="B2022" s="1" t="s">
        <v>2169</v>
      </c>
      <c r="C2022" t="s">
        <v>106</v>
      </c>
      <c r="D2022" t="s">
        <v>1002</v>
      </c>
      <c r="E2022">
        <v>31</v>
      </c>
      <c r="F2022" t="s">
        <v>1901</v>
      </c>
      <c r="G2022">
        <v>2022</v>
      </c>
      <c r="H2022" t="s">
        <v>84</v>
      </c>
      <c r="I2022" t="s">
        <v>85</v>
      </c>
      <c r="J2022">
        <v>-849</v>
      </c>
      <c r="K2022">
        <v>345</v>
      </c>
      <c r="L2022">
        <f t="shared" si="510"/>
        <v>-504</v>
      </c>
      <c r="M2022">
        <v>240</v>
      </c>
      <c r="N2022">
        <f t="shared" si="511"/>
        <v>-264</v>
      </c>
    </row>
    <row r="2023" spans="1:14" x14ac:dyDescent="0.2">
      <c r="A2023" t="s">
        <v>2190</v>
      </c>
      <c r="B2023" s="1" t="s">
        <v>2169</v>
      </c>
      <c r="C2023" t="s">
        <v>106</v>
      </c>
      <c r="D2023" t="s">
        <v>809</v>
      </c>
      <c r="E2023">
        <v>31</v>
      </c>
      <c r="F2023" t="s">
        <v>1901</v>
      </c>
      <c r="G2023">
        <v>2022</v>
      </c>
      <c r="H2023" t="s">
        <v>1230</v>
      </c>
      <c r="I2023" t="s">
        <v>28</v>
      </c>
      <c r="J2023">
        <v>-949.05</v>
      </c>
      <c r="K2023">
        <v>395</v>
      </c>
      <c r="L2023">
        <f t="shared" si="510"/>
        <v>-554.04999999999995</v>
      </c>
      <c r="M2023">
        <v>240</v>
      </c>
      <c r="N2023">
        <f t="shared" si="511"/>
        <v>-314.04999999999995</v>
      </c>
    </row>
    <row r="2024" spans="1:14" x14ac:dyDescent="0.2">
      <c r="A2024" t="s">
        <v>2172</v>
      </c>
      <c r="B2024" s="1" t="s">
        <v>2167</v>
      </c>
      <c r="C2024" t="s">
        <v>106</v>
      </c>
      <c r="D2024" t="s">
        <v>133</v>
      </c>
      <c r="E2024">
        <v>30</v>
      </c>
      <c r="F2024" t="s">
        <v>1901</v>
      </c>
      <c r="G2024">
        <v>2022</v>
      </c>
      <c r="H2024" t="s">
        <v>2173</v>
      </c>
      <c r="I2024" t="s">
        <v>23</v>
      </c>
      <c r="J2024">
        <v>-799</v>
      </c>
      <c r="K2024">
        <v>320</v>
      </c>
      <c r="L2024">
        <f t="shared" si="510"/>
        <v>-479</v>
      </c>
      <c r="M2024">
        <v>240</v>
      </c>
      <c r="N2024">
        <f t="shared" si="511"/>
        <v>-239</v>
      </c>
    </row>
    <row r="2025" spans="1:14" x14ac:dyDescent="0.2">
      <c r="A2025" t="s">
        <v>2180</v>
      </c>
      <c r="B2025" s="1" t="s">
        <v>2167</v>
      </c>
      <c r="C2025" t="s">
        <v>106</v>
      </c>
      <c r="D2025" t="s">
        <v>1076</v>
      </c>
      <c r="E2025">
        <v>30</v>
      </c>
      <c r="F2025" t="s">
        <v>1901</v>
      </c>
      <c r="G2025">
        <v>2022</v>
      </c>
      <c r="H2025" t="s">
        <v>157</v>
      </c>
      <c r="I2025" t="s">
        <v>97</v>
      </c>
      <c r="J2025">
        <v>-806.55</v>
      </c>
      <c r="K2025">
        <v>345</v>
      </c>
      <c r="L2025">
        <f t="shared" si="510"/>
        <v>-461.54999999999995</v>
      </c>
      <c r="M2025">
        <v>240</v>
      </c>
      <c r="N2025">
        <f t="shared" si="511"/>
        <v>-221.54999999999995</v>
      </c>
    </row>
    <row r="2026" spans="1:14" x14ac:dyDescent="0.2">
      <c r="A2026" t="s">
        <v>2175</v>
      </c>
      <c r="B2026" s="1" t="s">
        <v>2169</v>
      </c>
      <c r="C2026" t="s">
        <v>106</v>
      </c>
      <c r="D2026" t="s">
        <v>798</v>
      </c>
      <c r="E2026">
        <v>31</v>
      </c>
      <c r="F2026" t="s">
        <v>1901</v>
      </c>
      <c r="G2026">
        <v>2022</v>
      </c>
      <c r="H2026" t="s">
        <v>2165</v>
      </c>
      <c r="I2026" t="s">
        <v>135</v>
      </c>
      <c r="J2026">
        <v>-799</v>
      </c>
      <c r="K2026">
        <v>320</v>
      </c>
      <c r="L2026">
        <f t="shared" si="510"/>
        <v>-479</v>
      </c>
      <c r="M2026">
        <v>240</v>
      </c>
      <c r="N2026">
        <f t="shared" si="511"/>
        <v>-239</v>
      </c>
    </row>
    <row r="2027" spans="1:14" x14ac:dyDescent="0.2">
      <c r="A2027" t="s">
        <v>2171</v>
      </c>
      <c r="B2027" s="1" t="s">
        <v>2167</v>
      </c>
      <c r="C2027" t="s">
        <v>106</v>
      </c>
      <c r="D2027" t="s">
        <v>1076</v>
      </c>
      <c r="E2027">
        <v>30</v>
      </c>
      <c r="F2027" t="s">
        <v>1901</v>
      </c>
      <c r="G2027">
        <v>2022</v>
      </c>
      <c r="H2027" t="s">
        <v>193</v>
      </c>
      <c r="I2027" t="s">
        <v>62</v>
      </c>
      <c r="J2027">
        <v>-849</v>
      </c>
      <c r="K2027">
        <v>345</v>
      </c>
      <c r="L2027">
        <f t="shared" si="510"/>
        <v>-504</v>
      </c>
      <c r="M2027">
        <v>240</v>
      </c>
      <c r="N2027">
        <f t="shared" si="511"/>
        <v>-264</v>
      </c>
    </row>
    <row r="2028" spans="1:14" x14ac:dyDescent="0.2">
      <c r="A2028" t="s">
        <v>2702</v>
      </c>
      <c r="B2028" s="1" t="s">
        <v>2701</v>
      </c>
      <c r="C2028" t="s">
        <v>43</v>
      </c>
      <c r="D2028" t="s">
        <v>573</v>
      </c>
      <c r="E2028">
        <v>1</v>
      </c>
      <c r="F2028" t="s">
        <v>2703</v>
      </c>
      <c r="G2028">
        <v>2022</v>
      </c>
      <c r="H2028" t="s">
        <v>260</v>
      </c>
      <c r="I2028" t="s">
        <v>28</v>
      </c>
      <c r="J2028">
        <v>0</v>
      </c>
      <c r="K2028">
        <v>0</v>
      </c>
      <c r="L2028">
        <v>0</v>
      </c>
      <c r="M2028">
        <v>0</v>
      </c>
      <c r="N2028">
        <v>0</v>
      </c>
    </row>
    <row r="2029" spans="1:14" x14ac:dyDescent="0.2">
      <c r="A2029" t="s">
        <v>2704</v>
      </c>
      <c r="B2029" s="1" t="s">
        <v>2701</v>
      </c>
      <c r="C2029" t="s">
        <v>14</v>
      </c>
      <c r="D2029" t="s">
        <v>2705</v>
      </c>
      <c r="E2029">
        <v>1</v>
      </c>
      <c r="F2029" t="s">
        <v>2703</v>
      </c>
      <c r="G2029">
        <v>2022</v>
      </c>
      <c r="H2029" t="s">
        <v>1176</v>
      </c>
      <c r="I2029" t="s">
        <v>62</v>
      </c>
      <c r="J2029">
        <v>999</v>
      </c>
      <c r="K2029">
        <v>325</v>
      </c>
      <c r="L2029">
        <f t="shared" ref="L2029:L2031" si="512">J2029-K2029</f>
        <v>674</v>
      </c>
      <c r="M2029">
        <v>240</v>
      </c>
      <c r="N2029">
        <f t="shared" ref="N2029:N2031" si="513">L2029-M2029</f>
        <v>434</v>
      </c>
    </row>
    <row r="2030" spans="1:14" x14ac:dyDescent="0.2">
      <c r="A2030" t="s">
        <v>2706</v>
      </c>
      <c r="B2030" s="1" t="s">
        <v>2701</v>
      </c>
      <c r="C2030" t="s">
        <v>14</v>
      </c>
      <c r="D2030" t="s">
        <v>895</v>
      </c>
      <c r="E2030">
        <v>1</v>
      </c>
      <c r="F2030" t="s">
        <v>2703</v>
      </c>
      <c r="G2030">
        <v>2022</v>
      </c>
      <c r="H2030" t="s">
        <v>157</v>
      </c>
      <c r="I2030" t="s">
        <v>97</v>
      </c>
      <c r="J2030">
        <v>849</v>
      </c>
      <c r="K2030">
        <v>250</v>
      </c>
      <c r="L2030">
        <f t="shared" si="512"/>
        <v>599</v>
      </c>
      <c r="M2030">
        <v>240</v>
      </c>
      <c r="N2030">
        <f t="shared" si="513"/>
        <v>359</v>
      </c>
    </row>
    <row r="2031" spans="1:14" x14ac:dyDescent="0.2">
      <c r="A2031" t="s">
        <v>2707</v>
      </c>
      <c r="B2031" s="1" t="s">
        <v>2701</v>
      </c>
      <c r="C2031" t="s">
        <v>14</v>
      </c>
      <c r="D2031" t="s">
        <v>993</v>
      </c>
      <c r="E2031">
        <v>1</v>
      </c>
      <c r="F2031" t="s">
        <v>2703</v>
      </c>
      <c r="G2031">
        <v>2022</v>
      </c>
      <c r="H2031" t="s">
        <v>170</v>
      </c>
      <c r="I2031" t="s">
        <v>171</v>
      </c>
      <c r="J2031">
        <v>799</v>
      </c>
      <c r="K2031">
        <v>205</v>
      </c>
      <c r="L2031">
        <f t="shared" si="512"/>
        <v>594</v>
      </c>
      <c r="M2031">
        <v>240</v>
      </c>
      <c r="N2031">
        <f t="shared" si="513"/>
        <v>354</v>
      </c>
    </row>
    <row r="2032" spans="1:14" x14ac:dyDescent="0.2">
      <c r="A2032" t="s">
        <v>2708</v>
      </c>
      <c r="B2032" s="1" t="s">
        <v>2701</v>
      </c>
      <c r="C2032" t="s">
        <v>20</v>
      </c>
      <c r="D2032" t="s">
        <v>81</v>
      </c>
      <c r="E2032">
        <v>1</v>
      </c>
      <c r="F2032" t="s">
        <v>2703</v>
      </c>
      <c r="G2032">
        <v>2022</v>
      </c>
      <c r="H2032" t="s">
        <v>2042</v>
      </c>
      <c r="I2032" t="s">
        <v>171</v>
      </c>
      <c r="J2032">
        <v>0</v>
      </c>
      <c r="K2032">
        <v>0</v>
      </c>
      <c r="L2032">
        <v>0</v>
      </c>
      <c r="M2032">
        <v>0</v>
      </c>
      <c r="N2032">
        <v>0</v>
      </c>
    </row>
    <row r="2033" spans="1:14" x14ac:dyDescent="0.2">
      <c r="A2033" t="s">
        <v>2709</v>
      </c>
      <c r="B2033" s="1" t="s">
        <v>2701</v>
      </c>
      <c r="C2033" t="s">
        <v>14</v>
      </c>
      <c r="D2033" t="s">
        <v>70</v>
      </c>
      <c r="E2033">
        <v>1</v>
      </c>
      <c r="F2033" t="s">
        <v>2703</v>
      </c>
      <c r="G2033">
        <v>2022</v>
      </c>
      <c r="H2033" t="s">
        <v>246</v>
      </c>
      <c r="I2033" t="s">
        <v>58</v>
      </c>
      <c r="J2033">
        <v>849</v>
      </c>
      <c r="K2033">
        <v>250</v>
      </c>
      <c r="L2033">
        <f t="shared" ref="L2033:L2049" si="514">J2033-K2033</f>
        <v>599</v>
      </c>
      <c r="M2033">
        <v>240</v>
      </c>
      <c r="N2033">
        <f t="shared" ref="N2033:N2049" si="515">L2033-M2033</f>
        <v>359</v>
      </c>
    </row>
    <row r="2034" spans="1:14" x14ac:dyDescent="0.2">
      <c r="A2034" t="s">
        <v>2702</v>
      </c>
      <c r="B2034" s="1" t="s">
        <v>2701</v>
      </c>
      <c r="C2034" t="s">
        <v>14</v>
      </c>
      <c r="D2034" t="s">
        <v>573</v>
      </c>
      <c r="E2034">
        <v>1</v>
      </c>
      <c r="F2034" t="s">
        <v>2703</v>
      </c>
      <c r="G2034">
        <v>2022</v>
      </c>
      <c r="H2034" t="s">
        <v>260</v>
      </c>
      <c r="I2034" t="s">
        <v>28</v>
      </c>
      <c r="J2034">
        <v>854.05</v>
      </c>
      <c r="K2034">
        <v>270</v>
      </c>
      <c r="L2034">
        <f t="shared" si="514"/>
        <v>584.04999999999995</v>
      </c>
      <c r="M2034">
        <v>240</v>
      </c>
      <c r="N2034">
        <f t="shared" si="515"/>
        <v>344.04999999999995</v>
      </c>
    </row>
    <row r="2035" spans="1:14" x14ac:dyDescent="0.2">
      <c r="A2035" t="s">
        <v>2710</v>
      </c>
      <c r="B2035" s="1" t="s">
        <v>2701</v>
      </c>
      <c r="C2035" t="s">
        <v>14</v>
      </c>
      <c r="D2035" t="s">
        <v>169</v>
      </c>
      <c r="E2035">
        <v>1</v>
      </c>
      <c r="F2035" t="s">
        <v>2703</v>
      </c>
      <c r="G2035">
        <v>2022</v>
      </c>
      <c r="H2035" t="s">
        <v>2711</v>
      </c>
      <c r="I2035" t="s">
        <v>253</v>
      </c>
      <c r="J2035">
        <v>759.05</v>
      </c>
      <c r="K2035">
        <v>202</v>
      </c>
      <c r="L2035">
        <f t="shared" si="514"/>
        <v>557.04999999999995</v>
      </c>
      <c r="M2035">
        <v>240</v>
      </c>
      <c r="N2035">
        <f t="shared" si="515"/>
        <v>317.04999999999995</v>
      </c>
    </row>
    <row r="2036" spans="1:14" x14ac:dyDescent="0.2">
      <c r="A2036" t="s">
        <v>2712</v>
      </c>
      <c r="B2036" s="1" t="s">
        <v>2701</v>
      </c>
      <c r="C2036" t="s">
        <v>14</v>
      </c>
      <c r="D2036" t="s">
        <v>954</v>
      </c>
      <c r="E2036">
        <v>1</v>
      </c>
      <c r="F2036" t="s">
        <v>2703</v>
      </c>
      <c r="G2036">
        <v>2022</v>
      </c>
      <c r="H2036" t="s">
        <v>2713</v>
      </c>
      <c r="I2036" t="s">
        <v>144</v>
      </c>
      <c r="J2036">
        <v>799</v>
      </c>
      <c r="K2036">
        <v>205</v>
      </c>
      <c r="L2036">
        <f t="shared" si="514"/>
        <v>594</v>
      </c>
      <c r="M2036">
        <v>240</v>
      </c>
      <c r="N2036">
        <f t="shared" si="515"/>
        <v>354</v>
      </c>
    </row>
    <row r="2037" spans="1:14" x14ac:dyDescent="0.2">
      <c r="A2037" t="s">
        <v>2714</v>
      </c>
      <c r="B2037" s="1" t="s">
        <v>2701</v>
      </c>
      <c r="C2037" t="s">
        <v>14</v>
      </c>
      <c r="D2037" t="s">
        <v>308</v>
      </c>
      <c r="E2037">
        <v>1</v>
      </c>
      <c r="F2037" t="s">
        <v>2703</v>
      </c>
      <c r="G2037">
        <v>2022</v>
      </c>
      <c r="H2037" t="s">
        <v>2715</v>
      </c>
      <c r="I2037" t="s">
        <v>23</v>
      </c>
      <c r="J2037">
        <v>899</v>
      </c>
      <c r="K2037">
        <v>295</v>
      </c>
      <c r="L2037">
        <f t="shared" si="514"/>
        <v>604</v>
      </c>
      <c r="M2037">
        <v>240</v>
      </c>
      <c r="N2037">
        <f t="shared" si="515"/>
        <v>364</v>
      </c>
    </row>
    <row r="2038" spans="1:14" x14ac:dyDescent="0.2">
      <c r="A2038" t="s">
        <v>2717</v>
      </c>
      <c r="B2038" s="1" t="s">
        <v>2716</v>
      </c>
      <c r="C2038" t="s">
        <v>14</v>
      </c>
      <c r="D2038" t="s">
        <v>890</v>
      </c>
      <c r="E2038">
        <v>2</v>
      </c>
      <c r="F2038" t="s">
        <v>2703</v>
      </c>
      <c r="G2038">
        <v>2022</v>
      </c>
      <c r="H2038" t="s">
        <v>157</v>
      </c>
      <c r="I2038" t="s">
        <v>97</v>
      </c>
      <c r="J2038">
        <v>849</v>
      </c>
      <c r="K2038">
        <v>250</v>
      </c>
      <c r="L2038">
        <f t="shared" si="514"/>
        <v>599</v>
      </c>
      <c r="M2038">
        <v>240</v>
      </c>
      <c r="N2038">
        <f t="shared" si="515"/>
        <v>359</v>
      </c>
    </row>
    <row r="2039" spans="1:14" x14ac:dyDescent="0.2">
      <c r="A2039" t="s">
        <v>2718</v>
      </c>
      <c r="B2039" s="1" t="s">
        <v>2716</v>
      </c>
      <c r="C2039" t="s">
        <v>14</v>
      </c>
      <c r="D2039" t="s">
        <v>308</v>
      </c>
      <c r="E2039">
        <v>2</v>
      </c>
      <c r="F2039" t="s">
        <v>2703</v>
      </c>
      <c r="G2039">
        <v>2022</v>
      </c>
      <c r="H2039" t="s">
        <v>91</v>
      </c>
      <c r="I2039" t="s">
        <v>23</v>
      </c>
      <c r="J2039">
        <v>854.05</v>
      </c>
      <c r="K2039">
        <v>270</v>
      </c>
      <c r="L2039">
        <f t="shared" si="514"/>
        <v>584.04999999999995</v>
      </c>
      <c r="M2039">
        <v>240</v>
      </c>
      <c r="N2039">
        <f t="shared" si="515"/>
        <v>344.04999999999995</v>
      </c>
    </row>
    <row r="2040" spans="1:14" x14ac:dyDescent="0.2">
      <c r="A2040" t="s">
        <v>2719</v>
      </c>
      <c r="B2040" s="1" t="s">
        <v>2716</v>
      </c>
      <c r="C2040" t="s">
        <v>14</v>
      </c>
      <c r="D2040" t="s">
        <v>133</v>
      </c>
      <c r="E2040">
        <v>2</v>
      </c>
      <c r="F2040" t="s">
        <v>2703</v>
      </c>
      <c r="G2040">
        <v>2022</v>
      </c>
      <c r="H2040" t="s">
        <v>104</v>
      </c>
      <c r="I2040" t="s">
        <v>62</v>
      </c>
      <c r="J2040">
        <v>799</v>
      </c>
      <c r="K2040">
        <v>205</v>
      </c>
      <c r="L2040">
        <f t="shared" si="514"/>
        <v>594</v>
      </c>
      <c r="M2040">
        <v>240</v>
      </c>
      <c r="N2040">
        <f t="shared" si="515"/>
        <v>354</v>
      </c>
    </row>
    <row r="2041" spans="1:14" x14ac:dyDescent="0.2">
      <c r="A2041" t="s">
        <v>2720</v>
      </c>
      <c r="B2041" s="1" t="s">
        <v>2716</v>
      </c>
      <c r="C2041" t="s">
        <v>14</v>
      </c>
      <c r="D2041" t="s">
        <v>448</v>
      </c>
      <c r="E2041">
        <v>2</v>
      </c>
      <c r="F2041" t="s">
        <v>2703</v>
      </c>
      <c r="G2041">
        <v>2022</v>
      </c>
      <c r="H2041" t="s">
        <v>246</v>
      </c>
      <c r="I2041" t="s">
        <v>58</v>
      </c>
      <c r="J2041">
        <v>899</v>
      </c>
      <c r="K2041">
        <v>295</v>
      </c>
      <c r="L2041">
        <f t="shared" si="514"/>
        <v>604</v>
      </c>
      <c r="M2041">
        <v>240</v>
      </c>
      <c r="N2041">
        <f t="shared" si="515"/>
        <v>364</v>
      </c>
    </row>
    <row r="2042" spans="1:14" x14ac:dyDescent="0.2">
      <c r="A2042" t="s">
        <v>2721</v>
      </c>
      <c r="B2042" s="1" t="s">
        <v>2716</v>
      </c>
      <c r="C2042" t="s">
        <v>14</v>
      </c>
      <c r="D2042" t="s">
        <v>893</v>
      </c>
      <c r="E2042">
        <v>2</v>
      </c>
      <c r="F2042" t="s">
        <v>2703</v>
      </c>
      <c r="G2042">
        <v>2022</v>
      </c>
      <c r="H2042" t="s">
        <v>2722</v>
      </c>
      <c r="I2042" t="s">
        <v>502</v>
      </c>
      <c r="J2042">
        <v>849</v>
      </c>
      <c r="K2042">
        <v>250</v>
      </c>
      <c r="L2042">
        <f t="shared" si="514"/>
        <v>599</v>
      </c>
      <c r="M2042">
        <v>240</v>
      </c>
      <c r="N2042">
        <f t="shared" si="515"/>
        <v>359</v>
      </c>
    </row>
    <row r="2043" spans="1:14" x14ac:dyDescent="0.2">
      <c r="A2043" t="s">
        <v>2723</v>
      </c>
      <c r="B2043" s="1" t="s">
        <v>2716</v>
      </c>
      <c r="C2043" t="s">
        <v>14</v>
      </c>
      <c r="D2043" t="s">
        <v>1303</v>
      </c>
      <c r="E2043">
        <v>2</v>
      </c>
      <c r="F2043" t="s">
        <v>2703</v>
      </c>
      <c r="G2043">
        <v>2022</v>
      </c>
      <c r="H2043" t="s">
        <v>235</v>
      </c>
      <c r="I2043" t="s">
        <v>62</v>
      </c>
      <c r="J2043">
        <v>849</v>
      </c>
      <c r="K2043">
        <v>250</v>
      </c>
      <c r="L2043">
        <f t="shared" si="514"/>
        <v>599</v>
      </c>
      <c r="M2043">
        <v>240</v>
      </c>
      <c r="N2043">
        <f t="shared" si="515"/>
        <v>359</v>
      </c>
    </row>
    <row r="2044" spans="1:14" x14ac:dyDescent="0.2">
      <c r="A2044" t="s">
        <v>2724</v>
      </c>
      <c r="B2044" s="1" t="s">
        <v>2716</v>
      </c>
      <c r="C2044" t="s">
        <v>14</v>
      </c>
      <c r="D2044" t="s">
        <v>308</v>
      </c>
      <c r="E2044">
        <v>2</v>
      </c>
      <c r="F2044" t="s">
        <v>2703</v>
      </c>
      <c r="G2044">
        <v>2022</v>
      </c>
      <c r="H2044" t="s">
        <v>173</v>
      </c>
      <c r="I2044" t="s">
        <v>62</v>
      </c>
      <c r="J2044">
        <v>854.05</v>
      </c>
      <c r="K2044">
        <v>270</v>
      </c>
      <c r="L2044">
        <f t="shared" si="514"/>
        <v>584.04999999999995</v>
      </c>
      <c r="M2044">
        <v>240</v>
      </c>
      <c r="N2044">
        <f t="shared" si="515"/>
        <v>344.04999999999995</v>
      </c>
    </row>
    <row r="2045" spans="1:14" x14ac:dyDescent="0.2">
      <c r="A2045" t="s">
        <v>2725</v>
      </c>
      <c r="B2045" s="1" t="s">
        <v>2716</v>
      </c>
      <c r="C2045" t="s">
        <v>14</v>
      </c>
      <c r="D2045" t="s">
        <v>812</v>
      </c>
      <c r="E2045">
        <v>2</v>
      </c>
      <c r="F2045" t="s">
        <v>2703</v>
      </c>
      <c r="G2045">
        <v>2022</v>
      </c>
      <c r="H2045" t="s">
        <v>18</v>
      </c>
      <c r="I2045" t="s">
        <v>19</v>
      </c>
      <c r="J2045">
        <v>949.05</v>
      </c>
      <c r="K2045">
        <v>306</v>
      </c>
      <c r="L2045">
        <f t="shared" si="514"/>
        <v>643.04999999999995</v>
      </c>
      <c r="M2045">
        <v>240</v>
      </c>
      <c r="N2045">
        <f t="shared" si="515"/>
        <v>403.04999999999995</v>
      </c>
    </row>
    <row r="2046" spans="1:14" x14ac:dyDescent="0.2">
      <c r="A2046" t="s">
        <v>2726</v>
      </c>
      <c r="B2046" s="1" t="s">
        <v>2716</v>
      </c>
      <c r="C2046" t="s">
        <v>14</v>
      </c>
      <c r="D2046" t="s">
        <v>993</v>
      </c>
      <c r="E2046">
        <v>2</v>
      </c>
      <c r="F2046" t="s">
        <v>2703</v>
      </c>
      <c r="G2046">
        <v>2022</v>
      </c>
      <c r="H2046" t="s">
        <v>157</v>
      </c>
      <c r="I2046" t="s">
        <v>97</v>
      </c>
      <c r="J2046">
        <v>799</v>
      </c>
      <c r="K2046">
        <v>205</v>
      </c>
      <c r="L2046">
        <f t="shared" si="514"/>
        <v>594</v>
      </c>
      <c r="M2046">
        <v>240</v>
      </c>
      <c r="N2046">
        <f t="shared" si="515"/>
        <v>354</v>
      </c>
    </row>
    <row r="2047" spans="1:14" x14ac:dyDescent="0.2">
      <c r="A2047" t="s">
        <v>2727</v>
      </c>
      <c r="B2047" s="1" t="s">
        <v>2716</v>
      </c>
      <c r="C2047" t="s">
        <v>14</v>
      </c>
      <c r="D2047" t="s">
        <v>881</v>
      </c>
      <c r="E2047">
        <v>2</v>
      </c>
      <c r="F2047" t="s">
        <v>2703</v>
      </c>
      <c r="G2047">
        <v>2022</v>
      </c>
      <c r="H2047" t="s">
        <v>2564</v>
      </c>
      <c r="I2047" t="s">
        <v>62</v>
      </c>
      <c r="J2047">
        <v>799</v>
      </c>
      <c r="K2047">
        <v>205</v>
      </c>
      <c r="L2047">
        <f t="shared" si="514"/>
        <v>594</v>
      </c>
      <c r="M2047">
        <v>240</v>
      </c>
      <c r="N2047">
        <f t="shared" si="515"/>
        <v>354</v>
      </c>
    </row>
    <row r="2048" spans="1:14" x14ac:dyDescent="0.2">
      <c r="A2048" t="s">
        <v>2728</v>
      </c>
      <c r="B2048" s="1" t="s">
        <v>2716</v>
      </c>
      <c r="C2048" t="s">
        <v>14</v>
      </c>
      <c r="D2048" t="s">
        <v>1303</v>
      </c>
      <c r="E2048">
        <v>2</v>
      </c>
      <c r="F2048" t="s">
        <v>2703</v>
      </c>
      <c r="G2048">
        <v>2022</v>
      </c>
      <c r="H2048" t="s">
        <v>104</v>
      </c>
      <c r="I2048" t="s">
        <v>62</v>
      </c>
      <c r="J2048">
        <v>849</v>
      </c>
      <c r="K2048">
        <v>250</v>
      </c>
      <c r="L2048">
        <f t="shared" si="514"/>
        <v>599</v>
      </c>
      <c r="M2048">
        <v>240</v>
      </c>
      <c r="N2048">
        <f t="shared" si="515"/>
        <v>359</v>
      </c>
    </row>
    <row r="2049" spans="1:14" x14ac:dyDescent="0.2">
      <c r="A2049" t="s">
        <v>2729</v>
      </c>
      <c r="B2049" s="1" t="s">
        <v>2716</v>
      </c>
      <c r="C2049" t="s">
        <v>14</v>
      </c>
      <c r="D2049" t="s">
        <v>448</v>
      </c>
      <c r="E2049">
        <v>2</v>
      </c>
      <c r="F2049" t="s">
        <v>2703</v>
      </c>
      <c r="G2049">
        <v>2022</v>
      </c>
      <c r="H2049" t="s">
        <v>2730</v>
      </c>
      <c r="I2049" t="s">
        <v>455</v>
      </c>
      <c r="J2049">
        <v>854.05</v>
      </c>
      <c r="K2049">
        <v>270</v>
      </c>
      <c r="L2049">
        <f t="shared" si="514"/>
        <v>584.04999999999995</v>
      </c>
      <c r="M2049">
        <v>240</v>
      </c>
      <c r="N2049">
        <f t="shared" si="515"/>
        <v>344.04999999999995</v>
      </c>
    </row>
    <row r="2050" spans="1:14" x14ac:dyDescent="0.2">
      <c r="A2050" t="s">
        <v>2732</v>
      </c>
      <c r="B2050" s="1" t="s">
        <v>2731</v>
      </c>
      <c r="C2050" t="s">
        <v>43</v>
      </c>
      <c r="D2050" t="s">
        <v>573</v>
      </c>
      <c r="E2050">
        <v>3</v>
      </c>
      <c r="F2050" t="s">
        <v>2703</v>
      </c>
      <c r="G2050">
        <v>2022</v>
      </c>
      <c r="H2050" t="s">
        <v>1518</v>
      </c>
      <c r="I2050" t="s">
        <v>32</v>
      </c>
      <c r="J2050">
        <v>0</v>
      </c>
      <c r="K2050">
        <v>0</v>
      </c>
      <c r="L2050">
        <v>0</v>
      </c>
      <c r="M2050">
        <v>0</v>
      </c>
      <c r="N2050">
        <v>0</v>
      </c>
    </row>
    <row r="2051" spans="1:14" x14ac:dyDescent="0.2">
      <c r="A2051" t="s">
        <v>2733</v>
      </c>
      <c r="B2051" s="1" t="s">
        <v>2731</v>
      </c>
      <c r="C2051" t="s">
        <v>43</v>
      </c>
      <c r="D2051" t="s">
        <v>1193</v>
      </c>
      <c r="E2051">
        <v>3</v>
      </c>
      <c r="F2051" t="s">
        <v>2703</v>
      </c>
      <c r="G2051">
        <v>2022</v>
      </c>
      <c r="H2051" t="s">
        <v>398</v>
      </c>
      <c r="I2051" t="s">
        <v>399</v>
      </c>
      <c r="J2051">
        <v>0</v>
      </c>
      <c r="K2051">
        <v>0</v>
      </c>
      <c r="L2051">
        <v>0</v>
      </c>
      <c r="M2051">
        <v>0</v>
      </c>
      <c r="N2051">
        <v>0</v>
      </c>
    </row>
    <row r="2052" spans="1:14" x14ac:dyDescent="0.2">
      <c r="A2052" t="s">
        <v>2734</v>
      </c>
      <c r="B2052" s="1" t="s">
        <v>2731</v>
      </c>
      <c r="C2052" t="s">
        <v>43</v>
      </c>
      <c r="D2052" t="s">
        <v>490</v>
      </c>
      <c r="E2052">
        <v>3</v>
      </c>
      <c r="F2052" t="s">
        <v>2703</v>
      </c>
      <c r="G2052">
        <v>2022</v>
      </c>
      <c r="H2052" t="s">
        <v>530</v>
      </c>
      <c r="I2052" t="s">
        <v>23</v>
      </c>
      <c r="J2052">
        <v>0</v>
      </c>
      <c r="K2052">
        <v>0</v>
      </c>
      <c r="L2052">
        <v>0</v>
      </c>
      <c r="M2052">
        <v>0</v>
      </c>
      <c r="N2052">
        <v>0</v>
      </c>
    </row>
    <row r="2053" spans="1:14" x14ac:dyDescent="0.2">
      <c r="A2053" t="s">
        <v>2735</v>
      </c>
      <c r="B2053" s="1" t="s">
        <v>2731</v>
      </c>
      <c r="C2053" t="s">
        <v>14</v>
      </c>
      <c r="D2053" t="s">
        <v>169</v>
      </c>
      <c r="E2053">
        <v>3</v>
      </c>
      <c r="F2053" t="s">
        <v>2703</v>
      </c>
      <c r="G2053">
        <v>2022</v>
      </c>
      <c r="H2053" t="s">
        <v>77</v>
      </c>
      <c r="I2053" t="s">
        <v>62</v>
      </c>
      <c r="J2053">
        <v>759.05</v>
      </c>
      <c r="K2053">
        <v>202</v>
      </c>
      <c r="L2053">
        <f t="shared" ref="L2053:L2065" si="516">J2053-K2053</f>
        <v>557.04999999999995</v>
      </c>
      <c r="M2053">
        <v>240</v>
      </c>
      <c r="N2053">
        <f t="shared" ref="N2053:N2065" si="517">L2053-M2053</f>
        <v>317.04999999999995</v>
      </c>
    </row>
    <row r="2054" spans="1:14" x14ac:dyDescent="0.2">
      <c r="A2054" t="s">
        <v>2736</v>
      </c>
      <c r="B2054" s="1" t="s">
        <v>2731</v>
      </c>
      <c r="C2054" t="s">
        <v>14</v>
      </c>
      <c r="D2054" t="s">
        <v>840</v>
      </c>
      <c r="E2054">
        <v>3</v>
      </c>
      <c r="F2054" t="s">
        <v>2703</v>
      </c>
      <c r="G2054">
        <v>2022</v>
      </c>
      <c r="H2054" t="s">
        <v>68</v>
      </c>
      <c r="I2054" t="s">
        <v>62</v>
      </c>
      <c r="J2054">
        <v>999</v>
      </c>
      <c r="K2054">
        <v>325</v>
      </c>
      <c r="L2054">
        <f t="shared" si="516"/>
        <v>674</v>
      </c>
      <c r="M2054">
        <v>240</v>
      </c>
      <c r="N2054">
        <f t="shared" si="517"/>
        <v>434</v>
      </c>
    </row>
    <row r="2055" spans="1:14" x14ac:dyDescent="0.2">
      <c r="A2055" t="s">
        <v>2737</v>
      </c>
      <c r="B2055" s="1" t="s">
        <v>2731</v>
      </c>
      <c r="C2055" t="s">
        <v>14</v>
      </c>
      <c r="D2055" t="s">
        <v>70</v>
      </c>
      <c r="E2055">
        <v>3</v>
      </c>
      <c r="F2055" t="s">
        <v>2703</v>
      </c>
      <c r="G2055">
        <v>2022</v>
      </c>
      <c r="H2055" t="s">
        <v>2738</v>
      </c>
      <c r="I2055" t="s">
        <v>163</v>
      </c>
      <c r="J2055">
        <v>849</v>
      </c>
      <c r="K2055">
        <v>250</v>
      </c>
      <c r="L2055">
        <f t="shared" si="516"/>
        <v>599</v>
      </c>
      <c r="M2055">
        <v>240</v>
      </c>
      <c r="N2055">
        <f t="shared" si="517"/>
        <v>359</v>
      </c>
    </row>
    <row r="2056" spans="1:14" x14ac:dyDescent="0.2">
      <c r="A2056" t="s">
        <v>2739</v>
      </c>
      <c r="B2056" s="1" t="s">
        <v>2731</v>
      </c>
      <c r="C2056" t="s">
        <v>14</v>
      </c>
      <c r="D2056" t="s">
        <v>81</v>
      </c>
      <c r="E2056">
        <v>3</v>
      </c>
      <c r="F2056" t="s">
        <v>2703</v>
      </c>
      <c r="G2056">
        <v>2022</v>
      </c>
      <c r="H2056" t="s">
        <v>929</v>
      </c>
      <c r="I2056" t="s">
        <v>144</v>
      </c>
      <c r="J2056">
        <v>849</v>
      </c>
      <c r="K2056">
        <v>250</v>
      </c>
      <c r="L2056">
        <f t="shared" si="516"/>
        <v>599</v>
      </c>
      <c r="M2056">
        <v>240</v>
      </c>
      <c r="N2056">
        <f t="shared" si="517"/>
        <v>359</v>
      </c>
    </row>
    <row r="2057" spans="1:14" x14ac:dyDescent="0.2">
      <c r="A2057" t="s">
        <v>2740</v>
      </c>
      <c r="B2057" s="1" t="s">
        <v>2731</v>
      </c>
      <c r="C2057" t="s">
        <v>14</v>
      </c>
      <c r="D2057" t="s">
        <v>895</v>
      </c>
      <c r="E2057">
        <v>3</v>
      </c>
      <c r="F2057" t="s">
        <v>2703</v>
      </c>
      <c r="G2057">
        <v>2022</v>
      </c>
      <c r="H2057" t="s">
        <v>2741</v>
      </c>
      <c r="I2057" t="s">
        <v>58</v>
      </c>
      <c r="J2057">
        <v>849</v>
      </c>
      <c r="K2057">
        <v>250</v>
      </c>
      <c r="L2057">
        <f t="shared" si="516"/>
        <v>599</v>
      </c>
      <c r="M2057">
        <v>240</v>
      </c>
      <c r="N2057">
        <f t="shared" si="517"/>
        <v>359</v>
      </c>
    </row>
    <row r="2058" spans="1:14" x14ac:dyDescent="0.2">
      <c r="A2058" t="s">
        <v>2742</v>
      </c>
      <c r="B2058" s="1" t="s">
        <v>2731</v>
      </c>
      <c r="C2058" t="s">
        <v>14</v>
      </c>
      <c r="D2058" t="s">
        <v>844</v>
      </c>
      <c r="E2058">
        <v>3</v>
      </c>
      <c r="F2058" t="s">
        <v>2703</v>
      </c>
      <c r="G2058">
        <v>2022</v>
      </c>
      <c r="H2058" t="s">
        <v>2743</v>
      </c>
      <c r="I2058" t="s">
        <v>502</v>
      </c>
      <c r="J2058">
        <v>759.05</v>
      </c>
      <c r="K2058">
        <v>202</v>
      </c>
      <c r="L2058">
        <f t="shared" si="516"/>
        <v>557.04999999999995</v>
      </c>
      <c r="M2058">
        <v>240</v>
      </c>
      <c r="N2058">
        <f t="shared" si="517"/>
        <v>317.04999999999995</v>
      </c>
    </row>
    <row r="2059" spans="1:14" x14ac:dyDescent="0.2">
      <c r="A2059" t="s">
        <v>2744</v>
      </c>
      <c r="B2059" s="1" t="s">
        <v>2731</v>
      </c>
      <c r="C2059" t="s">
        <v>14</v>
      </c>
      <c r="D2059" t="s">
        <v>809</v>
      </c>
      <c r="E2059">
        <v>3</v>
      </c>
      <c r="F2059" t="s">
        <v>2703</v>
      </c>
      <c r="G2059">
        <v>2022</v>
      </c>
      <c r="H2059" t="s">
        <v>157</v>
      </c>
      <c r="I2059" t="s">
        <v>97</v>
      </c>
      <c r="J2059">
        <v>949.05</v>
      </c>
      <c r="K2059">
        <v>306</v>
      </c>
      <c r="L2059">
        <f t="shared" si="516"/>
        <v>643.04999999999995</v>
      </c>
      <c r="M2059">
        <v>240</v>
      </c>
      <c r="N2059">
        <f t="shared" si="517"/>
        <v>403.04999999999995</v>
      </c>
    </row>
    <row r="2060" spans="1:14" x14ac:dyDescent="0.2">
      <c r="A2060" t="s">
        <v>2745</v>
      </c>
      <c r="B2060" s="1" t="s">
        <v>2731</v>
      </c>
      <c r="C2060" t="s">
        <v>14</v>
      </c>
      <c r="D2060" t="s">
        <v>2746</v>
      </c>
      <c r="E2060">
        <v>3</v>
      </c>
      <c r="F2060" t="s">
        <v>2703</v>
      </c>
      <c r="G2060">
        <v>2022</v>
      </c>
      <c r="H2060" t="s">
        <v>91</v>
      </c>
      <c r="I2060" t="s">
        <v>23</v>
      </c>
      <c r="J2060">
        <v>799</v>
      </c>
      <c r="K2060">
        <v>205</v>
      </c>
      <c r="L2060">
        <f t="shared" si="516"/>
        <v>594</v>
      </c>
      <c r="M2060">
        <v>240</v>
      </c>
      <c r="N2060">
        <f t="shared" si="517"/>
        <v>354</v>
      </c>
    </row>
    <row r="2061" spans="1:14" x14ac:dyDescent="0.2">
      <c r="A2061" t="s">
        <v>2747</v>
      </c>
      <c r="B2061" s="1" t="s">
        <v>2731</v>
      </c>
      <c r="C2061" t="s">
        <v>14</v>
      </c>
      <c r="D2061" t="s">
        <v>1937</v>
      </c>
      <c r="E2061">
        <v>3</v>
      </c>
      <c r="F2061" t="s">
        <v>2703</v>
      </c>
      <c r="G2061">
        <v>2022</v>
      </c>
      <c r="H2061" t="s">
        <v>193</v>
      </c>
      <c r="I2061" t="s">
        <v>62</v>
      </c>
      <c r="J2061">
        <v>799</v>
      </c>
      <c r="K2061">
        <v>205</v>
      </c>
      <c r="L2061">
        <f t="shared" si="516"/>
        <v>594</v>
      </c>
      <c r="M2061">
        <v>240</v>
      </c>
      <c r="N2061">
        <f t="shared" si="517"/>
        <v>354</v>
      </c>
    </row>
    <row r="2062" spans="1:14" x14ac:dyDescent="0.2">
      <c r="A2062" t="s">
        <v>2748</v>
      </c>
      <c r="B2062" s="1" t="s">
        <v>2731</v>
      </c>
      <c r="C2062" t="s">
        <v>14</v>
      </c>
      <c r="D2062" t="s">
        <v>840</v>
      </c>
      <c r="E2062">
        <v>3</v>
      </c>
      <c r="F2062" t="s">
        <v>2703</v>
      </c>
      <c r="G2062">
        <v>2022</v>
      </c>
      <c r="H2062" t="s">
        <v>157</v>
      </c>
      <c r="I2062" t="s">
        <v>97</v>
      </c>
      <c r="J2062">
        <v>999</v>
      </c>
      <c r="K2062">
        <v>325</v>
      </c>
      <c r="L2062">
        <f t="shared" si="516"/>
        <v>674</v>
      </c>
      <c r="M2062">
        <v>240</v>
      </c>
      <c r="N2062">
        <f t="shared" si="517"/>
        <v>434</v>
      </c>
    </row>
    <row r="2063" spans="1:14" x14ac:dyDescent="0.2">
      <c r="A2063" t="s">
        <v>2749</v>
      </c>
      <c r="B2063" s="1" t="s">
        <v>2731</v>
      </c>
      <c r="C2063" t="s">
        <v>14</v>
      </c>
      <c r="D2063" t="s">
        <v>2750</v>
      </c>
      <c r="E2063">
        <v>3</v>
      </c>
      <c r="F2063" t="s">
        <v>2703</v>
      </c>
      <c r="G2063">
        <v>2022</v>
      </c>
      <c r="H2063" t="s">
        <v>162</v>
      </c>
      <c r="I2063" t="s">
        <v>163</v>
      </c>
      <c r="J2063">
        <v>849</v>
      </c>
      <c r="K2063">
        <v>250</v>
      </c>
      <c r="L2063">
        <f t="shared" si="516"/>
        <v>599</v>
      </c>
      <c r="M2063">
        <v>240</v>
      </c>
      <c r="N2063">
        <f t="shared" si="517"/>
        <v>359</v>
      </c>
    </row>
    <row r="2064" spans="1:14" x14ac:dyDescent="0.2">
      <c r="A2064" t="s">
        <v>2733</v>
      </c>
      <c r="B2064" s="1" t="s">
        <v>2731</v>
      </c>
      <c r="C2064" t="s">
        <v>14</v>
      </c>
      <c r="D2064" t="s">
        <v>1193</v>
      </c>
      <c r="E2064">
        <v>3</v>
      </c>
      <c r="F2064" t="s">
        <v>2703</v>
      </c>
      <c r="G2064">
        <v>2022</v>
      </c>
      <c r="H2064" t="s">
        <v>398</v>
      </c>
      <c r="I2064" t="s">
        <v>399</v>
      </c>
      <c r="J2064">
        <v>899</v>
      </c>
      <c r="K2064">
        <v>295</v>
      </c>
      <c r="L2064">
        <f t="shared" si="516"/>
        <v>604</v>
      </c>
      <c r="M2064">
        <v>240</v>
      </c>
      <c r="N2064">
        <f t="shared" si="517"/>
        <v>364</v>
      </c>
    </row>
    <row r="2065" spans="1:14" x14ac:dyDescent="0.2">
      <c r="A2065" t="s">
        <v>2751</v>
      </c>
      <c r="B2065" s="1" t="s">
        <v>2731</v>
      </c>
      <c r="C2065" t="s">
        <v>14</v>
      </c>
      <c r="D2065" t="s">
        <v>1539</v>
      </c>
      <c r="E2065">
        <v>3</v>
      </c>
      <c r="F2065" t="s">
        <v>2703</v>
      </c>
      <c r="G2065">
        <v>2022</v>
      </c>
      <c r="H2065" t="s">
        <v>929</v>
      </c>
      <c r="I2065" t="s">
        <v>144</v>
      </c>
      <c r="J2065">
        <v>799</v>
      </c>
      <c r="K2065">
        <v>205</v>
      </c>
      <c r="L2065">
        <f t="shared" si="516"/>
        <v>594</v>
      </c>
      <c r="M2065">
        <v>240</v>
      </c>
      <c r="N2065">
        <f t="shared" si="517"/>
        <v>354</v>
      </c>
    </row>
    <row r="2066" spans="1:14" x14ac:dyDescent="0.2">
      <c r="A2066" t="s">
        <v>2753</v>
      </c>
      <c r="B2066" s="1" t="s">
        <v>2752</v>
      </c>
      <c r="C2066" t="s">
        <v>43</v>
      </c>
      <c r="D2066" t="s">
        <v>490</v>
      </c>
      <c r="E2066">
        <v>4</v>
      </c>
      <c r="F2066" t="s">
        <v>2703</v>
      </c>
      <c r="G2066">
        <v>2022</v>
      </c>
      <c r="H2066" t="s">
        <v>246</v>
      </c>
      <c r="I2066" t="s">
        <v>58</v>
      </c>
      <c r="J2066">
        <v>0</v>
      </c>
      <c r="K2066">
        <v>0</v>
      </c>
      <c r="L2066">
        <v>0</v>
      </c>
      <c r="M2066">
        <v>0</v>
      </c>
      <c r="N2066">
        <v>0</v>
      </c>
    </row>
    <row r="2067" spans="1:14" x14ac:dyDescent="0.2">
      <c r="A2067" t="s">
        <v>2754</v>
      </c>
      <c r="B2067" s="1" t="s">
        <v>2752</v>
      </c>
      <c r="C2067" t="s">
        <v>43</v>
      </c>
      <c r="D2067" t="s">
        <v>1002</v>
      </c>
      <c r="E2067">
        <v>4</v>
      </c>
      <c r="F2067" t="s">
        <v>2703</v>
      </c>
      <c r="G2067">
        <v>2022</v>
      </c>
      <c r="H2067" t="s">
        <v>2755</v>
      </c>
      <c r="I2067" t="s">
        <v>163</v>
      </c>
      <c r="J2067">
        <v>0</v>
      </c>
      <c r="K2067">
        <v>0</v>
      </c>
      <c r="L2067">
        <v>0</v>
      </c>
      <c r="M2067">
        <v>0</v>
      </c>
      <c r="N2067">
        <v>0</v>
      </c>
    </row>
    <row r="2068" spans="1:14" x14ac:dyDescent="0.2">
      <c r="A2068" t="s">
        <v>2757</v>
      </c>
      <c r="B2068" s="1" t="s">
        <v>2756</v>
      </c>
      <c r="C2068" t="s">
        <v>43</v>
      </c>
      <c r="D2068" t="s">
        <v>923</v>
      </c>
      <c r="E2068">
        <v>5</v>
      </c>
      <c r="F2068" t="s">
        <v>2703</v>
      </c>
      <c r="G2068">
        <v>2022</v>
      </c>
      <c r="H2068" t="s">
        <v>185</v>
      </c>
      <c r="I2068" t="s">
        <v>62</v>
      </c>
      <c r="J2068">
        <v>0</v>
      </c>
      <c r="K2068">
        <v>0</v>
      </c>
      <c r="L2068">
        <v>0</v>
      </c>
      <c r="M2068">
        <v>0</v>
      </c>
      <c r="N2068">
        <v>0</v>
      </c>
    </row>
    <row r="2069" spans="1:14" x14ac:dyDescent="0.2">
      <c r="A2069" t="s">
        <v>2758</v>
      </c>
      <c r="B2069" s="1" t="s">
        <v>2756</v>
      </c>
      <c r="C2069" t="s">
        <v>43</v>
      </c>
      <c r="D2069" t="s">
        <v>81</v>
      </c>
      <c r="E2069">
        <v>5</v>
      </c>
      <c r="F2069" t="s">
        <v>2703</v>
      </c>
      <c r="G2069">
        <v>2022</v>
      </c>
      <c r="H2069" t="s">
        <v>150</v>
      </c>
      <c r="I2069" t="s">
        <v>62</v>
      </c>
      <c r="J2069">
        <v>0</v>
      </c>
      <c r="K2069">
        <v>0</v>
      </c>
      <c r="L2069">
        <v>0</v>
      </c>
      <c r="M2069">
        <v>0</v>
      </c>
      <c r="N2069">
        <v>0</v>
      </c>
    </row>
    <row r="2070" spans="1:14" x14ac:dyDescent="0.2">
      <c r="A2070" t="s">
        <v>2759</v>
      </c>
      <c r="B2070" s="1" t="s">
        <v>2752</v>
      </c>
      <c r="C2070" t="s">
        <v>14</v>
      </c>
      <c r="D2070" t="s">
        <v>81</v>
      </c>
      <c r="E2070">
        <v>4</v>
      </c>
      <c r="F2070" t="s">
        <v>2703</v>
      </c>
      <c r="G2070">
        <v>2022</v>
      </c>
      <c r="H2070" t="s">
        <v>1417</v>
      </c>
      <c r="I2070" t="s">
        <v>37</v>
      </c>
      <c r="J2070">
        <v>849</v>
      </c>
      <c r="K2070">
        <v>250</v>
      </c>
      <c r="L2070">
        <f t="shared" ref="L2070:L2077" si="518">J2070-K2070</f>
        <v>599</v>
      </c>
      <c r="M2070">
        <v>240</v>
      </c>
      <c r="N2070">
        <f t="shared" ref="N2070:N2077" si="519">L2070-M2070</f>
        <v>359</v>
      </c>
    </row>
    <row r="2071" spans="1:14" x14ac:dyDescent="0.2">
      <c r="A2071" t="s">
        <v>2760</v>
      </c>
      <c r="B2071" s="1" t="s">
        <v>2752</v>
      </c>
      <c r="C2071" t="s">
        <v>14</v>
      </c>
      <c r="D2071" t="s">
        <v>2761</v>
      </c>
      <c r="E2071">
        <v>4</v>
      </c>
      <c r="F2071" t="s">
        <v>2703</v>
      </c>
      <c r="G2071">
        <v>2022</v>
      </c>
      <c r="H2071" t="s">
        <v>1074</v>
      </c>
      <c r="I2071" t="s">
        <v>37</v>
      </c>
      <c r="J2071">
        <v>999</v>
      </c>
      <c r="K2071">
        <v>325</v>
      </c>
      <c r="L2071">
        <f t="shared" si="518"/>
        <v>674</v>
      </c>
      <c r="M2071">
        <v>240</v>
      </c>
      <c r="N2071">
        <f t="shared" si="519"/>
        <v>434</v>
      </c>
    </row>
    <row r="2072" spans="1:14" x14ac:dyDescent="0.2">
      <c r="A2072" t="s">
        <v>2762</v>
      </c>
      <c r="B2072" s="1" t="s">
        <v>2752</v>
      </c>
      <c r="C2072" t="s">
        <v>14</v>
      </c>
      <c r="D2072" t="s">
        <v>840</v>
      </c>
      <c r="E2072">
        <v>4</v>
      </c>
      <c r="F2072" t="s">
        <v>2703</v>
      </c>
      <c r="G2072">
        <v>2022</v>
      </c>
      <c r="H2072" t="s">
        <v>2763</v>
      </c>
      <c r="I2072" t="s">
        <v>253</v>
      </c>
      <c r="J2072">
        <v>949.05</v>
      </c>
      <c r="K2072">
        <v>306</v>
      </c>
      <c r="L2072">
        <f t="shared" si="518"/>
        <v>643.04999999999995</v>
      </c>
      <c r="M2072">
        <v>240</v>
      </c>
      <c r="N2072">
        <f t="shared" si="519"/>
        <v>403.04999999999995</v>
      </c>
    </row>
    <row r="2073" spans="1:14" x14ac:dyDescent="0.2">
      <c r="A2073" t="s">
        <v>2764</v>
      </c>
      <c r="B2073" s="1" t="s">
        <v>2752</v>
      </c>
      <c r="C2073" t="s">
        <v>14</v>
      </c>
      <c r="D2073" t="s">
        <v>895</v>
      </c>
      <c r="E2073">
        <v>4</v>
      </c>
      <c r="F2073" t="s">
        <v>2703</v>
      </c>
      <c r="G2073">
        <v>2022</v>
      </c>
      <c r="H2073" t="s">
        <v>84</v>
      </c>
      <c r="I2073" t="s">
        <v>85</v>
      </c>
      <c r="J2073">
        <v>849</v>
      </c>
      <c r="K2073">
        <v>250</v>
      </c>
      <c r="L2073">
        <f t="shared" si="518"/>
        <v>599</v>
      </c>
      <c r="M2073">
        <v>240</v>
      </c>
      <c r="N2073">
        <f t="shared" si="519"/>
        <v>359</v>
      </c>
    </row>
    <row r="2074" spans="1:14" x14ac:dyDescent="0.2">
      <c r="A2074" t="s">
        <v>2765</v>
      </c>
      <c r="B2074" s="1" t="s">
        <v>2752</v>
      </c>
      <c r="C2074" t="s">
        <v>14</v>
      </c>
      <c r="D2074" t="s">
        <v>81</v>
      </c>
      <c r="E2074">
        <v>4</v>
      </c>
      <c r="F2074" t="s">
        <v>2703</v>
      </c>
      <c r="G2074">
        <v>2022</v>
      </c>
      <c r="H2074" t="s">
        <v>157</v>
      </c>
      <c r="I2074" t="s">
        <v>97</v>
      </c>
      <c r="J2074">
        <v>1655.55</v>
      </c>
      <c r="K2074">
        <v>395</v>
      </c>
      <c r="L2074">
        <f t="shared" si="518"/>
        <v>1260.55</v>
      </c>
      <c r="M2074">
        <v>240</v>
      </c>
      <c r="N2074">
        <f t="shared" si="519"/>
        <v>1020.55</v>
      </c>
    </row>
    <row r="2075" spans="1:14" x14ac:dyDescent="0.2">
      <c r="A2075" t="s">
        <v>2753</v>
      </c>
      <c r="B2075" s="1" t="s">
        <v>2752</v>
      </c>
      <c r="C2075" t="s">
        <v>14</v>
      </c>
      <c r="D2075" t="s">
        <v>490</v>
      </c>
      <c r="E2075">
        <v>4</v>
      </c>
      <c r="F2075" t="s">
        <v>2703</v>
      </c>
      <c r="G2075">
        <v>2022</v>
      </c>
      <c r="H2075" t="s">
        <v>246</v>
      </c>
      <c r="I2075" t="s">
        <v>58</v>
      </c>
      <c r="J2075">
        <v>899</v>
      </c>
      <c r="K2075">
        <v>295</v>
      </c>
      <c r="L2075">
        <f t="shared" si="518"/>
        <v>604</v>
      </c>
      <c r="M2075">
        <v>240</v>
      </c>
      <c r="N2075">
        <f t="shared" si="519"/>
        <v>364</v>
      </c>
    </row>
    <row r="2076" spans="1:14" x14ac:dyDescent="0.2">
      <c r="A2076" t="s">
        <v>2766</v>
      </c>
      <c r="B2076" s="1" t="s">
        <v>2752</v>
      </c>
      <c r="C2076" t="s">
        <v>14</v>
      </c>
      <c r="D2076" t="s">
        <v>2767</v>
      </c>
      <c r="E2076">
        <v>4</v>
      </c>
      <c r="F2076" t="s">
        <v>2703</v>
      </c>
      <c r="G2076">
        <v>2022</v>
      </c>
      <c r="H2076" t="s">
        <v>2768</v>
      </c>
      <c r="I2076" t="s">
        <v>58</v>
      </c>
      <c r="J2076">
        <v>849</v>
      </c>
      <c r="K2076">
        <v>250</v>
      </c>
      <c r="L2076">
        <f t="shared" si="518"/>
        <v>599</v>
      </c>
      <c r="M2076">
        <v>240</v>
      </c>
      <c r="N2076">
        <f t="shared" si="519"/>
        <v>359</v>
      </c>
    </row>
    <row r="2077" spans="1:14" x14ac:dyDescent="0.2">
      <c r="A2077" t="s">
        <v>2754</v>
      </c>
      <c r="B2077" s="1" t="s">
        <v>2752</v>
      </c>
      <c r="C2077" t="s">
        <v>14</v>
      </c>
      <c r="D2077" t="s">
        <v>1002</v>
      </c>
      <c r="E2077">
        <v>4</v>
      </c>
      <c r="F2077" t="s">
        <v>2703</v>
      </c>
      <c r="G2077">
        <v>2022</v>
      </c>
      <c r="H2077" t="s">
        <v>2755</v>
      </c>
      <c r="I2077" t="s">
        <v>163</v>
      </c>
      <c r="J2077">
        <v>849</v>
      </c>
      <c r="K2077">
        <v>250</v>
      </c>
      <c r="L2077">
        <f t="shared" si="518"/>
        <v>599</v>
      </c>
      <c r="M2077">
        <v>240</v>
      </c>
      <c r="N2077">
        <f t="shared" si="519"/>
        <v>359</v>
      </c>
    </row>
    <row r="2078" spans="1:14" x14ac:dyDescent="0.2">
      <c r="A2078" t="s">
        <v>2769</v>
      </c>
      <c r="B2078" s="1" t="s">
        <v>2756</v>
      </c>
      <c r="C2078" t="s">
        <v>20</v>
      </c>
      <c r="D2078" t="s">
        <v>380</v>
      </c>
      <c r="E2078">
        <v>5</v>
      </c>
      <c r="F2078" t="s">
        <v>2703</v>
      </c>
      <c r="G2078">
        <v>2022</v>
      </c>
      <c r="H2078" t="s">
        <v>235</v>
      </c>
      <c r="I2078" t="s">
        <v>62</v>
      </c>
      <c r="J2078">
        <v>0</v>
      </c>
      <c r="K2078">
        <v>0</v>
      </c>
      <c r="L2078">
        <v>0</v>
      </c>
      <c r="M2078">
        <v>0</v>
      </c>
      <c r="N2078">
        <v>0</v>
      </c>
    </row>
    <row r="2079" spans="1:14" x14ac:dyDescent="0.2">
      <c r="A2079" t="s">
        <v>2770</v>
      </c>
      <c r="B2079" s="1" t="s">
        <v>2756</v>
      </c>
      <c r="C2079" t="s">
        <v>14</v>
      </c>
      <c r="D2079" t="s">
        <v>242</v>
      </c>
      <c r="E2079">
        <v>5</v>
      </c>
      <c r="F2079" t="s">
        <v>2703</v>
      </c>
      <c r="G2079">
        <v>2022</v>
      </c>
      <c r="H2079" t="s">
        <v>2491</v>
      </c>
      <c r="I2079" t="s">
        <v>97</v>
      </c>
      <c r="J2079">
        <v>899</v>
      </c>
      <c r="K2079">
        <v>295</v>
      </c>
      <c r="L2079">
        <f t="shared" ref="L2079:L2080" si="520">J2079-K2079</f>
        <v>604</v>
      </c>
      <c r="M2079">
        <v>240</v>
      </c>
      <c r="N2079">
        <f t="shared" ref="N2079:N2080" si="521">L2079-M2079</f>
        <v>364</v>
      </c>
    </row>
    <row r="2080" spans="1:14" x14ac:dyDescent="0.2">
      <c r="A2080" t="s">
        <v>2771</v>
      </c>
      <c r="B2080" s="1" t="s">
        <v>2756</v>
      </c>
      <c r="C2080" t="s">
        <v>14</v>
      </c>
      <c r="D2080" t="s">
        <v>573</v>
      </c>
      <c r="E2080">
        <v>5</v>
      </c>
      <c r="F2080" t="s">
        <v>2703</v>
      </c>
      <c r="G2080">
        <v>2022</v>
      </c>
      <c r="H2080" t="s">
        <v>104</v>
      </c>
      <c r="I2080" t="s">
        <v>62</v>
      </c>
      <c r="J2080">
        <v>854.05</v>
      </c>
      <c r="K2080">
        <v>270</v>
      </c>
      <c r="L2080">
        <f t="shared" si="520"/>
        <v>584.04999999999995</v>
      </c>
      <c r="M2080">
        <v>240</v>
      </c>
      <c r="N2080">
        <f t="shared" si="521"/>
        <v>344.04999999999995</v>
      </c>
    </row>
    <row r="2081" spans="1:14" x14ac:dyDescent="0.2">
      <c r="A2081" t="s">
        <v>2772</v>
      </c>
      <c r="B2081" s="1" t="s">
        <v>2756</v>
      </c>
      <c r="C2081" t="s">
        <v>20</v>
      </c>
      <c r="D2081" t="s">
        <v>448</v>
      </c>
      <c r="E2081">
        <v>5</v>
      </c>
      <c r="F2081" t="s">
        <v>2703</v>
      </c>
      <c r="G2081">
        <v>2022</v>
      </c>
      <c r="H2081" t="s">
        <v>2641</v>
      </c>
      <c r="I2081" t="s">
        <v>32</v>
      </c>
      <c r="J2081">
        <v>0</v>
      </c>
      <c r="K2081">
        <v>0</v>
      </c>
      <c r="L2081">
        <v>0</v>
      </c>
      <c r="M2081">
        <v>0</v>
      </c>
      <c r="N2081">
        <v>0</v>
      </c>
    </row>
    <row r="2082" spans="1:14" x14ac:dyDescent="0.2">
      <c r="A2082" t="s">
        <v>2774</v>
      </c>
      <c r="B2082" s="1" t="s">
        <v>2773</v>
      </c>
      <c r="C2082" t="s">
        <v>14</v>
      </c>
      <c r="D2082" t="s">
        <v>993</v>
      </c>
      <c r="E2082">
        <v>6</v>
      </c>
      <c r="F2082" t="s">
        <v>2703</v>
      </c>
      <c r="G2082">
        <v>2022</v>
      </c>
      <c r="H2082" t="s">
        <v>246</v>
      </c>
      <c r="I2082" t="s">
        <v>58</v>
      </c>
      <c r="J2082">
        <v>799</v>
      </c>
      <c r="K2082">
        <v>205</v>
      </c>
      <c r="L2082">
        <f t="shared" ref="L2082:L2084" si="522">J2082-K2082</f>
        <v>594</v>
      </c>
      <c r="M2082">
        <v>240</v>
      </c>
      <c r="N2082">
        <f t="shared" ref="N2082:N2084" si="523">L2082-M2082</f>
        <v>354</v>
      </c>
    </row>
    <row r="2083" spans="1:14" x14ac:dyDescent="0.2">
      <c r="A2083" t="s">
        <v>2775</v>
      </c>
      <c r="B2083" s="1" t="s">
        <v>2756</v>
      </c>
      <c r="C2083" t="s">
        <v>14</v>
      </c>
      <c r="D2083" t="s">
        <v>893</v>
      </c>
      <c r="E2083">
        <v>5</v>
      </c>
      <c r="F2083" t="s">
        <v>2703</v>
      </c>
      <c r="G2083">
        <v>2022</v>
      </c>
      <c r="H2083" t="s">
        <v>84</v>
      </c>
      <c r="I2083" t="s">
        <v>85</v>
      </c>
      <c r="J2083">
        <v>849</v>
      </c>
      <c r="K2083">
        <v>250</v>
      </c>
      <c r="L2083">
        <f t="shared" si="522"/>
        <v>599</v>
      </c>
      <c r="M2083">
        <v>240</v>
      </c>
      <c r="N2083">
        <f t="shared" si="523"/>
        <v>359</v>
      </c>
    </row>
    <row r="2084" spans="1:14" x14ac:dyDescent="0.2">
      <c r="A2084" t="s">
        <v>2758</v>
      </c>
      <c r="B2084" s="1" t="s">
        <v>2756</v>
      </c>
      <c r="C2084" t="s">
        <v>14</v>
      </c>
      <c r="D2084" t="s">
        <v>81</v>
      </c>
      <c r="E2084">
        <v>5</v>
      </c>
      <c r="F2084" t="s">
        <v>2703</v>
      </c>
      <c r="G2084">
        <v>2022</v>
      </c>
      <c r="H2084" t="s">
        <v>150</v>
      </c>
      <c r="I2084" t="s">
        <v>62</v>
      </c>
      <c r="J2084">
        <v>849</v>
      </c>
      <c r="K2084">
        <v>250</v>
      </c>
      <c r="L2084">
        <f t="shared" si="522"/>
        <v>599</v>
      </c>
      <c r="M2084">
        <v>240</v>
      </c>
      <c r="N2084">
        <f t="shared" si="523"/>
        <v>359</v>
      </c>
    </row>
    <row r="2085" spans="1:14" x14ac:dyDescent="0.2">
      <c r="A2085" t="s">
        <v>2776</v>
      </c>
      <c r="B2085" s="1" t="s">
        <v>2756</v>
      </c>
      <c r="C2085" t="s">
        <v>20</v>
      </c>
      <c r="D2085" t="s">
        <v>380</v>
      </c>
      <c r="E2085">
        <v>5</v>
      </c>
      <c r="F2085" t="s">
        <v>2703</v>
      </c>
      <c r="G2085">
        <v>2022</v>
      </c>
      <c r="H2085" t="s">
        <v>579</v>
      </c>
      <c r="I2085" t="s">
        <v>62</v>
      </c>
      <c r="J2085">
        <v>0</v>
      </c>
      <c r="K2085">
        <v>0</v>
      </c>
      <c r="L2085">
        <v>0</v>
      </c>
      <c r="M2085">
        <v>0</v>
      </c>
      <c r="N2085">
        <v>0</v>
      </c>
    </row>
    <row r="2086" spans="1:14" x14ac:dyDescent="0.2">
      <c r="A2086" t="s">
        <v>2777</v>
      </c>
      <c r="B2086" s="1" t="s">
        <v>2756</v>
      </c>
      <c r="C2086" t="s">
        <v>14</v>
      </c>
      <c r="D2086" t="s">
        <v>895</v>
      </c>
      <c r="E2086">
        <v>5</v>
      </c>
      <c r="F2086" t="s">
        <v>2703</v>
      </c>
      <c r="G2086">
        <v>2022</v>
      </c>
      <c r="H2086" t="s">
        <v>1260</v>
      </c>
      <c r="I2086" t="s">
        <v>28</v>
      </c>
      <c r="J2086">
        <v>849</v>
      </c>
      <c r="K2086">
        <v>250</v>
      </c>
      <c r="L2086">
        <f t="shared" ref="L2086:L2092" si="524">J2086-K2086</f>
        <v>599</v>
      </c>
      <c r="M2086">
        <v>240</v>
      </c>
      <c r="N2086">
        <f t="shared" ref="N2086:N2092" si="525">L2086-M2086</f>
        <v>359</v>
      </c>
    </row>
    <row r="2087" spans="1:14" x14ac:dyDescent="0.2">
      <c r="A2087" t="s">
        <v>2778</v>
      </c>
      <c r="B2087" s="1" t="s">
        <v>2756</v>
      </c>
      <c r="C2087" t="s">
        <v>14</v>
      </c>
      <c r="D2087" t="s">
        <v>81</v>
      </c>
      <c r="E2087">
        <v>5</v>
      </c>
      <c r="F2087" t="s">
        <v>2703</v>
      </c>
      <c r="G2087">
        <v>2022</v>
      </c>
      <c r="H2087" t="s">
        <v>2779</v>
      </c>
      <c r="I2087" t="s">
        <v>58</v>
      </c>
      <c r="J2087">
        <v>849</v>
      </c>
      <c r="K2087">
        <v>250</v>
      </c>
      <c r="L2087">
        <f t="shared" si="524"/>
        <v>599</v>
      </c>
      <c r="M2087">
        <v>240</v>
      </c>
      <c r="N2087">
        <f t="shared" si="525"/>
        <v>359</v>
      </c>
    </row>
    <row r="2088" spans="1:14" x14ac:dyDescent="0.2">
      <c r="A2088" t="s">
        <v>2780</v>
      </c>
      <c r="B2088" s="1" t="s">
        <v>2756</v>
      </c>
      <c r="C2088" t="s">
        <v>14</v>
      </c>
      <c r="D2088" t="s">
        <v>504</v>
      </c>
      <c r="E2088">
        <v>5</v>
      </c>
      <c r="F2088" t="s">
        <v>2703</v>
      </c>
      <c r="G2088">
        <v>2022</v>
      </c>
      <c r="H2088" t="s">
        <v>1774</v>
      </c>
      <c r="I2088" t="s">
        <v>122</v>
      </c>
      <c r="J2088">
        <v>899</v>
      </c>
      <c r="K2088">
        <v>295</v>
      </c>
      <c r="L2088">
        <f t="shared" si="524"/>
        <v>604</v>
      </c>
      <c r="M2088">
        <v>240</v>
      </c>
      <c r="N2088">
        <f t="shared" si="525"/>
        <v>364</v>
      </c>
    </row>
    <row r="2089" spans="1:14" x14ac:dyDescent="0.2">
      <c r="A2089" t="s">
        <v>2781</v>
      </c>
      <c r="B2089" s="1" t="s">
        <v>2756</v>
      </c>
      <c r="C2089" t="s">
        <v>14</v>
      </c>
      <c r="D2089" t="s">
        <v>169</v>
      </c>
      <c r="E2089">
        <v>5</v>
      </c>
      <c r="F2089" t="s">
        <v>2703</v>
      </c>
      <c r="G2089">
        <v>2022</v>
      </c>
      <c r="H2089" t="s">
        <v>2782</v>
      </c>
      <c r="I2089" t="s">
        <v>502</v>
      </c>
      <c r="J2089">
        <v>799</v>
      </c>
      <c r="K2089">
        <v>205</v>
      </c>
      <c r="L2089">
        <f t="shared" si="524"/>
        <v>594</v>
      </c>
      <c r="M2089">
        <v>240</v>
      </c>
      <c r="N2089">
        <f t="shared" si="525"/>
        <v>354</v>
      </c>
    </row>
    <row r="2090" spans="1:14" x14ac:dyDescent="0.2">
      <c r="A2090" t="s">
        <v>2757</v>
      </c>
      <c r="B2090" s="1" t="s">
        <v>2756</v>
      </c>
      <c r="C2090" t="s">
        <v>14</v>
      </c>
      <c r="D2090" t="s">
        <v>923</v>
      </c>
      <c r="E2090">
        <v>5</v>
      </c>
      <c r="F2090" t="s">
        <v>2703</v>
      </c>
      <c r="G2090">
        <v>2022</v>
      </c>
      <c r="H2090" t="s">
        <v>185</v>
      </c>
      <c r="I2090" t="s">
        <v>62</v>
      </c>
      <c r="J2090">
        <v>849</v>
      </c>
      <c r="K2090">
        <v>250</v>
      </c>
      <c r="L2090">
        <f t="shared" si="524"/>
        <v>599</v>
      </c>
      <c r="M2090">
        <v>240</v>
      </c>
      <c r="N2090">
        <f t="shared" si="525"/>
        <v>359</v>
      </c>
    </row>
    <row r="2091" spans="1:14" x14ac:dyDescent="0.2">
      <c r="A2091" t="s">
        <v>2783</v>
      </c>
      <c r="B2091" s="1" t="s">
        <v>2756</v>
      </c>
      <c r="C2091" t="s">
        <v>14</v>
      </c>
      <c r="D2091" t="s">
        <v>452</v>
      </c>
      <c r="E2091">
        <v>5</v>
      </c>
      <c r="F2091" t="s">
        <v>2703</v>
      </c>
      <c r="G2091">
        <v>2022</v>
      </c>
      <c r="H2091" t="s">
        <v>162</v>
      </c>
      <c r="I2091" t="s">
        <v>163</v>
      </c>
      <c r="J2091">
        <v>799</v>
      </c>
      <c r="K2091">
        <v>205</v>
      </c>
      <c r="L2091">
        <f t="shared" si="524"/>
        <v>594</v>
      </c>
      <c r="M2091">
        <v>240</v>
      </c>
      <c r="N2091">
        <f t="shared" si="525"/>
        <v>354</v>
      </c>
    </row>
    <row r="2092" spans="1:14" x14ac:dyDescent="0.2">
      <c r="A2092" t="s">
        <v>2784</v>
      </c>
      <c r="B2092" s="1" t="s">
        <v>2756</v>
      </c>
      <c r="C2092" t="s">
        <v>14</v>
      </c>
      <c r="D2092" t="s">
        <v>2785</v>
      </c>
      <c r="E2092">
        <v>5</v>
      </c>
      <c r="F2092" t="s">
        <v>2703</v>
      </c>
      <c r="G2092">
        <v>2022</v>
      </c>
      <c r="H2092" t="s">
        <v>2786</v>
      </c>
      <c r="I2092" t="s">
        <v>122</v>
      </c>
      <c r="J2092">
        <v>849</v>
      </c>
      <c r="K2092">
        <v>250</v>
      </c>
      <c r="L2092">
        <f t="shared" si="524"/>
        <v>599</v>
      </c>
      <c r="M2092">
        <v>240</v>
      </c>
      <c r="N2092">
        <f t="shared" si="525"/>
        <v>359</v>
      </c>
    </row>
    <row r="2093" spans="1:14" x14ac:dyDescent="0.2">
      <c r="A2093" t="s">
        <v>2718</v>
      </c>
      <c r="B2093" s="1" t="s">
        <v>2716</v>
      </c>
      <c r="C2093" t="s">
        <v>106</v>
      </c>
      <c r="D2093" t="s">
        <v>308</v>
      </c>
      <c r="E2093">
        <v>2</v>
      </c>
      <c r="F2093" t="s">
        <v>2703</v>
      </c>
      <c r="G2093">
        <v>2022</v>
      </c>
      <c r="H2093" t="s">
        <v>91</v>
      </c>
      <c r="I2093" t="s">
        <v>23</v>
      </c>
      <c r="J2093">
        <v>-854.05</v>
      </c>
      <c r="K2093">
        <v>345</v>
      </c>
      <c r="L2093">
        <f>J2093+K2093</f>
        <v>-509.04999999999995</v>
      </c>
      <c r="M2093">
        <v>240</v>
      </c>
      <c r="N2093">
        <f>L2093+M2093</f>
        <v>-269.04999999999995</v>
      </c>
    </row>
    <row r="2094" spans="1:14" x14ac:dyDescent="0.2">
      <c r="A2094" t="s">
        <v>2787</v>
      </c>
      <c r="B2094" s="1" t="s">
        <v>2773</v>
      </c>
      <c r="C2094" t="s">
        <v>43</v>
      </c>
      <c r="D2094" t="s">
        <v>452</v>
      </c>
      <c r="E2094">
        <v>6</v>
      </c>
      <c r="F2094" t="s">
        <v>2703</v>
      </c>
      <c r="G2094">
        <v>2022</v>
      </c>
      <c r="H2094" t="s">
        <v>2788</v>
      </c>
      <c r="I2094" t="s">
        <v>1585</v>
      </c>
      <c r="J2094">
        <v>0</v>
      </c>
      <c r="K2094">
        <v>0</v>
      </c>
      <c r="L2094">
        <v>0</v>
      </c>
      <c r="M2094">
        <v>0</v>
      </c>
      <c r="N2094">
        <v>0</v>
      </c>
    </row>
    <row r="2095" spans="1:14" x14ac:dyDescent="0.2">
      <c r="A2095" t="s">
        <v>2789</v>
      </c>
      <c r="B2095" s="1" t="s">
        <v>2773</v>
      </c>
      <c r="C2095" t="s">
        <v>14</v>
      </c>
      <c r="D2095" t="s">
        <v>548</v>
      </c>
      <c r="E2095">
        <v>6</v>
      </c>
      <c r="F2095" t="s">
        <v>2703</v>
      </c>
      <c r="G2095">
        <v>2022</v>
      </c>
      <c r="H2095" t="s">
        <v>170</v>
      </c>
      <c r="I2095" t="s">
        <v>171</v>
      </c>
      <c r="J2095">
        <v>899</v>
      </c>
      <c r="K2095">
        <v>295</v>
      </c>
      <c r="L2095">
        <f t="shared" ref="L2095:L2097" si="526">J2095-K2095</f>
        <v>604</v>
      </c>
      <c r="M2095">
        <v>240</v>
      </c>
      <c r="N2095">
        <f t="shared" ref="N2095:N2097" si="527">L2095-M2095</f>
        <v>364</v>
      </c>
    </row>
    <row r="2096" spans="1:14" x14ac:dyDescent="0.2">
      <c r="A2096" t="s">
        <v>2790</v>
      </c>
      <c r="B2096" s="1" t="s">
        <v>2773</v>
      </c>
      <c r="C2096" t="s">
        <v>14</v>
      </c>
      <c r="D2096" t="s">
        <v>81</v>
      </c>
      <c r="E2096">
        <v>6</v>
      </c>
      <c r="F2096" t="s">
        <v>2703</v>
      </c>
      <c r="G2096">
        <v>2022</v>
      </c>
      <c r="H2096" t="s">
        <v>157</v>
      </c>
      <c r="I2096" t="s">
        <v>97</v>
      </c>
      <c r="J2096">
        <v>1698</v>
      </c>
      <c r="K2096">
        <v>407</v>
      </c>
      <c r="L2096">
        <f t="shared" si="526"/>
        <v>1291</v>
      </c>
      <c r="M2096">
        <v>240</v>
      </c>
      <c r="N2096">
        <f t="shared" si="527"/>
        <v>1051</v>
      </c>
    </row>
    <row r="2097" spans="1:14" x14ac:dyDescent="0.2">
      <c r="A2097" t="s">
        <v>2791</v>
      </c>
      <c r="B2097" s="1" t="s">
        <v>2773</v>
      </c>
      <c r="C2097" t="s">
        <v>14</v>
      </c>
      <c r="D2097" t="s">
        <v>1076</v>
      </c>
      <c r="E2097">
        <v>6</v>
      </c>
      <c r="F2097" t="s">
        <v>2703</v>
      </c>
      <c r="G2097">
        <v>2022</v>
      </c>
      <c r="H2097" t="s">
        <v>84</v>
      </c>
      <c r="I2097" t="s">
        <v>85</v>
      </c>
      <c r="J2097">
        <v>806.55</v>
      </c>
      <c r="K2097">
        <v>227</v>
      </c>
      <c r="L2097">
        <f t="shared" si="526"/>
        <v>579.54999999999995</v>
      </c>
      <c r="M2097">
        <v>240</v>
      </c>
      <c r="N2097">
        <f t="shared" si="527"/>
        <v>339.54999999999995</v>
      </c>
    </row>
    <row r="2098" spans="1:14" x14ac:dyDescent="0.2">
      <c r="A2098" t="s">
        <v>2792</v>
      </c>
      <c r="B2098" s="1" t="s">
        <v>2773</v>
      </c>
      <c r="C2098" t="s">
        <v>20</v>
      </c>
      <c r="D2098" t="s">
        <v>954</v>
      </c>
      <c r="E2098">
        <v>6</v>
      </c>
      <c r="F2098" t="s">
        <v>2703</v>
      </c>
      <c r="G2098">
        <v>2022</v>
      </c>
      <c r="H2098" t="s">
        <v>235</v>
      </c>
      <c r="I2098" t="s">
        <v>62</v>
      </c>
      <c r="J2098">
        <v>0</v>
      </c>
      <c r="K2098">
        <v>0</v>
      </c>
      <c r="L2098">
        <v>0</v>
      </c>
      <c r="M2098">
        <v>0</v>
      </c>
      <c r="N2098">
        <v>0</v>
      </c>
    </row>
    <row r="2099" spans="1:14" x14ac:dyDescent="0.2">
      <c r="A2099" t="s">
        <v>2793</v>
      </c>
      <c r="B2099" s="1" t="s">
        <v>2773</v>
      </c>
      <c r="C2099" t="s">
        <v>14</v>
      </c>
      <c r="D2099" t="s">
        <v>1168</v>
      </c>
      <c r="E2099">
        <v>6</v>
      </c>
      <c r="F2099" t="s">
        <v>2703</v>
      </c>
      <c r="G2099">
        <v>2022</v>
      </c>
      <c r="H2099" t="s">
        <v>2794</v>
      </c>
      <c r="I2099" t="s">
        <v>250</v>
      </c>
      <c r="J2099">
        <v>799</v>
      </c>
      <c r="K2099">
        <v>205</v>
      </c>
      <c r="L2099">
        <f t="shared" ref="L2099:L2109" si="528">J2099-K2099</f>
        <v>594</v>
      </c>
      <c r="M2099">
        <v>240</v>
      </c>
      <c r="N2099">
        <f t="shared" ref="N2099:N2109" si="529">L2099-M2099</f>
        <v>354</v>
      </c>
    </row>
    <row r="2100" spans="1:14" x14ac:dyDescent="0.2">
      <c r="A2100" t="s">
        <v>2795</v>
      </c>
      <c r="B2100" s="1" t="s">
        <v>2773</v>
      </c>
      <c r="C2100" t="s">
        <v>14</v>
      </c>
      <c r="D2100" t="s">
        <v>893</v>
      </c>
      <c r="E2100">
        <v>6</v>
      </c>
      <c r="F2100" t="s">
        <v>2703</v>
      </c>
      <c r="G2100">
        <v>2022</v>
      </c>
      <c r="H2100" t="s">
        <v>150</v>
      </c>
      <c r="I2100" t="s">
        <v>62</v>
      </c>
      <c r="J2100">
        <v>849</v>
      </c>
      <c r="K2100">
        <v>250</v>
      </c>
      <c r="L2100">
        <f t="shared" si="528"/>
        <v>599</v>
      </c>
      <c r="M2100">
        <v>240</v>
      </c>
      <c r="N2100">
        <f t="shared" si="529"/>
        <v>359</v>
      </c>
    </row>
    <row r="2101" spans="1:14" x14ac:dyDescent="0.2">
      <c r="A2101" t="s">
        <v>2796</v>
      </c>
      <c r="B2101" s="1" t="s">
        <v>2773</v>
      </c>
      <c r="C2101" t="s">
        <v>14</v>
      </c>
      <c r="D2101" t="s">
        <v>957</v>
      </c>
      <c r="E2101">
        <v>6</v>
      </c>
      <c r="F2101" t="s">
        <v>2703</v>
      </c>
      <c r="G2101">
        <v>2022</v>
      </c>
      <c r="H2101" t="s">
        <v>2797</v>
      </c>
      <c r="I2101" t="s">
        <v>32</v>
      </c>
      <c r="J2101">
        <v>799</v>
      </c>
      <c r="K2101">
        <v>205</v>
      </c>
      <c r="L2101">
        <f t="shared" si="528"/>
        <v>594</v>
      </c>
      <c r="M2101">
        <v>240</v>
      </c>
      <c r="N2101">
        <f t="shared" si="529"/>
        <v>354</v>
      </c>
    </row>
    <row r="2102" spans="1:14" x14ac:dyDescent="0.2">
      <c r="A2102" t="s">
        <v>2798</v>
      </c>
      <c r="B2102" s="1" t="s">
        <v>2773</v>
      </c>
      <c r="C2102" t="s">
        <v>14</v>
      </c>
      <c r="D2102" t="s">
        <v>573</v>
      </c>
      <c r="E2102">
        <v>6</v>
      </c>
      <c r="F2102" t="s">
        <v>2703</v>
      </c>
      <c r="G2102">
        <v>2022</v>
      </c>
      <c r="H2102" t="s">
        <v>246</v>
      </c>
      <c r="I2102" t="s">
        <v>58</v>
      </c>
      <c r="J2102">
        <v>876.52</v>
      </c>
      <c r="K2102">
        <v>285</v>
      </c>
      <c r="L2102">
        <f t="shared" si="528"/>
        <v>591.52</v>
      </c>
      <c r="M2102">
        <v>240</v>
      </c>
      <c r="N2102">
        <f t="shared" si="529"/>
        <v>351.52</v>
      </c>
    </row>
    <row r="2103" spans="1:14" x14ac:dyDescent="0.2">
      <c r="A2103" t="s">
        <v>2798</v>
      </c>
      <c r="B2103" s="1" t="s">
        <v>2773</v>
      </c>
      <c r="C2103" t="s">
        <v>14</v>
      </c>
      <c r="D2103" t="s">
        <v>117</v>
      </c>
      <c r="E2103">
        <v>6</v>
      </c>
      <c r="F2103" t="s">
        <v>2703</v>
      </c>
      <c r="G2103">
        <v>2022</v>
      </c>
      <c r="H2103" t="s">
        <v>246</v>
      </c>
      <c r="I2103" t="s">
        <v>58</v>
      </c>
      <c r="J2103">
        <v>876.53</v>
      </c>
      <c r="K2103">
        <v>285</v>
      </c>
      <c r="L2103">
        <f t="shared" si="528"/>
        <v>591.53</v>
      </c>
      <c r="M2103">
        <v>240</v>
      </c>
      <c r="N2103">
        <f t="shared" si="529"/>
        <v>351.53</v>
      </c>
    </row>
    <row r="2104" spans="1:14" x14ac:dyDescent="0.2">
      <c r="A2104" t="s">
        <v>2799</v>
      </c>
      <c r="B2104" s="1" t="s">
        <v>2773</v>
      </c>
      <c r="C2104" t="s">
        <v>14</v>
      </c>
      <c r="D2104" t="s">
        <v>81</v>
      </c>
      <c r="E2104">
        <v>6</v>
      </c>
      <c r="F2104" t="s">
        <v>2703</v>
      </c>
      <c r="G2104">
        <v>2022</v>
      </c>
      <c r="H2104" t="s">
        <v>2800</v>
      </c>
      <c r="I2104" t="s">
        <v>122</v>
      </c>
      <c r="J2104">
        <v>849</v>
      </c>
      <c r="K2104">
        <v>250</v>
      </c>
      <c r="L2104">
        <f t="shared" si="528"/>
        <v>599</v>
      </c>
      <c r="M2104">
        <v>240</v>
      </c>
      <c r="N2104">
        <f t="shared" si="529"/>
        <v>359</v>
      </c>
    </row>
    <row r="2105" spans="1:14" x14ac:dyDescent="0.2">
      <c r="A2105" t="s">
        <v>2801</v>
      </c>
      <c r="B2105" s="1" t="s">
        <v>2773</v>
      </c>
      <c r="C2105" t="s">
        <v>14</v>
      </c>
      <c r="D2105" t="s">
        <v>890</v>
      </c>
      <c r="E2105">
        <v>6</v>
      </c>
      <c r="F2105" t="s">
        <v>2703</v>
      </c>
      <c r="G2105">
        <v>2022</v>
      </c>
      <c r="H2105" t="s">
        <v>2802</v>
      </c>
      <c r="I2105" t="s">
        <v>62</v>
      </c>
      <c r="J2105">
        <v>849</v>
      </c>
      <c r="K2105">
        <v>250</v>
      </c>
      <c r="L2105">
        <f t="shared" si="528"/>
        <v>599</v>
      </c>
      <c r="M2105">
        <v>240</v>
      </c>
      <c r="N2105">
        <f t="shared" si="529"/>
        <v>359</v>
      </c>
    </row>
    <row r="2106" spans="1:14" x14ac:dyDescent="0.2">
      <c r="A2106" t="s">
        <v>2803</v>
      </c>
      <c r="B2106" s="1" t="s">
        <v>2773</v>
      </c>
      <c r="C2106" t="s">
        <v>14</v>
      </c>
      <c r="D2106" t="s">
        <v>809</v>
      </c>
      <c r="E2106">
        <v>6</v>
      </c>
      <c r="F2106" t="s">
        <v>2703</v>
      </c>
      <c r="G2106">
        <v>2022</v>
      </c>
      <c r="H2106" t="s">
        <v>1225</v>
      </c>
      <c r="I2106" t="s">
        <v>85</v>
      </c>
      <c r="J2106">
        <v>999</v>
      </c>
      <c r="K2106">
        <v>325</v>
      </c>
      <c r="L2106">
        <f t="shared" si="528"/>
        <v>674</v>
      </c>
      <c r="M2106">
        <v>240</v>
      </c>
      <c r="N2106">
        <f t="shared" si="529"/>
        <v>434</v>
      </c>
    </row>
    <row r="2107" spans="1:14" x14ac:dyDescent="0.2">
      <c r="A2107" t="s">
        <v>2804</v>
      </c>
      <c r="B2107" s="1" t="s">
        <v>2773</v>
      </c>
      <c r="C2107" t="s">
        <v>14</v>
      </c>
      <c r="D2107" t="s">
        <v>242</v>
      </c>
      <c r="E2107">
        <v>6</v>
      </c>
      <c r="F2107" t="s">
        <v>2703</v>
      </c>
      <c r="G2107">
        <v>2022</v>
      </c>
      <c r="H2107" t="s">
        <v>91</v>
      </c>
      <c r="I2107" t="s">
        <v>23</v>
      </c>
      <c r="J2107">
        <v>899</v>
      </c>
      <c r="K2107">
        <v>295</v>
      </c>
      <c r="L2107">
        <f t="shared" si="528"/>
        <v>604</v>
      </c>
      <c r="M2107">
        <v>240</v>
      </c>
      <c r="N2107">
        <f t="shared" si="529"/>
        <v>364</v>
      </c>
    </row>
    <row r="2108" spans="1:14" x14ac:dyDescent="0.2">
      <c r="A2108" t="s">
        <v>2805</v>
      </c>
      <c r="B2108" s="1" t="s">
        <v>2773</v>
      </c>
      <c r="C2108" t="s">
        <v>14</v>
      </c>
      <c r="D2108" t="s">
        <v>81</v>
      </c>
      <c r="E2108">
        <v>6</v>
      </c>
      <c r="F2108" t="s">
        <v>2703</v>
      </c>
      <c r="G2108">
        <v>2022</v>
      </c>
      <c r="H2108" t="s">
        <v>249</v>
      </c>
      <c r="I2108" t="s">
        <v>250</v>
      </c>
      <c r="J2108">
        <v>806.55</v>
      </c>
      <c r="K2108">
        <v>227</v>
      </c>
      <c r="L2108">
        <f t="shared" si="528"/>
        <v>579.54999999999995</v>
      </c>
      <c r="M2108">
        <v>240</v>
      </c>
      <c r="N2108">
        <f t="shared" si="529"/>
        <v>339.54999999999995</v>
      </c>
    </row>
    <row r="2109" spans="1:14" x14ac:dyDescent="0.2">
      <c r="A2109" t="s">
        <v>2806</v>
      </c>
      <c r="B2109" s="1" t="s">
        <v>2773</v>
      </c>
      <c r="C2109" t="s">
        <v>14</v>
      </c>
      <c r="D2109" t="s">
        <v>786</v>
      </c>
      <c r="E2109">
        <v>6</v>
      </c>
      <c r="F2109" t="s">
        <v>2703</v>
      </c>
      <c r="G2109">
        <v>2022</v>
      </c>
      <c r="H2109" t="s">
        <v>157</v>
      </c>
      <c r="I2109" t="s">
        <v>97</v>
      </c>
      <c r="J2109">
        <v>799</v>
      </c>
      <c r="K2109">
        <v>205</v>
      </c>
      <c r="L2109">
        <f t="shared" si="528"/>
        <v>594</v>
      </c>
      <c r="M2109">
        <v>240</v>
      </c>
      <c r="N2109">
        <f t="shared" si="529"/>
        <v>354</v>
      </c>
    </row>
    <row r="2110" spans="1:14" x14ac:dyDescent="0.2">
      <c r="A2110" t="s">
        <v>2721</v>
      </c>
      <c r="B2110" s="1" t="s">
        <v>2716</v>
      </c>
      <c r="C2110" t="s">
        <v>106</v>
      </c>
      <c r="D2110" t="s">
        <v>893</v>
      </c>
      <c r="E2110">
        <v>2</v>
      </c>
      <c r="F2110" t="s">
        <v>2703</v>
      </c>
      <c r="G2110">
        <v>2022</v>
      </c>
      <c r="H2110" t="s">
        <v>2722</v>
      </c>
      <c r="I2110" t="s">
        <v>502</v>
      </c>
      <c r="J2110">
        <v>-849</v>
      </c>
      <c r="K2110">
        <v>345</v>
      </c>
      <c r="L2110">
        <f t="shared" ref="L2110:L2111" si="530">J2110+K2110</f>
        <v>-504</v>
      </c>
      <c r="M2110">
        <v>240</v>
      </c>
      <c r="N2110">
        <f t="shared" ref="N2110:N2111" si="531">L2110+M2110</f>
        <v>-264</v>
      </c>
    </row>
    <row r="2111" spans="1:14" x14ac:dyDescent="0.2">
      <c r="A2111" t="s">
        <v>2707</v>
      </c>
      <c r="B2111" s="1" t="s">
        <v>2701</v>
      </c>
      <c r="C2111" t="s">
        <v>106</v>
      </c>
      <c r="D2111" t="s">
        <v>993</v>
      </c>
      <c r="E2111">
        <v>1</v>
      </c>
      <c r="F2111" t="s">
        <v>2703</v>
      </c>
      <c r="G2111">
        <v>2022</v>
      </c>
      <c r="H2111" t="s">
        <v>170</v>
      </c>
      <c r="I2111" t="s">
        <v>171</v>
      </c>
      <c r="J2111">
        <v>-799</v>
      </c>
      <c r="K2111">
        <v>320</v>
      </c>
      <c r="L2111">
        <f t="shared" si="530"/>
        <v>-479</v>
      </c>
      <c r="M2111">
        <v>240</v>
      </c>
      <c r="N2111">
        <f t="shared" si="531"/>
        <v>-239</v>
      </c>
    </row>
    <row r="2112" spans="1:14" x14ac:dyDescent="0.2">
      <c r="A2112" t="s">
        <v>2808</v>
      </c>
      <c r="B2112" s="1" t="s">
        <v>2807</v>
      </c>
      <c r="C2112" t="s">
        <v>14</v>
      </c>
      <c r="D2112" t="s">
        <v>1386</v>
      </c>
      <c r="E2112">
        <v>7</v>
      </c>
      <c r="F2112" t="s">
        <v>2703</v>
      </c>
      <c r="G2112">
        <v>2022</v>
      </c>
      <c r="H2112" t="s">
        <v>314</v>
      </c>
      <c r="I2112" t="s">
        <v>58</v>
      </c>
      <c r="J2112">
        <v>799</v>
      </c>
      <c r="K2112">
        <v>205</v>
      </c>
      <c r="L2112">
        <f t="shared" ref="L2112:L2131" si="532">J2112-K2112</f>
        <v>594</v>
      </c>
      <c r="M2112">
        <v>240</v>
      </c>
      <c r="N2112">
        <f t="shared" ref="N2112:N2131" si="533">L2112-M2112</f>
        <v>354</v>
      </c>
    </row>
    <row r="2113" spans="1:14" x14ac:dyDescent="0.2">
      <c r="A2113" t="s">
        <v>2809</v>
      </c>
      <c r="B2113" s="1" t="s">
        <v>2807</v>
      </c>
      <c r="C2113" t="s">
        <v>14</v>
      </c>
      <c r="D2113" t="s">
        <v>490</v>
      </c>
      <c r="E2113">
        <v>7</v>
      </c>
      <c r="F2113" t="s">
        <v>2703</v>
      </c>
      <c r="G2113">
        <v>2022</v>
      </c>
      <c r="H2113" t="s">
        <v>2466</v>
      </c>
      <c r="I2113" t="s">
        <v>37</v>
      </c>
      <c r="J2113">
        <v>899</v>
      </c>
      <c r="K2113">
        <v>295</v>
      </c>
      <c r="L2113">
        <f t="shared" si="532"/>
        <v>604</v>
      </c>
      <c r="M2113">
        <v>240</v>
      </c>
      <c r="N2113">
        <f t="shared" si="533"/>
        <v>364</v>
      </c>
    </row>
    <row r="2114" spans="1:14" x14ac:dyDescent="0.2">
      <c r="A2114" t="s">
        <v>2810</v>
      </c>
      <c r="B2114" s="1" t="s">
        <v>2807</v>
      </c>
      <c r="C2114" t="s">
        <v>14</v>
      </c>
      <c r="D2114" t="s">
        <v>573</v>
      </c>
      <c r="E2114">
        <v>7</v>
      </c>
      <c r="F2114" t="s">
        <v>2703</v>
      </c>
      <c r="G2114">
        <v>2022</v>
      </c>
      <c r="H2114" t="s">
        <v>2811</v>
      </c>
      <c r="I2114" t="s">
        <v>502</v>
      </c>
      <c r="J2114">
        <v>854.05</v>
      </c>
      <c r="K2114">
        <v>270</v>
      </c>
      <c r="L2114">
        <f t="shared" si="532"/>
        <v>584.04999999999995</v>
      </c>
      <c r="M2114">
        <v>240</v>
      </c>
      <c r="N2114">
        <f t="shared" si="533"/>
        <v>344.04999999999995</v>
      </c>
    </row>
    <row r="2115" spans="1:14" x14ac:dyDescent="0.2">
      <c r="A2115" t="s">
        <v>2812</v>
      </c>
      <c r="B2115" s="1" t="s">
        <v>2807</v>
      </c>
      <c r="C2115" t="s">
        <v>14</v>
      </c>
      <c r="D2115" t="s">
        <v>1076</v>
      </c>
      <c r="E2115">
        <v>7</v>
      </c>
      <c r="F2115" t="s">
        <v>2703</v>
      </c>
      <c r="G2115">
        <v>2022</v>
      </c>
      <c r="H2115" t="s">
        <v>2641</v>
      </c>
      <c r="I2115" t="s">
        <v>32</v>
      </c>
      <c r="J2115">
        <v>806.55</v>
      </c>
      <c r="K2115">
        <v>227</v>
      </c>
      <c r="L2115">
        <f t="shared" si="532"/>
        <v>579.54999999999995</v>
      </c>
      <c r="M2115">
        <v>240</v>
      </c>
      <c r="N2115">
        <f t="shared" si="533"/>
        <v>339.54999999999995</v>
      </c>
    </row>
    <row r="2116" spans="1:14" x14ac:dyDescent="0.2">
      <c r="A2116" t="s">
        <v>2813</v>
      </c>
      <c r="B2116" s="1" t="s">
        <v>2773</v>
      </c>
      <c r="C2116" t="s">
        <v>14</v>
      </c>
      <c r="D2116" t="s">
        <v>445</v>
      </c>
      <c r="E2116">
        <v>6</v>
      </c>
      <c r="F2116" t="s">
        <v>2703</v>
      </c>
      <c r="G2116">
        <v>2022</v>
      </c>
      <c r="H2116" t="s">
        <v>398</v>
      </c>
      <c r="I2116" t="s">
        <v>399</v>
      </c>
      <c r="J2116">
        <v>899</v>
      </c>
      <c r="K2116">
        <v>295</v>
      </c>
      <c r="L2116">
        <f t="shared" si="532"/>
        <v>604</v>
      </c>
      <c r="M2116">
        <v>240</v>
      </c>
      <c r="N2116">
        <f t="shared" si="533"/>
        <v>364</v>
      </c>
    </row>
    <row r="2117" spans="1:14" x14ac:dyDescent="0.2">
      <c r="A2117" t="s">
        <v>2814</v>
      </c>
      <c r="B2117" s="1" t="s">
        <v>2807</v>
      </c>
      <c r="C2117" t="s">
        <v>14</v>
      </c>
      <c r="D2117" t="s">
        <v>1012</v>
      </c>
      <c r="E2117">
        <v>7</v>
      </c>
      <c r="F2117" t="s">
        <v>2703</v>
      </c>
      <c r="G2117">
        <v>2022</v>
      </c>
      <c r="H2117" t="s">
        <v>246</v>
      </c>
      <c r="I2117" t="s">
        <v>58</v>
      </c>
      <c r="J2117">
        <v>799</v>
      </c>
      <c r="K2117">
        <v>205</v>
      </c>
      <c r="L2117">
        <f t="shared" si="532"/>
        <v>594</v>
      </c>
      <c r="M2117">
        <v>240</v>
      </c>
      <c r="N2117">
        <f t="shared" si="533"/>
        <v>354</v>
      </c>
    </row>
    <row r="2118" spans="1:14" x14ac:dyDescent="0.2">
      <c r="A2118" t="s">
        <v>2815</v>
      </c>
      <c r="B2118" s="1" t="s">
        <v>2807</v>
      </c>
      <c r="C2118" t="s">
        <v>14</v>
      </c>
      <c r="D2118" t="s">
        <v>490</v>
      </c>
      <c r="E2118">
        <v>7</v>
      </c>
      <c r="F2118" t="s">
        <v>2703</v>
      </c>
      <c r="G2118">
        <v>2022</v>
      </c>
      <c r="H2118" t="s">
        <v>1290</v>
      </c>
      <c r="I2118" t="s">
        <v>58</v>
      </c>
      <c r="J2118">
        <v>899</v>
      </c>
      <c r="K2118">
        <v>295</v>
      </c>
      <c r="L2118">
        <f t="shared" si="532"/>
        <v>604</v>
      </c>
      <c r="M2118">
        <v>240</v>
      </c>
      <c r="N2118">
        <f t="shared" si="533"/>
        <v>364</v>
      </c>
    </row>
    <row r="2119" spans="1:14" x14ac:dyDescent="0.2">
      <c r="A2119" t="s">
        <v>2816</v>
      </c>
      <c r="B2119" s="1" t="s">
        <v>2807</v>
      </c>
      <c r="C2119" t="s">
        <v>14</v>
      </c>
      <c r="D2119" t="s">
        <v>504</v>
      </c>
      <c r="E2119">
        <v>7</v>
      </c>
      <c r="F2119" t="s">
        <v>2703</v>
      </c>
      <c r="G2119">
        <v>2022</v>
      </c>
      <c r="H2119" t="s">
        <v>104</v>
      </c>
      <c r="I2119" t="s">
        <v>62</v>
      </c>
      <c r="J2119">
        <v>899</v>
      </c>
      <c r="K2119">
        <v>295</v>
      </c>
      <c r="L2119">
        <f t="shared" si="532"/>
        <v>604</v>
      </c>
      <c r="M2119">
        <v>240</v>
      </c>
      <c r="N2119">
        <f t="shared" si="533"/>
        <v>364</v>
      </c>
    </row>
    <row r="2120" spans="1:14" x14ac:dyDescent="0.2">
      <c r="A2120" t="s">
        <v>2817</v>
      </c>
      <c r="B2120" s="1" t="s">
        <v>2807</v>
      </c>
      <c r="C2120" t="s">
        <v>14</v>
      </c>
      <c r="D2120" t="s">
        <v>81</v>
      </c>
      <c r="E2120">
        <v>7</v>
      </c>
      <c r="F2120" t="s">
        <v>2703</v>
      </c>
      <c r="G2120">
        <v>2022</v>
      </c>
      <c r="H2120" t="s">
        <v>2818</v>
      </c>
      <c r="I2120" t="s">
        <v>144</v>
      </c>
      <c r="J2120">
        <v>806.55</v>
      </c>
      <c r="K2120">
        <v>227</v>
      </c>
      <c r="L2120">
        <f t="shared" si="532"/>
        <v>579.54999999999995</v>
      </c>
      <c r="M2120">
        <v>240</v>
      </c>
      <c r="N2120">
        <f t="shared" si="533"/>
        <v>339.54999999999995</v>
      </c>
    </row>
    <row r="2121" spans="1:14" x14ac:dyDescent="0.2">
      <c r="A2121" t="s">
        <v>2819</v>
      </c>
      <c r="B2121" s="1" t="s">
        <v>2807</v>
      </c>
      <c r="C2121" t="s">
        <v>14</v>
      </c>
      <c r="D2121" t="s">
        <v>901</v>
      </c>
      <c r="E2121">
        <v>7</v>
      </c>
      <c r="F2121" t="s">
        <v>2703</v>
      </c>
      <c r="G2121">
        <v>2022</v>
      </c>
      <c r="H2121" t="s">
        <v>2820</v>
      </c>
      <c r="I2121" t="s">
        <v>23</v>
      </c>
      <c r="J2121">
        <v>799</v>
      </c>
      <c r="K2121">
        <v>205</v>
      </c>
      <c r="L2121">
        <f t="shared" si="532"/>
        <v>594</v>
      </c>
      <c r="M2121">
        <v>240</v>
      </c>
      <c r="N2121">
        <f t="shared" si="533"/>
        <v>354</v>
      </c>
    </row>
    <row r="2122" spans="1:14" x14ac:dyDescent="0.2">
      <c r="A2122" t="s">
        <v>2821</v>
      </c>
      <c r="B2122" s="1" t="s">
        <v>2807</v>
      </c>
      <c r="C2122" t="s">
        <v>14</v>
      </c>
      <c r="D2122" t="s">
        <v>993</v>
      </c>
      <c r="E2122">
        <v>7</v>
      </c>
      <c r="F2122" t="s">
        <v>2703</v>
      </c>
      <c r="G2122">
        <v>2022</v>
      </c>
      <c r="H2122" t="s">
        <v>2822</v>
      </c>
      <c r="I2122" t="s">
        <v>28</v>
      </c>
      <c r="J2122">
        <v>799</v>
      </c>
      <c r="K2122">
        <v>205</v>
      </c>
      <c r="L2122">
        <f t="shared" si="532"/>
        <v>594</v>
      </c>
      <c r="M2122">
        <v>240</v>
      </c>
      <c r="N2122">
        <f t="shared" si="533"/>
        <v>354</v>
      </c>
    </row>
    <row r="2123" spans="1:14" x14ac:dyDescent="0.2">
      <c r="A2123" t="s">
        <v>2823</v>
      </c>
      <c r="B2123" s="1" t="s">
        <v>2807</v>
      </c>
      <c r="C2123" t="s">
        <v>14</v>
      </c>
      <c r="D2123" t="s">
        <v>1937</v>
      </c>
      <c r="E2123">
        <v>7</v>
      </c>
      <c r="F2123" t="s">
        <v>2703</v>
      </c>
      <c r="G2123">
        <v>2022</v>
      </c>
      <c r="H2123" t="s">
        <v>235</v>
      </c>
      <c r="I2123" t="s">
        <v>62</v>
      </c>
      <c r="J2123">
        <v>799</v>
      </c>
      <c r="K2123">
        <v>205</v>
      </c>
      <c r="L2123">
        <f t="shared" si="532"/>
        <v>594</v>
      </c>
      <c r="M2123">
        <v>240</v>
      </c>
      <c r="N2123">
        <f t="shared" si="533"/>
        <v>354</v>
      </c>
    </row>
    <row r="2124" spans="1:14" x14ac:dyDescent="0.2">
      <c r="A2124" t="s">
        <v>2824</v>
      </c>
      <c r="B2124" s="1" t="s">
        <v>2807</v>
      </c>
      <c r="C2124" t="s">
        <v>14</v>
      </c>
      <c r="D2124" t="s">
        <v>81</v>
      </c>
      <c r="E2124">
        <v>7</v>
      </c>
      <c r="F2124" t="s">
        <v>2703</v>
      </c>
      <c r="G2124">
        <v>2022</v>
      </c>
      <c r="H2124" t="s">
        <v>2825</v>
      </c>
      <c r="I2124" t="s">
        <v>23</v>
      </c>
      <c r="J2124">
        <v>806.55</v>
      </c>
      <c r="K2124">
        <v>227</v>
      </c>
      <c r="L2124">
        <f t="shared" si="532"/>
        <v>579.54999999999995</v>
      </c>
      <c r="M2124">
        <v>240</v>
      </c>
      <c r="N2124">
        <f t="shared" si="533"/>
        <v>339.54999999999995</v>
      </c>
    </row>
    <row r="2125" spans="1:14" x14ac:dyDescent="0.2">
      <c r="A2125" t="s">
        <v>2826</v>
      </c>
      <c r="B2125" s="1" t="s">
        <v>2807</v>
      </c>
      <c r="C2125" t="s">
        <v>14</v>
      </c>
      <c r="D2125" t="s">
        <v>242</v>
      </c>
      <c r="E2125">
        <v>7</v>
      </c>
      <c r="F2125" t="s">
        <v>2703</v>
      </c>
      <c r="G2125">
        <v>2022</v>
      </c>
      <c r="H2125" t="s">
        <v>162</v>
      </c>
      <c r="I2125" t="s">
        <v>163</v>
      </c>
      <c r="J2125">
        <v>854.05</v>
      </c>
      <c r="K2125">
        <v>270</v>
      </c>
      <c r="L2125">
        <f t="shared" si="532"/>
        <v>584.04999999999995</v>
      </c>
      <c r="M2125">
        <v>240</v>
      </c>
      <c r="N2125">
        <f t="shared" si="533"/>
        <v>344.04999999999995</v>
      </c>
    </row>
    <row r="2126" spans="1:14" x14ac:dyDescent="0.2">
      <c r="A2126" t="s">
        <v>2827</v>
      </c>
      <c r="B2126" s="1" t="s">
        <v>2807</v>
      </c>
      <c r="C2126" t="s">
        <v>14</v>
      </c>
      <c r="D2126" t="s">
        <v>573</v>
      </c>
      <c r="E2126">
        <v>7</v>
      </c>
      <c r="F2126" t="s">
        <v>2703</v>
      </c>
      <c r="G2126">
        <v>2022</v>
      </c>
      <c r="H2126" t="s">
        <v>2828</v>
      </c>
      <c r="I2126" t="s">
        <v>28</v>
      </c>
      <c r="J2126">
        <v>899</v>
      </c>
      <c r="K2126">
        <v>295</v>
      </c>
      <c r="L2126">
        <f t="shared" si="532"/>
        <v>604</v>
      </c>
      <c r="M2126">
        <v>240</v>
      </c>
      <c r="N2126">
        <f t="shared" si="533"/>
        <v>364</v>
      </c>
    </row>
    <row r="2127" spans="1:14" x14ac:dyDescent="0.2">
      <c r="A2127" t="s">
        <v>2829</v>
      </c>
      <c r="B2127" s="1" t="s">
        <v>2807</v>
      </c>
      <c r="C2127" t="s">
        <v>14</v>
      </c>
      <c r="D2127" t="s">
        <v>895</v>
      </c>
      <c r="E2127">
        <v>7</v>
      </c>
      <c r="F2127" t="s">
        <v>2703</v>
      </c>
      <c r="G2127">
        <v>2022</v>
      </c>
      <c r="H2127" t="s">
        <v>2830</v>
      </c>
      <c r="I2127" t="s">
        <v>23</v>
      </c>
      <c r="J2127">
        <v>849</v>
      </c>
      <c r="K2127">
        <v>250</v>
      </c>
      <c r="L2127">
        <f t="shared" si="532"/>
        <v>599</v>
      </c>
      <c r="M2127">
        <v>240</v>
      </c>
      <c r="N2127">
        <f t="shared" si="533"/>
        <v>359</v>
      </c>
    </row>
    <row r="2128" spans="1:14" x14ac:dyDescent="0.2">
      <c r="A2128" t="s">
        <v>2831</v>
      </c>
      <c r="B2128" s="1" t="s">
        <v>2807</v>
      </c>
      <c r="C2128" t="s">
        <v>14</v>
      </c>
      <c r="D2128" t="s">
        <v>284</v>
      </c>
      <c r="E2128">
        <v>7</v>
      </c>
      <c r="F2128" t="s">
        <v>2703</v>
      </c>
      <c r="G2128">
        <v>2022</v>
      </c>
      <c r="H2128" t="s">
        <v>104</v>
      </c>
      <c r="I2128" t="s">
        <v>62</v>
      </c>
      <c r="J2128">
        <v>899</v>
      </c>
      <c r="K2128">
        <v>295</v>
      </c>
      <c r="L2128">
        <f t="shared" si="532"/>
        <v>604</v>
      </c>
      <c r="M2128">
        <v>240</v>
      </c>
      <c r="N2128">
        <f t="shared" si="533"/>
        <v>364</v>
      </c>
    </row>
    <row r="2129" spans="1:14" x14ac:dyDescent="0.2">
      <c r="A2129" t="s">
        <v>2832</v>
      </c>
      <c r="B2129" s="1" t="s">
        <v>2807</v>
      </c>
      <c r="C2129" t="s">
        <v>14</v>
      </c>
      <c r="D2129" t="s">
        <v>809</v>
      </c>
      <c r="E2129">
        <v>7</v>
      </c>
      <c r="F2129" t="s">
        <v>2703</v>
      </c>
      <c r="G2129">
        <v>2022</v>
      </c>
      <c r="H2129" t="s">
        <v>246</v>
      </c>
      <c r="I2129" t="s">
        <v>58</v>
      </c>
      <c r="J2129">
        <v>999</v>
      </c>
      <c r="K2129">
        <v>325</v>
      </c>
      <c r="L2129">
        <f t="shared" si="532"/>
        <v>674</v>
      </c>
      <c r="M2129">
        <v>240</v>
      </c>
      <c r="N2129">
        <f t="shared" si="533"/>
        <v>434</v>
      </c>
    </row>
    <row r="2130" spans="1:14" x14ac:dyDescent="0.2">
      <c r="A2130" t="s">
        <v>2833</v>
      </c>
      <c r="B2130" s="1" t="s">
        <v>2807</v>
      </c>
      <c r="C2130" t="s">
        <v>14</v>
      </c>
      <c r="D2130" t="s">
        <v>1338</v>
      </c>
      <c r="E2130">
        <v>7</v>
      </c>
      <c r="F2130" t="s">
        <v>2703</v>
      </c>
      <c r="G2130">
        <v>2022</v>
      </c>
      <c r="H2130" t="s">
        <v>2834</v>
      </c>
      <c r="I2130" t="s">
        <v>257</v>
      </c>
      <c r="J2130">
        <v>799</v>
      </c>
      <c r="K2130">
        <v>205</v>
      </c>
      <c r="L2130">
        <f t="shared" si="532"/>
        <v>594</v>
      </c>
      <c r="M2130">
        <v>240</v>
      </c>
      <c r="N2130">
        <f t="shared" si="533"/>
        <v>354</v>
      </c>
    </row>
    <row r="2131" spans="1:14" x14ac:dyDescent="0.2">
      <c r="A2131" t="s">
        <v>2835</v>
      </c>
      <c r="B2131" s="1" t="s">
        <v>2807</v>
      </c>
      <c r="C2131" t="s">
        <v>14</v>
      </c>
      <c r="D2131" t="s">
        <v>81</v>
      </c>
      <c r="E2131">
        <v>7</v>
      </c>
      <c r="F2131" t="s">
        <v>2703</v>
      </c>
      <c r="G2131">
        <v>2022</v>
      </c>
      <c r="H2131" t="s">
        <v>2836</v>
      </c>
      <c r="I2131" t="s">
        <v>28</v>
      </c>
      <c r="J2131">
        <v>849</v>
      </c>
      <c r="K2131">
        <v>250</v>
      </c>
      <c r="L2131">
        <f t="shared" si="532"/>
        <v>599</v>
      </c>
      <c r="M2131">
        <v>240</v>
      </c>
      <c r="N2131">
        <f t="shared" si="533"/>
        <v>359</v>
      </c>
    </row>
    <row r="2132" spans="1:14" x14ac:dyDescent="0.2">
      <c r="A2132" t="s">
        <v>2790</v>
      </c>
      <c r="B2132" s="1" t="s">
        <v>2773</v>
      </c>
      <c r="C2132" t="s">
        <v>106</v>
      </c>
      <c r="D2132" t="s">
        <v>81</v>
      </c>
      <c r="E2132">
        <v>6</v>
      </c>
      <c r="F2132" t="s">
        <v>2703</v>
      </c>
      <c r="G2132">
        <v>2022</v>
      </c>
      <c r="H2132" t="s">
        <v>157</v>
      </c>
      <c r="I2132" t="s">
        <v>97</v>
      </c>
      <c r="J2132">
        <v>-1698</v>
      </c>
      <c r="K2132">
        <v>425</v>
      </c>
      <c r="L2132">
        <f>J2132+K2132</f>
        <v>-1273</v>
      </c>
      <c r="M2132">
        <v>240</v>
      </c>
      <c r="N2132">
        <f>L2132+M2132</f>
        <v>-1033</v>
      </c>
    </row>
    <row r="2133" spans="1:14" x14ac:dyDescent="0.2">
      <c r="A2133" t="s">
        <v>2838</v>
      </c>
      <c r="B2133" s="1" t="s">
        <v>2837</v>
      </c>
      <c r="C2133" t="s">
        <v>43</v>
      </c>
      <c r="D2133" t="s">
        <v>840</v>
      </c>
      <c r="E2133">
        <v>9</v>
      </c>
      <c r="F2133" t="s">
        <v>2703</v>
      </c>
      <c r="G2133">
        <v>2022</v>
      </c>
      <c r="H2133" t="s">
        <v>246</v>
      </c>
      <c r="I2133" t="s">
        <v>58</v>
      </c>
      <c r="J2133">
        <v>0</v>
      </c>
      <c r="K2133">
        <v>0</v>
      </c>
      <c r="L2133">
        <v>0</v>
      </c>
      <c r="M2133">
        <v>0</v>
      </c>
      <c r="N2133">
        <v>0</v>
      </c>
    </row>
    <row r="2134" spans="1:14" x14ac:dyDescent="0.2">
      <c r="A2134" t="s">
        <v>2737</v>
      </c>
      <c r="B2134" s="1" t="s">
        <v>2731</v>
      </c>
      <c r="C2134" t="s">
        <v>106</v>
      </c>
      <c r="D2134" t="s">
        <v>70</v>
      </c>
      <c r="E2134">
        <v>3</v>
      </c>
      <c r="F2134" t="s">
        <v>2703</v>
      </c>
      <c r="G2134">
        <v>2022</v>
      </c>
      <c r="H2134" t="s">
        <v>2738</v>
      </c>
      <c r="I2134" t="s">
        <v>163</v>
      </c>
      <c r="J2134">
        <v>-849</v>
      </c>
      <c r="K2134">
        <v>345</v>
      </c>
      <c r="L2134">
        <f t="shared" ref="L2134:L2135" si="534">J2134+K2134</f>
        <v>-504</v>
      </c>
      <c r="M2134">
        <v>240</v>
      </c>
      <c r="N2134">
        <f t="shared" ref="N2134:N2135" si="535">L2134+M2134</f>
        <v>-264</v>
      </c>
    </row>
    <row r="2135" spans="1:14" x14ac:dyDescent="0.2">
      <c r="A2135" t="s">
        <v>2717</v>
      </c>
      <c r="B2135" s="1" t="s">
        <v>2716</v>
      </c>
      <c r="C2135" t="s">
        <v>106</v>
      </c>
      <c r="D2135" t="s">
        <v>890</v>
      </c>
      <c r="E2135">
        <v>2</v>
      </c>
      <c r="F2135" t="s">
        <v>2703</v>
      </c>
      <c r="G2135">
        <v>2022</v>
      </c>
      <c r="H2135" t="s">
        <v>157</v>
      </c>
      <c r="I2135" t="s">
        <v>97</v>
      </c>
      <c r="J2135">
        <v>-849</v>
      </c>
      <c r="K2135">
        <v>345</v>
      </c>
      <c r="L2135">
        <f t="shared" si="534"/>
        <v>-504</v>
      </c>
      <c r="M2135">
        <v>240</v>
      </c>
      <c r="N2135">
        <f t="shared" si="535"/>
        <v>-264</v>
      </c>
    </row>
    <row r="2136" spans="1:14" x14ac:dyDescent="0.2">
      <c r="A2136" t="s">
        <v>2840</v>
      </c>
      <c r="B2136" s="1" t="s">
        <v>2839</v>
      </c>
      <c r="C2136" t="s">
        <v>14</v>
      </c>
      <c r="D2136" t="s">
        <v>957</v>
      </c>
      <c r="E2136">
        <v>8</v>
      </c>
      <c r="F2136" t="s">
        <v>2703</v>
      </c>
      <c r="G2136">
        <v>2022</v>
      </c>
      <c r="H2136" t="s">
        <v>916</v>
      </c>
      <c r="I2136" t="s">
        <v>97</v>
      </c>
      <c r="J2136">
        <v>799</v>
      </c>
      <c r="K2136">
        <v>205</v>
      </c>
      <c r="L2136">
        <f t="shared" ref="L2136:L2157" si="536">J2136-K2136</f>
        <v>594</v>
      </c>
      <c r="M2136">
        <v>240</v>
      </c>
      <c r="N2136">
        <f t="shared" ref="N2136:N2157" si="537">L2136-M2136</f>
        <v>354</v>
      </c>
    </row>
    <row r="2137" spans="1:14" x14ac:dyDescent="0.2">
      <c r="A2137" t="s">
        <v>2841</v>
      </c>
      <c r="B2137" s="1" t="s">
        <v>2839</v>
      </c>
      <c r="C2137" t="s">
        <v>14</v>
      </c>
      <c r="D2137" t="s">
        <v>1338</v>
      </c>
      <c r="E2137">
        <v>8</v>
      </c>
      <c r="F2137" t="s">
        <v>2703</v>
      </c>
      <c r="G2137">
        <v>2022</v>
      </c>
      <c r="H2137" t="s">
        <v>866</v>
      </c>
      <c r="I2137" t="s">
        <v>866</v>
      </c>
      <c r="J2137">
        <v>799</v>
      </c>
      <c r="K2137">
        <v>205</v>
      </c>
      <c r="L2137">
        <f t="shared" si="536"/>
        <v>594</v>
      </c>
      <c r="M2137">
        <v>240</v>
      </c>
      <c r="N2137">
        <f t="shared" si="537"/>
        <v>354</v>
      </c>
    </row>
    <row r="2138" spans="1:14" x14ac:dyDescent="0.2">
      <c r="A2138" t="s">
        <v>2842</v>
      </c>
      <c r="B2138" s="1" t="s">
        <v>2839</v>
      </c>
      <c r="C2138" t="s">
        <v>14</v>
      </c>
      <c r="D2138" t="s">
        <v>1630</v>
      </c>
      <c r="E2138">
        <v>8</v>
      </c>
      <c r="F2138" t="s">
        <v>2703</v>
      </c>
      <c r="G2138">
        <v>2022</v>
      </c>
      <c r="H2138" t="s">
        <v>2843</v>
      </c>
      <c r="I2138" t="s">
        <v>163</v>
      </c>
      <c r="J2138">
        <v>799</v>
      </c>
      <c r="K2138">
        <v>205</v>
      </c>
      <c r="L2138">
        <f t="shared" si="536"/>
        <v>594</v>
      </c>
      <c r="M2138">
        <v>240</v>
      </c>
      <c r="N2138">
        <f t="shared" si="537"/>
        <v>354</v>
      </c>
    </row>
    <row r="2139" spans="1:14" x14ac:dyDescent="0.2">
      <c r="A2139" t="s">
        <v>2844</v>
      </c>
      <c r="B2139" s="1" t="s">
        <v>2839</v>
      </c>
      <c r="C2139" t="s">
        <v>14</v>
      </c>
      <c r="D2139" t="s">
        <v>477</v>
      </c>
      <c r="E2139">
        <v>8</v>
      </c>
      <c r="F2139" t="s">
        <v>2703</v>
      </c>
      <c r="G2139">
        <v>2022</v>
      </c>
      <c r="H2139" t="s">
        <v>2845</v>
      </c>
      <c r="I2139" t="s">
        <v>85</v>
      </c>
      <c r="J2139">
        <v>854.05</v>
      </c>
      <c r="K2139">
        <v>270</v>
      </c>
      <c r="L2139">
        <f t="shared" si="536"/>
        <v>584.04999999999995</v>
      </c>
      <c r="M2139">
        <v>240</v>
      </c>
      <c r="N2139">
        <f t="shared" si="537"/>
        <v>344.04999999999995</v>
      </c>
    </row>
    <row r="2140" spans="1:14" x14ac:dyDescent="0.2">
      <c r="A2140" t="s">
        <v>2846</v>
      </c>
      <c r="B2140" s="1" t="s">
        <v>2839</v>
      </c>
      <c r="C2140" t="s">
        <v>14</v>
      </c>
      <c r="D2140" t="s">
        <v>1233</v>
      </c>
      <c r="E2140">
        <v>8</v>
      </c>
      <c r="F2140" t="s">
        <v>2703</v>
      </c>
      <c r="G2140">
        <v>2022</v>
      </c>
      <c r="H2140" t="s">
        <v>359</v>
      </c>
      <c r="I2140" t="s">
        <v>85</v>
      </c>
      <c r="J2140">
        <v>799</v>
      </c>
      <c r="K2140">
        <v>205</v>
      </c>
      <c r="L2140">
        <f t="shared" si="536"/>
        <v>594</v>
      </c>
      <c r="M2140">
        <v>240</v>
      </c>
      <c r="N2140">
        <f t="shared" si="537"/>
        <v>354</v>
      </c>
    </row>
    <row r="2141" spans="1:14" x14ac:dyDescent="0.2">
      <c r="A2141" t="s">
        <v>2847</v>
      </c>
      <c r="B2141" s="1" t="s">
        <v>2839</v>
      </c>
      <c r="C2141" t="s">
        <v>14</v>
      </c>
      <c r="D2141" t="s">
        <v>445</v>
      </c>
      <c r="E2141">
        <v>8</v>
      </c>
      <c r="F2141" t="s">
        <v>2703</v>
      </c>
      <c r="G2141">
        <v>2022</v>
      </c>
      <c r="H2141" t="s">
        <v>46</v>
      </c>
      <c r="I2141" t="s">
        <v>23</v>
      </c>
      <c r="J2141">
        <v>899</v>
      </c>
      <c r="K2141">
        <v>295</v>
      </c>
      <c r="L2141">
        <f t="shared" si="536"/>
        <v>604</v>
      </c>
      <c r="M2141">
        <v>240</v>
      </c>
      <c r="N2141">
        <f t="shared" si="537"/>
        <v>364</v>
      </c>
    </row>
    <row r="2142" spans="1:14" x14ac:dyDescent="0.2">
      <c r="A2142" t="s">
        <v>2848</v>
      </c>
      <c r="B2142" s="1" t="s">
        <v>2807</v>
      </c>
      <c r="C2142" t="s">
        <v>14</v>
      </c>
      <c r="D2142" t="s">
        <v>812</v>
      </c>
      <c r="E2142">
        <v>7</v>
      </c>
      <c r="F2142" t="s">
        <v>2703</v>
      </c>
      <c r="G2142">
        <v>2022</v>
      </c>
      <c r="H2142" t="s">
        <v>2849</v>
      </c>
      <c r="I2142" t="s">
        <v>212</v>
      </c>
      <c r="J2142">
        <v>949.05</v>
      </c>
      <c r="K2142">
        <v>306</v>
      </c>
      <c r="L2142">
        <f t="shared" si="536"/>
        <v>643.04999999999995</v>
      </c>
      <c r="M2142">
        <v>240</v>
      </c>
      <c r="N2142">
        <f t="shared" si="537"/>
        <v>403.04999999999995</v>
      </c>
    </row>
    <row r="2143" spans="1:14" x14ac:dyDescent="0.2">
      <c r="A2143" t="s">
        <v>2850</v>
      </c>
      <c r="B2143" s="1" t="s">
        <v>2807</v>
      </c>
      <c r="C2143" t="s">
        <v>14</v>
      </c>
      <c r="D2143" t="s">
        <v>840</v>
      </c>
      <c r="E2143">
        <v>7</v>
      </c>
      <c r="F2143" t="s">
        <v>2703</v>
      </c>
      <c r="G2143">
        <v>2022</v>
      </c>
      <c r="H2143" t="s">
        <v>246</v>
      </c>
      <c r="I2143" t="s">
        <v>58</v>
      </c>
      <c r="J2143">
        <v>999</v>
      </c>
      <c r="K2143">
        <v>325</v>
      </c>
      <c r="L2143">
        <f t="shared" si="536"/>
        <v>674</v>
      </c>
      <c r="M2143">
        <v>240</v>
      </c>
      <c r="N2143">
        <f t="shared" si="537"/>
        <v>434</v>
      </c>
    </row>
    <row r="2144" spans="1:14" x14ac:dyDescent="0.2">
      <c r="A2144" t="s">
        <v>2851</v>
      </c>
      <c r="B2144" s="1" t="s">
        <v>2839</v>
      </c>
      <c r="C2144" t="s">
        <v>14</v>
      </c>
      <c r="D2144" t="s">
        <v>1386</v>
      </c>
      <c r="E2144">
        <v>8</v>
      </c>
      <c r="F2144" t="s">
        <v>2703</v>
      </c>
      <c r="G2144">
        <v>2022</v>
      </c>
      <c r="H2144" t="s">
        <v>2852</v>
      </c>
      <c r="I2144" t="s">
        <v>253</v>
      </c>
      <c r="J2144">
        <v>799</v>
      </c>
      <c r="K2144">
        <v>205</v>
      </c>
      <c r="L2144">
        <f t="shared" si="536"/>
        <v>594</v>
      </c>
      <c r="M2144">
        <v>240</v>
      </c>
      <c r="N2144">
        <f t="shared" si="537"/>
        <v>354</v>
      </c>
    </row>
    <row r="2145" spans="1:14" x14ac:dyDescent="0.2">
      <c r="A2145" t="s">
        <v>2853</v>
      </c>
      <c r="B2145" s="1" t="s">
        <v>2839</v>
      </c>
      <c r="C2145" t="s">
        <v>14</v>
      </c>
      <c r="D2145" t="s">
        <v>977</v>
      </c>
      <c r="E2145">
        <v>8</v>
      </c>
      <c r="F2145" t="s">
        <v>2703</v>
      </c>
      <c r="G2145">
        <v>2022</v>
      </c>
      <c r="H2145" t="s">
        <v>246</v>
      </c>
      <c r="I2145" t="s">
        <v>58</v>
      </c>
      <c r="J2145">
        <v>799</v>
      </c>
      <c r="K2145">
        <v>205</v>
      </c>
      <c r="L2145">
        <f t="shared" si="536"/>
        <v>594</v>
      </c>
      <c r="M2145">
        <v>240</v>
      </c>
      <c r="N2145">
        <f t="shared" si="537"/>
        <v>354</v>
      </c>
    </row>
    <row r="2146" spans="1:14" x14ac:dyDescent="0.2">
      <c r="A2146" t="s">
        <v>2854</v>
      </c>
      <c r="B2146" s="1" t="s">
        <v>2839</v>
      </c>
      <c r="C2146" t="s">
        <v>14</v>
      </c>
      <c r="D2146" t="s">
        <v>448</v>
      </c>
      <c r="E2146">
        <v>8</v>
      </c>
      <c r="F2146" t="s">
        <v>2703</v>
      </c>
      <c r="G2146">
        <v>2022</v>
      </c>
      <c r="H2146" t="s">
        <v>929</v>
      </c>
      <c r="I2146" t="s">
        <v>144</v>
      </c>
      <c r="J2146">
        <v>854.05</v>
      </c>
      <c r="K2146">
        <v>270</v>
      </c>
      <c r="L2146">
        <f t="shared" si="536"/>
        <v>584.04999999999995</v>
      </c>
      <c r="M2146">
        <v>240</v>
      </c>
      <c r="N2146">
        <f t="shared" si="537"/>
        <v>344.04999999999995</v>
      </c>
    </row>
    <row r="2147" spans="1:14" x14ac:dyDescent="0.2">
      <c r="A2147" t="s">
        <v>2855</v>
      </c>
      <c r="B2147" s="1" t="s">
        <v>2839</v>
      </c>
      <c r="C2147" t="s">
        <v>14</v>
      </c>
      <c r="D2147" t="s">
        <v>840</v>
      </c>
      <c r="E2147">
        <v>8</v>
      </c>
      <c r="F2147" t="s">
        <v>2703</v>
      </c>
      <c r="G2147">
        <v>2022</v>
      </c>
      <c r="H2147" t="s">
        <v>838</v>
      </c>
      <c r="I2147" t="s">
        <v>253</v>
      </c>
      <c r="J2147">
        <v>999</v>
      </c>
      <c r="K2147">
        <v>325</v>
      </c>
      <c r="L2147">
        <f t="shared" si="536"/>
        <v>674</v>
      </c>
      <c r="M2147">
        <v>240</v>
      </c>
      <c r="N2147">
        <f t="shared" si="537"/>
        <v>434</v>
      </c>
    </row>
    <row r="2148" spans="1:14" x14ac:dyDescent="0.2">
      <c r="A2148" t="s">
        <v>2855</v>
      </c>
      <c r="B2148" s="1" t="s">
        <v>2839</v>
      </c>
      <c r="C2148" t="s">
        <v>14</v>
      </c>
      <c r="D2148" t="s">
        <v>893</v>
      </c>
      <c r="E2148">
        <v>8</v>
      </c>
      <c r="F2148" t="s">
        <v>2703</v>
      </c>
      <c r="G2148">
        <v>2022</v>
      </c>
      <c r="H2148" t="s">
        <v>838</v>
      </c>
      <c r="I2148" t="s">
        <v>253</v>
      </c>
      <c r="J2148">
        <v>849</v>
      </c>
      <c r="K2148">
        <v>250</v>
      </c>
      <c r="L2148">
        <f t="shared" si="536"/>
        <v>599</v>
      </c>
      <c r="M2148">
        <v>240</v>
      </c>
      <c r="N2148">
        <f t="shared" si="537"/>
        <v>359</v>
      </c>
    </row>
    <row r="2149" spans="1:14" x14ac:dyDescent="0.2">
      <c r="A2149" t="s">
        <v>2856</v>
      </c>
      <c r="B2149" s="1" t="s">
        <v>2839</v>
      </c>
      <c r="C2149" t="s">
        <v>14</v>
      </c>
      <c r="D2149" t="s">
        <v>81</v>
      </c>
      <c r="E2149">
        <v>8</v>
      </c>
      <c r="F2149" t="s">
        <v>2703</v>
      </c>
      <c r="G2149">
        <v>2022</v>
      </c>
      <c r="H2149" t="s">
        <v>2133</v>
      </c>
      <c r="I2149" t="s">
        <v>122</v>
      </c>
      <c r="J2149">
        <v>849</v>
      </c>
      <c r="K2149">
        <v>250</v>
      </c>
      <c r="L2149">
        <f t="shared" si="536"/>
        <v>599</v>
      </c>
      <c r="M2149">
        <v>240</v>
      </c>
      <c r="N2149">
        <f t="shared" si="537"/>
        <v>359</v>
      </c>
    </row>
    <row r="2150" spans="1:14" x14ac:dyDescent="0.2">
      <c r="A2150" t="s">
        <v>2857</v>
      </c>
      <c r="B2150" s="1" t="s">
        <v>2837</v>
      </c>
      <c r="C2150" t="s">
        <v>14</v>
      </c>
      <c r="D2150" t="s">
        <v>1539</v>
      </c>
      <c r="E2150">
        <v>9</v>
      </c>
      <c r="F2150" t="s">
        <v>2703</v>
      </c>
      <c r="G2150">
        <v>2022</v>
      </c>
      <c r="H2150" t="s">
        <v>162</v>
      </c>
      <c r="I2150" t="s">
        <v>163</v>
      </c>
      <c r="J2150">
        <v>799</v>
      </c>
      <c r="K2150">
        <v>205</v>
      </c>
      <c r="L2150">
        <f t="shared" si="536"/>
        <v>594</v>
      </c>
      <c r="M2150">
        <v>240</v>
      </c>
      <c r="N2150">
        <f t="shared" si="537"/>
        <v>354</v>
      </c>
    </row>
    <row r="2151" spans="1:14" x14ac:dyDescent="0.2">
      <c r="A2151" t="s">
        <v>2858</v>
      </c>
      <c r="B2151" s="1" t="s">
        <v>2837</v>
      </c>
      <c r="C2151" t="s">
        <v>14</v>
      </c>
      <c r="D2151" t="s">
        <v>819</v>
      </c>
      <c r="E2151">
        <v>9</v>
      </c>
      <c r="F2151" t="s">
        <v>2703</v>
      </c>
      <c r="G2151">
        <v>2022</v>
      </c>
      <c r="H2151" t="s">
        <v>157</v>
      </c>
      <c r="I2151" t="s">
        <v>97</v>
      </c>
      <c r="J2151">
        <v>999</v>
      </c>
      <c r="K2151">
        <v>325</v>
      </c>
      <c r="L2151">
        <f t="shared" si="536"/>
        <v>674</v>
      </c>
      <c r="M2151">
        <v>240</v>
      </c>
      <c r="N2151">
        <f t="shared" si="537"/>
        <v>434</v>
      </c>
    </row>
    <row r="2152" spans="1:14" x14ac:dyDescent="0.2">
      <c r="A2152" t="s">
        <v>2859</v>
      </c>
      <c r="B2152" s="1" t="s">
        <v>2837</v>
      </c>
      <c r="C2152" t="s">
        <v>14</v>
      </c>
      <c r="D2152" t="s">
        <v>2860</v>
      </c>
      <c r="E2152">
        <v>9</v>
      </c>
      <c r="F2152" t="s">
        <v>2703</v>
      </c>
      <c r="G2152">
        <v>2022</v>
      </c>
      <c r="H2152" t="s">
        <v>2672</v>
      </c>
      <c r="I2152" t="s">
        <v>135</v>
      </c>
      <c r="J2152">
        <v>799</v>
      </c>
      <c r="K2152">
        <v>205</v>
      </c>
      <c r="L2152">
        <f t="shared" si="536"/>
        <v>594</v>
      </c>
      <c r="M2152">
        <v>240</v>
      </c>
      <c r="N2152">
        <f t="shared" si="537"/>
        <v>354</v>
      </c>
    </row>
    <row r="2153" spans="1:14" x14ac:dyDescent="0.2">
      <c r="A2153" t="s">
        <v>2861</v>
      </c>
      <c r="B2153" s="1" t="s">
        <v>2837</v>
      </c>
      <c r="C2153" t="s">
        <v>14</v>
      </c>
      <c r="D2153" t="s">
        <v>379</v>
      </c>
      <c r="E2153">
        <v>9</v>
      </c>
      <c r="F2153" t="s">
        <v>2703</v>
      </c>
      <c r="G2153">
        <v>2022</v>
      </c>
      <c r="H2153" t="s">
        <v>2154</v>
      </c>
      <c r="I2153" t="s">
        <v>23</v>
      </c>
      <c r="J2153">
        <v>759.05</v>
      </c>
      <c r="K2153">
        <v>202</v>
      </c>
      <c r="L2153">
        <f t="shared" si="536"/>
        <v>557.04999999999995</v>
      </c>
      <c r="M2153">
        <v>240</v>
      </c>
      <c r="N2153">
        <f t="shared" si="537"/>
        <v>317.04999999999995</v>
      </c>
    </row>
    <row r="2154" spans="1:14" x14ac:dyDescent="0.2">
      <c r="A2154" t="s">
        <v>2862</v>
      </c>
      <c r="B2154" s="1" t="s">
        <v>2837</v>
      </c>
      <c r="C2154" t="s">
        <v>14</v>
      </c>
      <c r="D2154" t="s">
        <v>445</v>
      </c>
      <c r="E2154">
        <v>9</v>
      </c>
      <c r="F2154" t="s">
        <v>2703</v>
      </c>
      <c r="G2154">
        <v>2022</v>
      </c>
      <c r="H2154" t="s">
        <v>2576</v>
      </c>
      <c r="I2154" t="s">
        <v>62</v>
      </c>
      <c r="J2154">
        <v>899</v>
      </c>
      <c r="K2154">
        <v>295</v>
      </c>
      <c r="L2154">
        <f t="shared" si="536"/>
        <v>604</v>
      </c>
      <c r="M2154">
        <v>240</v>
      </c>
      <c r="N2154">
        <f t="shared" si="537"/>
        <v>364</v>
      </c>
    </row>
    <row r="2155" spans="1:14" x14ac:dyDescent="0.2">
      <c r="A2155" t="s">
        <v>2863</v>
      </c>
      <c r="B2155" s="1" t="s">
        <v>2837</v>
      </c>
      <c r="C2155" t="s">
        <v>14</v>
      </c>
      <c r="D2155" t="s">
        <v>1338</v>
      </c>
      <c r="E2155">
        <v>9</v>
      </c>
      <c r="F2155" t="s">
        <v>2703</v>
      </c>
      <c r="G2155">
        <v>2022</v>
      </c>
      <c r="H2155" t="s">
        <v>2864</v>
      </c>
      <c r="I2155" t="s">
        <v>135</v>
      </c>
      <c r="J2155">
        <v>799</v>
      </c>
      <c r="K2155">
        <v>205</v>
      </c>
      <c r="L2155">
        <f t="shared" si="536"/>
        <v>594</v>
      </c>
      <c r="M2155">
        <v>240</v>
      </c>
      <c r="N2155">
        <f t="shared" si="537"/>
        <v>354</v>
      </c>
    </row>
    <row r="2156" spans="1:14" x14ac:dyDescent="0.2">
      <c r="A2156" t="s">
        <v>2865</v>
      </c>
      <c r="B2156" s="1" t="s">
        <v>2837</v>
      </c>
      <c r="C2156" t="s">
        <v>14</v>
      </c>
      <c r="D2156" t="s">
        <v>548</v>
      </c>
      <c r="E2156">
        <v>9</v>
      </c>
      <c r="F2156" t="s">
        <v>2703</v>
      </c>
      <c r="G2156">
        <v>2022</v>
      </c>
      <c r="H2156" t="s">
        <v>2866</v>
      </c>
      <c r="I2156" t="s">
        <v>376</v>
      </c>
      <c r="J2156">
        <v>899</v>
      </c>
      <c r="K2156">
        <v>295</v>
      </c>
      <c r="L2156">
        <f t="shared" si="536"/>
        <v>604</v>
      </c>
      <c r="M2156">
        <v>240</v>
      </c>
      <c r="N2156">
        <f t="shared" si="537"/>
        <v>364</v>
      </c>
    </row>
    <row r="2157" spans="1:14" x14ac:dyDescent="0.2">
      <c r="A2157" t="s">
        <v>2838</v>
      </c>
      <c r="B2157" s="1" t="s">
        <v>2837</v>
      </c>
      <c r="C2157" t="s">
        <v>14</v>
      </c>
      <c r="D2157" t="s">
        <v>840</v>
      </c>
      <c r="E2157">
        <v>9</v>
      </c>
      <c r="F2157" t="s">
        <v>2703</v>
      </c>
      <c r="G2157">
        <v>2022</v>
      </c>
      <c r="H2157" t="s">
        <v>246</v>
      </c>
      <c r="I2157" t="s">
        <v>58</v>
      </c>
      <c r="J2157">
        <v>999</v>
      </c>
      <c r="K2157">
        <v>325</v>
      </c>
      <c r="L2157">
        <f t="shared" si="536"/>
        <v>674</v>
      </c>
      <c r="M2157">
        <v>240</v>
      </c>
      <c r="N2157">
        <f t="shared" si="537"/>
        <v>434</v>
      </c>
    </row>
    <row r="2158" spans="1:14" x14ac:dyDescent="0.2">
      <c r="A2158" t="s">
        <v>2808</v>
      </c>
      <c r="B2158" s="1" t="s">
        <v>2807</v>
      </c>
      <c r="C2158" t="s">
        <v>106</v>
      </c>
      <c r="D2158" t="s">
        <v>1386</v>
      </c>
      <c r="E2158">
        <v>7</v>
      </c>
      <c r="F2158" t="s">
        <v>2703</v>
      </c>
      <c r="G2158">
        <v>2022</v>
      </c>
      <c r="H2158" t="s">
        <v>314</v>
      </c>
      <c r="I2158" t="s">
        <v>58</v>
      </c>
      <c r="J2158">
        <v>-799</v>
      </c>
      <c r="K2158">
        <v>320</v>
      </c>
      <c r="L2158">
        <f>J2158+K2158</f>
        <v>-479</v>
      </c>
      <c r="M2158">
        <v>240</v>
      </c>
      <c r="N2158">
        <f>L2158+M2158</f>
        <v>-239</v>
      </c>
    </row>
    <row r="2159" spans="1:14" x14ac:dyDescent="0.2">
      <c r="A2159" t="s">
        <v>2868</v>
      </c>
      <c r="B2159" s="1" t="s">
        <v>2867</v>
      </c>
      <c r="C2159" t="s">
        <v>43</v>
      </c>
      <c r="D2159" t="s">
        <v>573</v>
      </c>
      <c r="E2159">
        <v>10</v>
      </c>
      <c r="F2159" t="s">
        <v>2703</v>
      </c>
      <c r="G2159">
        <v>2022</v>
      </c>
      <c r="H2159" t="s">
        <v>173</v>
      </c>
      <c r="I2159" t="s">
        <v>62</v>
      </c>
      <c r="J2159">
        <v>0</v>
      </c>
      <c r="K2159">
        <v>0</v>
      </c>
      <c r="L2159">
        <v>0</v>
      </c>
      <c r="M2159">
        <v>0</v>
      </c>
      <c r="N2159">
        <v>0</v>
      </c>
    </row>
    <row r="2160" spans="1:14" x14ac:dyDescent="0.2">
      <c r="A2160" t="s">
        <v>2855</v>
      </c>
      <c r="B2160" s="1" t="s">
        <v>2839</v>
      </c>
      <c r="C2160" t="s">
        <v>106</v>
      </c>
      <c r="D2160" t="s">
        <v>893</v>
      </c>
      <c r="E2160">
        <v>8</v>
      </c>
      <c r="F2160" t="s">
        <v>2703</v>
      </c>
      <c r="G2160">
        <v>2022</v>
      </c>
      <c r="H2160" t="s">
        <v>838</v>
      </c>
      <c r="I2160" t="s">
        <v>253</v>
      </c>
      <c r="J2160">
        <v>-849</v>
      </c>
      <c r="K2160">
        <v>345</v>
      </c>
      <c r="L2160">
        <f t="shared" ref="L2160:L2162" si="538">J2160+K2160</f>
        <v>-504</v>
      </c>
      <c r="M2160">
        <v>240</v>
      </c>
      <c r="N2160">
        <f t="shared" ref="N2160:N2162" si="539">L2160+M2160</f>
        <v>-264</v>
      </c>
    </row>
    <row r="2161" spans="1:14" x14ac:dyDescent="0.2">
      <c r="A2161" t="s">
        <v>2855</v>
      </c>
      <c r="B2161" s="1" t="s">
        <v>2839</v>
      </c>
      <c r="C2161" t="s">
        <v>106</v>
      </c>
      <c r="D2161" t="s">
        <v>840</v>
      </c>
      <c r="E2161">
        <v>8</v>
      </c>
      <c r="F2161" t="s">
        <v>2703</v>
      </c>
      <c r="G2161">
        <v>2022</v>
      </c>
      <c r="H2161" t="s">
        <v>838</v>
      </c>
      <c r="I2161" t="s">
        <v>253</v>
      </c>
      <c r="J2161">
        <v>-999</v>
      </c>
      <c r="K2161">
        <v>395</v>
      </c>
      <c r="L2161">
        <f t="shared" si="538"/>
        <v>-604</v>
      </c>
      <c r="M2161">
        <v>240</v>
      </c>
      <c r="N2161">
        <f t="shared" si="539"/>
        <v>-364</v>
      </c>
    </row>
    <row r="2162" spans="1:14" x14ac:dyDescent="0.2">
      <c r="A2162" t="s">
        <v>2780</v>
      </c>
      <c r="B2162" s="1" t="s">
        <v>2756</v>
      </c>
      <c r="C2162" t="s">
        <v>106</v>
      </c>
      <c r="D2162" t="s">
        <v>504</v>
      </c>
      <c r="E2162">
        <v>5</v>
      </c>
      <c r="F2162" t="s">
        <v>2703</v>
      </c>
      <c r="G2162">
        <v>2022</v>
      </c>
      <c r="H2162" t="s">
        <v>1774</v>
      </c>
      <c r="I2162" t="s">
        <v>122</v>
      </c>
      <c r="J2162">
        <v>-899</v>
      </c>
      <c r="K2162">
        <v>375</v>
      </c>
      <c r="L2162">
        <f t="shared" si="538"/>
        <v>-524</v>
      </c>
      <c r="M2162">
        <v>240</v>
      </c>
      <c r="N2162">
        <f t="shared" si="539"/>
        <v>-284</v>
      </c>
    </row>
    <row r="2163" spans="1:14" x14ac:dyDescent="0.2">
      <c r="A2163" t="s">
        <v>2869</v>
      </c>
      <c r="B2163" s="1" t="s">
        <v>2867</v>
      </c>
      <c r="C2163" t="s">
        <v>43</v>
      </c>
      <c r="D2163" t="s">
        <v>993</v>
      </c>
      <c r="E2163">
        <v>10</v>
      </c>
      <c r="F2163" t="s">
        <v>2703</v>
      </c>
      <c r="G2163">
        <v>2022</v>
      </c>
      <c r="H2163" t="s">
        <v>2870</v>
      </c>
      <c r="I2163" t="s">
        <v>160</v>
      </c>
      <c r="J2163">
        <v>0</v>
      </c>
      <c r="K2163">
        <v>0</v>
      </c>
      <c r="L2163">
        <v>0</v>
      </c>
      <c r="M2163">
        <v>0</v>
      </c>
      <c r="N2163">
        <v>0</v>
      </c>
    </row>
    <row r="2164" spans="1:14" x14ac:dyDescent="0.2">
      <c r="A2164" t="s">
        <v>2871</v>
      </c>
      <c r="B2164" s="1" t="s">
        <v>2867</v>
      </c>
      <c r="C2164" t="s">
        <v>43</v>
      </c>
      <c r="D2164" t="s">
        <v>379</v>
      </c>
      <c r="E2164">
        <v>10</v>
      </c>
      <c r="F2164" t="s">
        <v>2703</v>
      </c>
      <c r="G2164">
        <v>2022</v>
      </c>
      <c r="H2164" t="s">
        <v>874</v>
      </c>
      <c r="I2164" t="s">
        <v>58</v>
      </c>
      <c r="J2164">
        <v>0</v>
      </c>
      <c r="K2164">
        <v>0</v>
      </c>
      <c r="L2164">
        <v>0</v>
      </c>
      <c r="M2164">
        <v>0</v>
      </c>
      <c r="N2164">
        <v>0</v>
      </c>
    </row>
    <row r="2165" spans="1:14" x14ac:dyDescent="0.2">
      <c r="A2165" t="s">
        <v>2872</v>
      </c>
      <c r="B2165" s="1" t="s">
        <v>2867</v>
      </c>
      <c r="C2165" t="s">
        <v>14</v>
      </c>
      <c r="D2165" t="s">
        <v>448</v>
      </c>
      <c r="E2165">
        <v>10</v>
      </c>
      <c r="F2165" t="s">
        <v>2703</v>
      </c>
      <c r="G2165">
        <v>2022</v>
      </c>
      <c r="H2165" t="s">
        <v>497</v>
      </c>
      <c r="I2165" t="s">
        <v>2020</v>
      </c>
      <c r="J2165">
        <v>899</v>
      </c>
      <c r="K2165">
        <v>295</v>
      </c>
      <c r="L2165">
        <f t="shared" ref="L2165:L2176" si="540">J2165-K2165</f>
        <v>604</v>
      </c>
      <c r="M2165">
        <v>240</v>
      </c>
      <c r="N2165">
        <f t="shared" ref="N2165:N2176" si="541">L2165-M2165</f>
        <v>364</v>
      </c>
    </row>
    <row r="2166" spans="1:14" x14ac:dyDescent="0.2">
      <c r="A2166" t="s">
        <v>2873</v>
      </c>
      <c r="B2166" s="1" t="s">
        <v>2867</v>
      </c>
      <c r="C2166" t="s">
        <v>14</v>
      </c>
      <c r="D2166" t="s">
        <v>809</v>
      </c>
      <c r="E2166">
        <v>10</v>
      </c>
      <c r="F2166" t="s">
        <v>2703</v>
      </c>
      <c r="G2166">
        <v>2022</v>
      </c>
      <c r="H2166" t="s">
        <v>84</v>
      </c>
      <c r="I2166" t="s">
        <v>85</v>
      </c>
      <c r="J2166">
        <v>949.05</v>
      </c>
      <c r="K2166">
        <v>306</v>
      </c>
      <c r="L2166">
        <f t="shared" si="540"/>
        <v>643.04999999999995</v>
      </c>
      <c r="M2166">
        <v>240</v>
      </c>
      <c r="N2166">
        <f t="shared" si="541"/>
        <v>403.04999999999995</v>
      </c>
    </row>
    <row r="2167" spans="1:14" x14ac:dyDescent="0.2">
      <c r="A2167" t="s">
        <v>2874</v>
      </c>
      <c r="B2167" s="1" t="s">
        <v>2867</v>
      </c>
      <c r="C2167" t="s">
        <v>14</v>
      </c>
      <c r="D2167" t="s">
        <v>425</v>
      </c>
      <c r="E2167">
        <v>10</v>
      </c>
      <c r="F2167" t="s">
        <v>2703</v>
      </c>
      <c r="G2167">
        <v>2022</v>
      </c>
      <c r="H2167" t="s">
        <v>1276</v>
      </c>
      <c r="I2167" t="s">
        <v>85</v>
      </c>
      <c r="J2167">
        <v>799</v>
      </c>
      <c r="K2167">
        <v>205</v>
      </c>
      <c r="L2167">
        <f t="shared" si="540"/>
        <v>594</v>
      </c>
      <c r="M2167">
        <v>240</v>
      </c>
      <c r="N2167">
        <f t="shared" si="541"/>
        <v>354</v>
      </c>
    </row>
    <row r="2168" spans="1:14" x14ac:dyDescent="0.2">
      <c r="A2168" t="s">
        <v>2875</v>
      </c>
      <c r="B2168" s="1" t="s">
        <v>2867</v>
      </c>
      <c r="C2168" t="s">
        <v>14</v>
      </c>
      <c r="D2168" t="s">
        <v>448</v>
      </c>
      <c r="E2168">
        <v>10</v>
      </c>
      <c r="F2168" t="s">
        <v>2703</v>
      </c>
      <c r="G2168">
        <v>2022</v>
      </c>
      <c r="H2168" t="s">
        <v>2576</v>
      </c>
      <c r="I2168" t="s">
        <v>62</v>
      </c>
      <c r="J2168">
        <v>899</v>
      </c>
      <c r="K2168">
        <v>295</v>
      </c>
      <c r="L2168">
        <f t="shared" si="540"/>
        <v>604</v>
      </c>
      <c r="M2168">
        <v>240</v>
      </c>
      <c r="N2168">
        <f t="shared" si="541"/>
        <v>364</v>
      </c>
    </row>
    <row r="2169" spans="1:14" x14ac:dyDescent="0.2">
      <c r="A2169" t="s">
        <v>2876</v>
      </c>
      <c r="B2169" s="1" t="s">
        <v>2867</v>
      </c>
      <c r="C2169" t="s">
        <v>14</v>
      </c>
      <c r="D2169" t="s">
        <v>1263</v>
      </c>
      <c r="E2169">
        <v>10</v>
      </c>
      <c r="F2169" t="s">
        <v>2703</v>
      </c>
      <c r="G2169">
        <v>2022</v>
      </c>
      <c r="H2169" t="s">
        <v>31</v>
      </c>
      <c r="I2169" t="s">
        <v>32</v>
      </c>
      <c r="J2169">
        <v>849</v>
      </c>
      <c r="K2169">
        <v>250</v>
      </c>
      <c r="L2169">
        <f t="shared" si="540"/>
        <v>599</v>
      </c>
      <c r="M2169">
        <v>240</v>
      </c>
      <c r="N2169">
        <f t="shared" si="541"/>
        <v>359</v>
      </c>
    </row>
    <row r="2170" spans="1:14" x14ac:dyDescent="0.2">
      <c r="A2170" t="s">
        <v>2877</v>
      </c>
      <c r="B2170" s="1" t="s">
        <v>2867</v>
      </c>
      <c r="C2170" t="s">
        <v>14</v>
      </c>
      <c r="D2170" t="s">
        <v>822</v>
      </c>
      <c r="E2170">
        <v>10</v>
      </c>
      <c r="F2170" t="s">
        <v>2703</v>
      </c>
      <c r="G2170">
        <v>2022</v>
      </c>
      <c r="H2170" t="s">
        <v>519</v>
      </c>
      <c r="I2170" t="s">
        <v>58</v>
      </c>
      <c r="J2170">
        <v>849</v>
      </c>
      <c r="K2170">
        <v>250</v>
      </c>
      <c r="L2170">
        <f t="shared" si="540"/>
        <v>599</v>
      </c>
      <c r="M2170">
        <v>240</v>
      </c>
      <c r="N2170">
        <f t="shared" si="541"/>
        <v>359</v>
      </c>
    </row>
    <row r="2171" spans="1:14" x14ac:dyDescent="0.2">
      <c r="A2171" t="s">
        <v>2877</v>
      </c>
      <c r="B2171" s="1" t="s">
        <v>2867</v>
      </c>
      <c r="C2171" t="s">
        <v>14</v>
      </c>
      <c r="D2171" t="s">
        <v>895</v>
      </c>
      <c r="E2171">
        <v>10</v>
      </c>
      <c r="F2171" t="s">
        <v>2703</v>
      </c>
      <c r="G2171">
        <v>2022</v>
      </c>
      <c r="H2171" t="s">
        <v>519</v>
      </c>
      <c r="I2171" t="s">
        <v>58</v>
      </c>
      <c r="J2171">
        <v>849</v>
      </c>
      <c r="K2171">
        <v>250</v>
      </c>
      <c r="L2171">
        <f t="shared" si="540"/>
        <v>599</v>
      </c>
      <c r="M2171">
        <v>240</v>
      </c>
      <c r="N2171">
        <f t="shared" si="541"/>
        <v>359</v>
      </c>
    </row>
    <row r="2172" spans="1:14" x14ac:dyDescent="0.2">
      <c r="A2172" t="s">
        <v>2878</v>
      </c>
      <c r="B2172" s="1" t="s">
        <v>2867</v>
      </c>
      <c r="C2172" t="s">
        <v>14</v>
      </c>
      <c r="D2172" t="s">
        <v>890</v>
      </c>
      <c r="E2172">
        <v>10</v>
      </c>
      <c r="F2172" t="s">
        <v>2703</v>
      </c>
      <c r="G2172">
        <v>2022</v>
      </c>
      <c r="H2172" t="s">
        <v>246</v>
      </c>
      <c r="I2172" t="s">
        <v>58</v>
      </c>
      <c r="J2172">
        <v>849</v>
      </c>
      <c r="K2172">
        <v>250</v>
      </c>
      <c r="L2172">
        <f t="shared" si="540"/>
        <v>599</v>
      </c>
      <c r="M2172">
        <v>240</v>
      </c>
      <c r="N2172">
        <f t="shared" si="541"/>
        <v>359</v>
      </c>
    </row>
    <row r="2173" spans="1:14" x14ac:dyDescent="0.2">
      <c r="A2173" t="s">
        <v>2879</v>
      </c>
      <c r="B2173" s="1" t="s">
        <v>2867</v>
      </c>
      <c r="C2173" t="s">
        <v>14</v>
      </c>
      <c r="D2173" t="s">
        <v>881</v>
      </c>
      <c r="E2173">
        <v>10</v>
      </c>
      <c r="F2173" t="s">
        <v>2703</v>
      </c>
      <c r="G2173">
        <v>2022</v>
      </c>
      <c r="H2173" t="s">
        <v>104</v>
      </c>
      <c r="I2173" t="s">
        <v>62</v>
      </c>
      <c r="J2173">
        <v>799</v>
      </c>
      <c r="K2173">
        <v>205</v>
      </c>
      <c r="L2173">
        <f t="shared" si="540"/>
        <v>594</v>
      </c>
      <c r="M2173">
        <v>240</v>
      </c>
      <c r="N2173">
        <f t="shared" si="541"/>
        <v>354</v>
      </c>
    </row>
    <row r="2174" spans="1:14" x14ac:dyDescent="0.2">
      <c r="A2174" t="s">
        <v>2880</v>
      </c>
      <c r="B2174" s="1" t="s">
        <v>2867</v>
      </c>
      <c r="C2174" t="s">
        <v>14</v>
      </c>
      <c r="D2174" t="s">
        <v>809</v>
      </c>
      <c r="E2174">
        <v>10</v>
      </c>
      <c r="F2174" t="s">
        <v>2703</v>
      </c>
      <c r="G2174">
        <v>2022</v>
      </c>
      <c r="H2174" t="s">
        <v>2881</v>
      </c>
      <c r="I2174" t="s">
        <v>62</v>
      </c>
      <c r="J2174">
        <v>999</v>
      </c>
      <c r="K2174">
        <v>325</v>
      </c>
      <c r="L2174">
        <f t="shared" si="540"/>
        <v>674</v>
      </c>
      <c r="M2174">
        <v>240</v>
      </c>
      <c r="N2174">
        <f t="shared" si="541"/>
        <v>434</v>
      </c>
    </row>
    <row r="2175" spans="1:14" x14ac:dyDescent="0.2">
      <c r="A2175" t="s">
        <v>2882</v>
      </c>
      <c r="B2175" s="1" t="s">
        <v>2867</v>
      </c>
      <c r="C2175" t="s">
        <v>14</v>
      </c>
      <c r="D2175" t="s">
        <v>379</v>
      </c>
      <c r="E2175">
        <v>10</v>
      </c>
      <c r="F2175" t="s">
        <v>2703</v>
      </c>
      <c r="G2175">
        <v>2022</v>
      </c>
      <c r="H2175" t="s">
        <v>2883</v>
      </c>
      <c r="I2175" t="s">
        <v>58</v>
      </c>
      <c r="J2175">
        <v>799</v>
      </c>
      <c r="K2175">
        <v>205</v>
      </c>
      <c r="L2175">
        <f t="shared" si="540"/>
        <v>594</v>
      </c>
      <c r="M2175">
        <v>240</v>
      </c>
      <c r="N2175">
        <f t="shared" si="541"/>
        <v>354</v>
      </c>
    </row>
    <row r="2176" spans="1:14" x14ac:dyDescent="0.2">
      <c r="A2176" t="s">
        <v>2884</v>
      </c>
      <c r="B2176" s="1" t="s">
        <v>2867</v>
      </c>
      <c r="C2176" t="s">
        <v>14</v>
      </c>
      <c r="D2176" t="s">
        <v>1010</v>
      </c>
      <c r="E2176">
        <v>10</v>
      </c>
      <c r="F2176" t="s">
        <v>2703</v>
      </c>
      <c r="G2176">
        <v>2022</v>
      </c>
      <c r="H2176" t="s">
        <v>2885</v>
      </c>
      <c r="I2176" t="s">
        <v>160</v>
      </c>
      <c r="J2176">
        <v>799</v>
      </c>
      <c r="K2176">
        <v>205</v>
      </c>
      <c r="L2176">
        <f t="shared" si="540"/>
        <v>594</v>
      </c>
      <c r="M2176">
        <v>240</v>
      </c>
      <c r="N2176">
        <f t="shared" si="541"/>
        <v>354</v>
      </c>
    </row>
    <row r="2177" spans="1:14" x14ac:dyDescent="0.2">
      <c r="A2177" t="s">
        <v>2887</v>
      </c>
      <c r="B2177" s="1" t="s">
        <v>2886</v>
      </c>
      <c r="C2177" t="s">
        <v>43</v>
      </c>
      <c r="D2177" t="s">
        <v>169</v>
      </c>
      <c r="E2177">
        <v>11</v>
      </c>
      <c r="F2177" t="s">
        <v>2703</v>
      </c>
      <c r="G2177">
        <v>2022</v>
      </c>
      <c r="H2177" t="s">
        <v>1525</v>
      </c>
      <c r="I2177" t="s">
        <v>85</v>
      </c>
      <c r="J2177">
        <v>0</v>
      </c>
      <c r="K2177">
        <v>0</v>
      </c>
      <c r="L2177">
        <v>0</v>
      </c>
      <c r="M2177">
        <v>0</v>
      </c>
      <c r="N2177">
        <v>0</v>
      </c>
    </row>
    <row r="2178" spans="1:14" x14ac:dyDescent="0.2">
      <c r="A2178" t="s">
        <v>2798</v>
      </c>
      <c r="B2178" s="1" t="s">
        <v>2773</v>
      </c>
      <c r="C2178" t="s">
        <v>106</v>
      </c>
      <c r="D2178" t="s">
        <v>117</v>
      </c>
      <c r="E2178">
        <v>6</v>
      </c>
      <c r="F2178" t="s">
        <v>2703</v>
      </c>
      <c r="G2178">
        <v>2022</v>
      </c>
      <c r="H2178" t="s">
        <v>246</v>
      </c>
      <c r="I2178" t="s">
        <v>58</v>
      </c>
      <c r="J2178">
        <v>-876.53</v>
      </c>
      <c r="K2178">
        <v>345</v>
      </c>
      <c r="L2178">
        <f t="shared" ref="L2178:L2180" si="542">J2178+K2178</f>
        <v>-531.53</v>
      </c>
      <c r="M2178">
        <v>240</v>
      </c>
      <c r="N2178">
        <f t="shared" ref="N2178:N2180" si="543">L2178+M2178</f>
        <v>-291.52999999999997</v>
      </c>
    </row>
    <row r="2179" spans="1:14" x14ac:dyDescent="0.2">
      <c r="A2179" t="s">
        <v>2873</v>
      </c>
      <c r="B2179" s="1" t="s">
        <v>2867</v>
      </c>
      <c r="C2179" t="s">
        <v>106</v>
      </c>
      <c r="D2179" t="s">
        <v>809</v>
      </c>
      <c r="E2179">
        <v>10</v>
      </c>
      <c r="F2179" t="s">
        <v>2703</v>
      </c>
      <c r="G2179">
        <v>2022</v>
      </c>
      <c r="H2179" t="s">
        <v>84</v>
      </c>
      <c r="I2179" t="s">
        <v>85</v>
      </c>
      <c r="J2179">
        <v>-949.05</v>
      </c>
      <c r="K2179">
        <v>395</v>
      </c>
      <c r="L2179">
        <f t="shared" si="542"/>
        <v>-554.04999999999995</v>
      </c>
      <c r="M2179">
        <v>240</v>
      </c>
      <c r="N2179">
        <f t="shared" si="543"/>
        <v>-314.04999999999995</v>
      </c>
    </row>
    <row r="2180" spans="1:14" x14ac:dyDescent="0.2">
      <c r="A2180" t="s">
        <v>2771</v>
      </c>
      <c r="B2180" s="1" t="s">
        <v>2756</v>
      </c>
      <c r="C2180" t="s">
        <v>106</v>
      </c>
      <c r="D2180" t="s">
        <v>573</v>
      </c>
      <c r="E2180">
        <v>5</v>
      </c>
      <c r="F2180" t="s">
        <v>2703</v>
      </c>
      <c r="G2180">
        <v>2022</v>
      </c>
      <c r="H2180" t="s">
        <v>104</v>
      </c>
      <c r="I2180" t="s">
        <v>62</v>
      </c>
      <c r="J2180">
        <v>-854.05</v>
      </c>
      <c r="K2180">
        <v>345</v>
      </c>
      <c r="L2180">
        <f t="shared" si="542"/>
        <v>-509.04999999999995</v>
      </c>
      <c r="M2180">
        <v>240</v>
      </c>
      <c r="N2180">
        <f t="shared" si="543"/>
        <v>-269.04999999999995</v>
      </c>
    </row>
    <row r="2181" spans="1:14" x14ac:dyDescent="0.2">
      <c r="A2181" t="s">
        <v>2888</v>
      </c>
      <c r="B2181" s="1" t="s">
        <v>2886</v>
      </c>
      <c r="C2181" t="s">
        <v>14</v>
      </c>
      <c r="D2181" t="s">
        <v>1212</v>
      </c>
      <c r="E2181">
        <v>11</v>
      </c>
      <c r="F2181" t="s">
        <v>2703</v>
      </c>
      <c r="G2181">
        <v>2022</v>
      </c>
      <c r="H2181" t="s">
        <v>2889</v>
      </c>
      <c r="I2181" t="s">
        <v>58</v>
      </c>
      <c r="J2181">
        <v>799</v>
      </c>
      <c r="K2181">
        <v>205</v>
      </c>
      <c r="L2181">
        <f t="shared" ref="L2181:L2190" si="544">J2181-K2181</f>
        <v>594</v>
      </c>
      <c r="M2181">
        <v>240</v>
      </c>
      <c r="N2181">
        <f t="shared" ref="N2181:N2190" si="545">L2181-M2181</f>
        <v>354</v>
      </c>
    </row>
    <row r="2182" spans="1:14" x14ac:dyDescent="0.2">
      <c r="A2182" t="s">
        <v>2890</v>
      </c>
      <c r="B2182" s="1" t="s">
        <v>2886</v>
      </c>
      <c r="C2182" t="s">
        <v>14</v>
      </c>
      <c r="D2182" t="s">
        <v>448</v>
      </c>
      <c r="E2182">
        <v>11</v>
      </c>
      <c r="F2182" t="s">
        <v>2703</v>
      </c>
      <c r="G2182">
        <v>2022</v>
      </c>
      <c r="H2182" t="s">
        <v>2891</v>
      </c>
      <c r="I2182" t="s">
        <v>28</v>
      </c>
      <c r="J2182">
        <v>899</v>
      </c>
      <c r="K2182">
        <v>295</v>
      </c>
      <c r="L2182">
        <f t="shared" si="544"/>
        <v>604</v>
      </c>
      <c r="M2182">
        <v>240</v>
      </c>
      <c r="N2182">
        <f t="shared" si="545"/>
        <v>364</v>
      </c>
    </row>
    <row r="2183" spans="1:14" x14ac:dyDescent="0.2">
      <c r="A2183" t="s">
        <v>2892</v>
      </c>
      <c r="B2183" s="1" t="s">
        <v>2886</v>
      </c>
      <c r="C2183" t="s">
        <v>14</v>
      </c>
      <c r="D2183" t="s">
        <v>448</v>
      </c>
      <c r="E2183">
        <v>11</v>
      </c>
      <c r="F2183" t="s">
        <v>2703</v>
      </c>
      <c r="G2183">
        <v>2022</v>
      </c>
      <c r="H2183" t="s">
        <v>170</v>
      </c>
      <c r="I2183" t="s">
        <v>171</v>
      </c>
      <c r="J2183">
        <v>854.05</v>
      </c>
      <c r="K2183">
        <v>270</v>
      </c>
      <c r="L2183">
        <f t="shared" si="544"/>
        <v>584.04999999999995</v>
      </c>
      <c r="M2183">
        <v>240</v>
      </c>
      <c r="N2183">
        <f t="shared" si="545"/>
        <v>344.04999999999995</v>
      </c>
    </row>
    <row r="2184" spans="1:14" x14ac:dyDescent="0.2">
      <c r="A2184" t="s">
        <v>2893</v>
      </c>
      <c r="B2184" s="1" t="s">
        <v>2886</v>
      </c>
      <c r="C2184" t="s">
        <v>14</v>
      </c>
      <c r="D2184" t="s">
        <v>2894</v>
      </c>
      <c r="E2184">
        <v>11</v>
      </c>
      <c r="F2184" t="s">
        <v>2703</v>
      </c>
      <c r="G2184">
        <v>2022</v>
      </c>
      <c r="H2184" t="s">
        <v>2895</v>
      </c>
      <c r="I2184" t="s">
        <v>32</v>
      </c>
      <c r="J2184">
        <v>799</v>
      </c>
      <c r="K2184">
        <v>205</v>
      </c>
      <c r="L2184">
        <f t="shared" si="544"/>
        <v>594</v>
      </c>
      <c r="M2184">
        <v>240</v>
      </c>
      <c r="N2184">
        <f t="shared" si="545"/>
        <v>354</v>
      </c>
    </row>
    <row r="2185" spans="1:14" x14ac:dyDescent="0.2">
      <c r="A2185" t="s">
        <v>2896</v>
      </c>
      <c r="B2185" s="1" t="s">
        <v>2886</v>
      </c>
      <c r="C2185" t="s">
        <v>14</v>
      </c>
      <c r="D2185" t="s">
        <v>1193</v>
      </c>
      <c r="E2185">
        <v>11</v>
      </c>
      <c r="F2185" t="s">
        <v>2703</v>
      </c>
      <c r="G2185">
        <v>2022</v>
      </c>
      <c r="H2185" t="s">
        <v>246</v>
      </c>
      <c r="I2185" t="s">
        <v>58</v>
      </c>
      <c r="J2185">
        <v>899</v>
      </c>
      <c r="K2185">
        <v>295</v>
      </c>
      <c r="L2185">
        <f t="shared" si="544"/>
        <v>604</v>
      </c>
      <c r="M2185">
        <v>240</v>
      </c>
      <c r="N2185">
        <f t="shared" si="545"/>
        <v>364</v>
      </c>
    </row>
    <row r="2186" spans="1:14" x14ac:dyDescent="0.2">
      <c r="A2186" t="s">
        <v>2897</v>
      </c>
      <c r="B2186" s="1" t="s">
        <v>2886</v>
      </c>
      <c r="C2186" t="s">
        <v>14</v>
      </c>
      <c r="D2186" t="s">
        <v>812</v>
      </c>
      <c r="E2186">
        <v>11</v>
      </c>
      <c r="F2186" t="s">
        <v>2703</v>
      </c>
      <c r="G2186">
        <v>2022</v>
      </c>
      <c r="H2186" t="s">
        <v>157</v>
      </c>
      <c r="I2186" t="s">
        <v>97</v>
      </c>
      <c r="J2186">
        <v>949.05</v>
      </c>
      <c r="K2186">
        <v>306</v>
      </c>
      <c r="L2186">
        <f t="shared" si="544"/>
        <v>643.04999999999995</v>
      </c>
      <c r="M2186">
        <v>240</v>
      </c>
      <c r="N2186">
        <f t="shared" si="545"/>
        <v>403.04999999999995</v>
      </c>
    </row>
    <row r="2187" spans="1:14" x14ac:dyDescent="0.2">
      <c r="A2187" t="s">
        <v>2898</v>
      </c>
      <c r="B2187" s="1" t="s">
        <v>2886</v>
      </c>
      <c r="C2187" t="s">
        <v>14</v>
      </c>
      <c r="D2187" t="s">
        <v>819</v>
      </c>
      <c r="E2187">
        <v>11</v>
      </c>
      <c r="F2187" t="s">
        <v>2703</v>
      </c>
      <c r="G2187">
        <v>2022</v>
      </c>
      <c r="H2187" t="s">
        <v>2899</v>
      </c>
      <c r="I2187" t="s">
        <v>122</v>
      </c>
      <c r="J2187">
        <v>949.05</v>
      </c>
      <c r="K2187">
        <v>306</v>
      </c>
      <c r="L2187">
        <f t="shared" si="544"/>
        <v>643.04999999999995</v>
      </c>
      <c r="M2187">
        <v>240</v>
      </c>
      <c r="N2187">
        <f t="shared" si="545"/>
        <v>403.04999999999995</v>
      </c>
    </row>
    <row r="2188" spans="1:14" x14ac:dyDescent="0.2">
      <c r="A2188" t="s">
        <v>2900</v>
      </c>
      <c r="B2188" s="1" t="s">
        <v>2886</v>
      </c>
      <c r="C2188" t="s">
        <v>14</v>
      </c>
      <c r="D2188" t="s">
        <v>915</v>
      </c>
      <c r="E2188">
        <v>11</v>
      </c>
      <c r="F2188" t="s">
        <v>2703</v>
      </c>
      <c r="G2188">
        <v>2022</v>
      </c>
      <c r="H2188" t="s">
        <v>2901</v>
      </c>
      <c r="I2188" t="s">
        <v>23</v>
      </c>
      <c r="J2188">
        <v>799</v>
      </c>
      <c r="K2188">
        <v>205</v>
      </c>
      <c r="L2188">
        <f t="shared" si="544"/>
        <v>594</v>
      </c>
      <c r="M2188">
        <v>240</v>
      </c>
      <c r="N2188">
        <f t="shared" si="545"/>
        <v>354</v>
      </c>
    </row>
    <row r="2189" spans="1:14" x14ac:dyDescent="0.2">
      <c r="A2189" t="s">
        <v>2902</v>
      </c>
      <c r="B2189" s="1" t="s">
        <v>2886</v>
      </c>
      <c r="C2189" t="s">
        <v>14</v>
      </c>
      <c r="D2189" t="s">
        <v>1215</v>
      </c>
      <c r="E2189">
        <v>11</v>
      </c>
      <c r="F2189" t="s">
        <v>2703</v>
      </c>
      <c r="G2189">
        <v>2022</v>
      </c>
      <c r="H2189" t="s">
        <v>193</v>
      </c>
      <c r="I2189" t="s">
        <v>62</v>
      </c>
      <c r="J2189">
        <v>799</v>
      </c>
      <c r="K2189">
        <v>205</v>
      </c>
      <c r="L2189">
        <f t="shared" si="544"/>
        <v>594</v>
      </c>
      <c r="M2189">
        <v>240</v>
      </c>
      <c r="N2189">
        <f t="shared" si="545"/>
        <v>354</v>
      </c>
    </row>
    <row r="2190" spans="1:14" x14ac:dyDescent="0.2">
      <c r="A2190" t="s">
        <v>2903</v>
      </c>
      <c r="B2190" s="1" t="s">
        <v>2886</v>
      </c>
      <c r="C2190" t="s">
        <v>14</v>
      </c>
      <c r="D2190" t="s">
        <v>242</v>
      </c>
      <c r="E2190">
        <v>11</v>
      </c>
      <c r="F2190" t="s">
        <v>2703</v>
      </c>
      <c r="G2190">
        <v>2022</v>
      </c>
      <c r="H2190" t="s">
        <v>263</v>
      </c>
      <c r="I2190" t="s">
        <v>144</v>
      </c>
      <c r="J2190">
        <v>854.05</v>
      </c>
      <c r="K2190">
        <v>270</v>
      </c>
      <c r="L2190">
        <f t="shared" si="544"/>
        <v>584.04999999999995</v>
      </c>
      <c r="M2190">
        <v>240</v>
      </c>
      <c r="N2190">
        <f t="shared" si="545"/>
        <v>344.04999999999995</v>
      </c>
    </row>
    <row r="2191" spans="1:14" x14ac:dyDescent="0.2">
      <c r="A2191" t="s">
        <v>2829</v>
      </c>
      <c r="B2191" s="1" t="s">
        <v>2807</v>
      </c>
      <c r="C2191" t="s">
        <v>106</v>
      </c>
      <c r="D2191" t="s">
        <v>895</v>
      </c>
      <c r="E2191">
        <v>7</v>
      </c>
      <c r="F2191" t="s">
        <v>2703</v>
      </c>
      <c r="G2191">
        <v>2022</v>
      </c>
      <c r="H2191" t="s">
        <v>2830</v>
      </c>
      <c r="I2191" t="s">
        <v>23</v>
      </c>
      <c r="J2191">
        <v>-849</v>
      </c>
      <c r="K2191">
        <v>345</v>
      </c>
      <c r="L2191">
        <f>J2191+K2191</f>
        <v>-504</v>
      </c>
      <c r="M2191">
        <v>240</v>
      </c>
      <c r="N2191">
        <f>L2191+M2191</f>
        <v>-264</v>
      </c>
    </row>
    <row r="2192" spans="1:14" x14ac:dyDescent="0.2">
      <c r="A2192" t="s">
        <v>2904</v>
      </c>
      <c r="B2192" s="1" t="s">
        <v>2886</v>
      </c>
      <c r="C2192" t="s">
        <v>14</v>
      </c>
      <c r="D2192" t="s">
        <v>881</v>
      </c>
      <c r="E2192">
        <v>11</v>
      </c>
      <c r="F2192" t="s">
        <v>2703</v>
      </c>
      <c r="G2192">
        <v>2022</v>
      </c>
      <c r="H2192" t="s">
        <v>162</v>
      </c>
      <c r="I2192" t="s">
        <v>163</v>
      </c>
      <c r="J2192">
        <v>759.05</v>
      </c>
      <c r="K2192">
        <v>202</v>
      </c>
      <c r="L2192">
        <f t="shared" ref="L2192:L2200" si="546">J2192-K2192</f>
        <v>557.04999999999995</v>
      </c>
      <c r="M2192">
        <v>240</v>
      </c>
      <c r="N2192">
        <f t="shared" ref="N2192:N2200" si="547">L2192-M2192</f>
        <v>317.04999999999995</v>
      </c>
    </row>
    <row r="2193" spans="1:14" x14ac:dyDescent="0.2">
      <c r="A2193" t="s">
        <v>2905</v>
      </c>
      <c r="B2193" s="1" t="s">
        <v>2886</v>
      </c>
      <c r="C2193" t="s">
        <v>14</v>
      </c>
      <c r="D2193" t="s">
        <v>2906</v>
      </c>
      <c r="E2193">
        <v>11</v>
      </c>
      <c r="F2193" t="s">
        <v>2703</v>
      </c>
      <c r="G2193">
        <v>2022</v>
      </c>
      <c r="H2193" t="s">
        <v>208</v>
      </c>
      <c r="I2193" t="s">
        <v>97</v>
      </c>
      <c r="J2193">
        <v>799</v>
      </c>
      <c r="K2193">
        <v>205</v>
      </c>
      <c r="L2193">
        <f t="shared" si="546"/>
        <v>594</v>
      </c>
      <c r="M2193">
        <v>240</v>
      </c>
      <c r="N2193">
        <f t="shared" si="547"/>
        <v>354</v>
      </c>
    </row>
    <row r="2194" spans="1:14" x14ac:dyDescent="0.2">
      <c r="A2194" t="s">
        <v>2907</v>
      </c>
      <c r="B2194" s="1" t="s">
        <v>2886</v>
      </c>
      <c r="C2194" t="s">
        <v>14</v>
      </c>
      <c r="D2194" t="s">
        <v>573</v>
      </c>
      <c r="E2194">
        <v>11</v>
      </c>
      <c r="F2194" t="s">
        <v>2703</v>
      </c>
      <c r="G2194">
        <v>2022</v>
      </c>
      <c r="H2194" t="s">
        <v>246</v>
      </c>
      <c r="I2194" t="s">
        <v>58</v>
      </c>
      <c r="J2194">
        <v>899</v>
      </c>
      <c r="K2194">
        <v>295</v>
      </c>
      <c r="L2194">
        <f t="shared" si="546"/>
        <v>604</v>
      </c>
      <c r="M2194">
        <v>240</v>
      </c>
      <c r="N2194">
        <f t="shared" si="547"/>
        <v>364</v>
      </c>
    </row>
    <row r="2195" spans="1:14" x14ac:dyDescent="0.2">
      <c r="A2195" t="s">
        <v>2907</v>
      </c>
      <c r="B2195" s="1" t="s">
        <v>2886</v>
      </c>
      <c r="C2195" t="s">
        <v>14</v>
      </c>
      <c r="D2195" t="s">
        <v>477</v>
      </c>
      <c r="E2195">
        <v>11</v>
      </c>
      <c r="F2195" t="s">
        <v>2703</v>
      </c>
      <c r="G2195">
        <v>2022</v>
      </c>
      <c r="H2195" t="s">
        <v>246</v>
      </c>
      <c r="I2195" t="s">
        <v>58</v>
      </c>
      <c r="J2195">
        <v>899</v>
      </c>
      <c r="K2195">
        <v>295</v>
      </c>
      <c r="L2195">
        <f t="shared" si="546"/>
        <v>604</v>
      </c>
      <c r="M2195">
        <v>240</v>
      </c>
      <c r="N2195">
        <f t="shared" si="547"/>
        <v>364</v>
      </c>
    </row>
    <row r="2196" spans="1:14" x14ac:dyDescent="0.2">
      <c r="A2196" t="s">
        <v>2908</v>
      </c>
      <c r="B2196" s="1" t="s">
        <v>2886</v>
      </c>
      <c r="C2196" t="s">
        <v>14</v>
      </c>
      <c r="D2196" t="s">
        <v>1699</v>
      </c>
      <c r="E2196">
        <v>11</v>
      </c>
      <c r="F2196" t="s">
        <v>2703</v>
      </c>
      <c r="G2196">
        <v>2022</v>
      </c>
      <c r="H2196" t="s">
        <v>2909</v>
      </c>
      <c r="I2196" t="s">
        <v>163</v>
      </c>
      <c r="J2196">
        <v>799</v>
      </c>
      <c r="K2196">
        <v>205</v>
      </c>
      <c r="L2196">
        <f t="shared" si="546"/>
        <v>594</v>
      </c>
      <c r="M2196">
        <v>240</v>
      </c>
      <c r="N2196">
        <f t="shared" si="547"/>
        <v>354</v>
      </c>
    </row>
    <row r="2197" spans="1:14" x14ac:dyDescent="0.2">
      <c r="A2197" t="s">
        <v>2910</v>
      </c>
      <c r="B2197" s="1" t="s">
        <v>2886</v>
      </c>
      <c r="C2197" t="s">
        <v>14</v>
      </c>
      <c r="D2197" t="s">
        <v>840</v>
      </c>
      <c r="E2197">
        <v>11</v>
      </c>
      <c r="F2197" t="s">
        <v>2703</v>
      </c>
      <c r="G2197">
        <v>2022</v>
      </c>
      <c r="H2197" t="s">
        <v>2722</v>
      </c>
      <c r="I2197" t="s">
        <v>502</v>
      </c>
      <c r="J2197">
        <v>999</v>
      </c>
      <c r="K2197">
        <v>325</v>
      </c>
      <c r="L2197">
        <f t="shared" si="546"/>
        <v>674</v>
      </c>
      <c r="M2197">
        <v>240</v>
      </c>
      <c r="N2197">
        <f t="shared" si="547"/>
        <v>434</v>
      </c>
    </row>
    <row r="2198" spans="1:14" x14ac:dyDescent="0.2">
      <c r="A2198" t="s">
        <v>2911</v>
      </c>
      <c r="B2198" s="1" t="s">
        <v>2886</v>
      </c>
      <c r="C2198" t="s">
        <v>14</v>
      </c>
      <c r="D2198" t="s">
        <v>133</v>
      </c>
      <c r="E2198">
        <v>11</v>
      </c>
      <c r="F2198" t="s">
        <v>2703</v>
      </c>
      <c r="G2198">
        <v>2022</v>
      </c>
      <c r="H2198" t="s">
        <v>235</v>
      </c>
      <c r="I2198" t="s">
        <v>62</v>
      </c>
      <c r="J2198">
        <v>1598</v>
      </c>
      <c r="K2198">
        <v>365</v>
      </c>
      <c r="L2198">
        <f t="shared" si="546"/>
        <v>1233</v>
      </c>
      <c r="M2198">
        <v>240</v>
      </c>
      <c r="N2198">
        <f t="shared" si="547"/>
        <v>993</v>
      </c>
    </row>
    <row r="2199" spans="1:14" x14ac:dyDescent="0.2">
      <c r="A2199" t="s">
        <v>2912</v>
      </c>
      <c r="B2199" s="1" t="s">
        <v>2886</v>
      </c>
      <c r="C2199" t="s">
        <v>14</v>
      </c>
      <c r="D2199" t="s">
        <v>881</v>
      </c>
      <c r="E2199">
        <v>11</v>
      </c>
      <c r="F2199" t="s">
        <v>2703</v>
      </c>
      <c r="G2199">
        <v>2022</v>
      </c>
      <c r="H2199" t="s">
        <v>235</v>
      </c>
      <c r="I2199" t="s">
        <v>62</v>
      </c>
      <c r="J2199">
        <v>759.05</v>
      </c>
      <c r="K2199">
        <v>202</v>
      </c>
      <c r="L2199">
        <f t="shared" si="546"/>
        <v>557.04999999999995</v>
      </c>
      <c r="M2199">
        <v>240</v>
      </c>
      <c r="N2199">
        <f t="shared" si="547"/>
        <v>317.04999999999995</v>
      </c>
    </row>
    <row r="2200" spans="1:14" x14ac:dyDescent="0.2">
      <c r="A2200" t="s">
        <v>2913</v>
      </c>
      <c r="B2200" s="1" t="s">
        <v>2886</v>
      </c>
      <c r="C2200" t="s">
        <v>14</v>
      </c>
      <c r="D2200" t="s">
        <v>809</v>
      </c>
      <c r="E2200">
        <v>11</v>
      </c>
      <c r="F2200" t="s">
        <v>2703</v>
      </c>
      <c r="G2200">
        <v>2022</v>
      </c>
      <c r="H2200" t="s">
        <v>49</v>
      </c>
      <c r="I2200" t="s">
        <v>32</v>
      </c>
      <c r="J2200">
        <v>949.05</v>
      </c>
      <c r="K2200">
        <v>306</v>
      </c>
      <c r="L2200">
        <f t="shared" si="546"/>
        <v>643.04999999999995</v>
      </c>
      <c r="M2200">
        <v>240</v>
      </c>
      <c r="N2200">
        <f t="shared" si="547"/>
        <v>403.04999999999995</v>
      </c>
    </row>
    <row r="2201" spans="1:14" x14ac:dyDescent="0.2">
      <c r="A2201" t="s">
        <v>2727</v>
      </c>
      <c r="B2201" s="1" t="s">
        <v>2716</v>
      </c>
      <c r="C2201" t="s">
        <v>106</v>
      </c>
      <c r="D2201" t="s">
        <v>881</v>
      </c>
      <c r="E2201">
        <v>2</v>
      </c>
      <c r="F2201" t="s">
        <v>2703</v>
      </c>
      <c r="G2201">
        <v>2022</v>
      </c>
      <c r="H2201" t="s">
        <v>2564</v>
      </c>
      <c r="I2201" t="s">
        <v>62</v>
      </c>
      <c r="J2201">
        <v>-799</v>
      </c>
      <c r="K2201">
        <v>320</v>
      </c>
      <c r="L2201">
        <f t="shared" ref="L2201:L2202" si="548">J2201+K2201</f>
        <v>-479</v>
      </c>
      <c r="M2201">
        <v>240</v>
      </c>
      <c r="N2201">
        <f t="shared" ref="N2201:N2202" si="549">L2201+M2201</f>
        <v>-239</v>
      </c>
    </row>
    <row r="2202" spans="1:14" x14ac:dyDescent="0.2">
      <c r="A2202" t="s">
        <v>2775</v>
      </c>
      <c r="B2202" s="1" t="s">
        <v>2756</v>
      </c>
      <c r="C2202" t="s">
        <v>106</v>
      </c>
      <c r="D2202" t="s">
        <v>893</v>
      </c>
      <c r="E2202">
        <v>5</v>
      </c>
      <c r="F2202" t="s">
        <v>2703</v>
      </c>
      <c r="G2202">
        <v>2022</v>
      </c>
      <c r="H2202" t="s">
        <v>84</v>
      </c>
      <c r="I2202" t="s">
        <v>85</v>
      </c>
      <c r="J2202">
        <v>-849</v>
      </c>
      <c r="K2202">
        <v>345</v>
      </c>
      <c r="L2202">
        <f t="shared" si="548"/>
        <v>-504</v>
      </c>
      <c r="M2202">
        <v>240</v>
      </c>
      <c r="N2202">
        <f t="shared" si="549"/>
        <v>-264</v>
      </c>
    </row>
    <row r="2203" spans="1:14" x14ac:dyDescent="0.2">
      <c r="A2203" t="s">
        <v>2915</v>
      </c>
      <c r="B2203" s="1" t="s">
        <v>2914</v>
      </c>
      <c r="C2203" t="s">
        <v>43</v>
      </c>
      <c r="D2203" t="s">
        <v>798</v>
      </c>
      <c r="E2203">
        <v>12</v>
      </c>
      <c r="F2203" t="s">
        <v>2703</v>
      </c>
      <c r="G2203">
        <v>2022</v>
      </c>
      <c r="H2203" t="s">
        <v>49</v>
      </c>
      <c r="I2203" t="s">
        <v>32</v>
      </c>
      <c r="J2203">
        <v>0</v>
      </c>
      <c r="K2203">
        <v>0</v>
      </c>
      <c r="L2203">
        <v>0</v>
      </c>
      <c r="M2203">
        <v>0</v>
      </c>
      <c r="N2203">
        <v>0</v>
      </c>
    </row>
    <row r="2204" spans="1:14" x14ac:dyDescent="0.2">
      <c r="A2204" t="s">
        <v>2812</v>
      </c>
      <c r="B2204" s="1" t="s">
        <v>2807</v>
      </c>
      <c r="C2204" t="s">
        <v>106</v>
      </c>
      <c r="D2204" t="s">
        <v>1076</v>
      </c>
      <c r="E2204">
        <v>7</v>
      </c>
      <c r="F2204" t="s">
        <v>2703</v>
      </c>
      <c r="G2204">
        <v>2022</v>
      </c>
      <c r="H2204" t="s">
        <v>2641</v>
      </c>
      <c r="I2204" t="s">
        <v>32</v>
      </c>
      <c r="J2204">
        <v>-806.55</v>
      </c>
      <c r="K2204">
        <v>345</v>
      </c>
      <c r="L2204">
        <f>J2204+K2204</f>
        <v>-461.54999999999995</v>
      </c>
      <c r="M2204">
        <v>240</v>
      </c>
      <c r="N2204">
        <f>L2204+M2204</f>
        <v>-221.54999999999995</v>
      </c>
    </row>
    <row r="2205" spans="1:14" x14ac:dyDescent="0.2">
      <c r="A2205" t="s">
        <v>2916</v>
      </c>
      <c r="B2205" s="1" t="s">
        <v>2914</v>
      </c>
      <c r="C2205" t="s">
        <v>14</v>
      </c>
      <c r="D2205" t="s">
        <v>81</v>
      </c>
      <c r="E2205">
        <v>12</v>
      </c>
      <c r="F2205" t="s">
        <v>2703</v>
      </c>
      <c r="G2205">
        <v>2022</v>
      </c>
      <c r="H2205" t="s">
        <v>2917</v>
      </c>
      <c r="I2205" t="s">
        <v>58</v>
      </c>
      <c r="J2205">
        <v>806.55</v>
      </c>
      <c r="K2205">
        <v>227</v>
      </c>
      <c r="L2205">
        <f t="shared" ref="L2205:L2211" si="550">J2205-K2205</f>
        <v>579.54999999999995</v>
      </c>
      <c r="M2205">
        <v>240</v>
      </c>
      <c r="N2205">
        <f t="shared" ref="N2205:N2211" si="551">L2205-M2205</f>
        <v>339.54999999999995</v>
      </c>
    </row>
    <row r="2206" spans="1:14" x14ac:dyDescent="0.2">
      <c r="A2206" t="s">
        <v>2918</v>
      </c>
      <c r="B2206" s="1" t="s">
        <v>2914</v>
      </c>
      <c r="C2206" t="s">
        <v>14</v>
      </c>
      <c r="D2206" t="s">
        <v>1539</v>
      </c>
      <c r="E2206">
        <v>12</v>
      </c>
      <c r="F2206" t="s">
        <v>2703</v>
      </c>
      <c r="G2206">
        <v>2022</v>
      </c>
      <c r="H2206" t="s">
        <v>2830</v>
      </c>
      <c r="I2206" t="s">
        <v>23</v>
      </c>
      <c r="J2206">
        <v>799</v>
      </c>
      <c r="K2206">
        <v>205</v>
      </c>
      <c r="L2206">
        <f t="shared" si="550"/>
        <v>594</v>
      </c>
      <c r="M2206">
        <v>240</v>
      </c>
      <c r="N2206">
        <f t="shared" si="551"/>
        <v>354</v>
      </c>
    </row>
    <row r="2207" spans="1:14" x14ac:dyDescent="0.2">
      <c r="A2207" t="s">
        <v>2919</v>
      </c>
      <c r="B2207" s="1" t="s">
        <v>2886</v>
      </c>
      <c r="C2207" t="s">
        <v>14</v>
      </c>
      <c r="D2207" t="s">
        <v>445</v>
      </c>
      <c r="E2207">
        <v>11</v>
      </c>
      <c r="F2207" t="s">
        <v>2703</v>
      </c>
      <c r="G2207">
        <v>2022</v>
      </c>
      <c r="H2207" t="s">
        <v>882</v>
      </c>
      <c r="I2207" t="s">
        <v>883</v>
      </c>
      <c r="J2207">
        <v>899</v>
      </c>
      <c r="K2207">
        <v>295</v>
      </c>
      <c r="L2207">
        <f t="shared" si="550"/>
        <v>604</v>
      </c>
      <c r="M2207">
        <v>240</v>
      </c>
      <c r="N2207">
        <f t="shared" si="551"/>
        <v>364</v>
      </c>
    </row>
    <row r="2208" spans="1:14" x14ac:dyDescent="0.2">
      <c r="A2208" t="s">
        <v>2920</v>
      </c>
      <c r="B2208" s="1" t="s">
        <v>2914</v>
      </c>
      <c r="C2208" t="s">
        <v>14</v>
      </c>
      <c r="D2208" t="s">
        <v>840</v>
      </c>
      <c r="E2208">
        <v>12</v>
      </c>
      <c r="F2208" t="s">
        <v>2703</v>
      </c>
      <c r="G2208">
        <v>2022</v>
      </c>
      <c r="H2208" t="s">
        <v>215</v>
      </c>
      <c r="I2208" t="s">
        <v>135</v>
      </c>
      <c r="J2208">
        <v>999</v>
      </c>
      <c r="K2208">
        <v>325</v>
      </c>
      <c r="L2208">
        <f t="shared" si="550"/>
        <v>674</v>
      </c>
      <c r="M2208">
        <v>240</v>
      </c>
      <c r="N2208">
        <f t="shared" si="551"/>
        <v>434</v>
      </c>
    </row>
    <row r="2209" spans="1:14" x14ac:dyDescent="0.2">
      <c r="A2209" t="s">
        <v>2921</v>
      </c>
      <c r="B2209" s="1" t="s">
        <v>2914</v>
      </c>
      <c r="C2209" t="s">
        <v>14</v>
      </c>
      <c r="D2209" t="s">
        <v>881</v>
      </c>
      <c r="E2209">
        <v>12</v>
      </c>
      <c r="F2209" t="s">
        <v>2703</v>
      </c>
      <c r="G2209">
        <v>2022</v>
      </c>
      <c r="H2209" t="s">
        <v>2922</v>
      </c>
      <c r="I2209" t="s">
        <v>23</v>
      </c>
      <c r="J2209">
        <v>799</v>
      </c>
      <c r="K2209">
        <v>205</v>
      </c>
      <c r="L2209">
        <f t="shared" si="550"/>
        <v>594</v>
      </c>
      <c r="M2209">
        <v>240</v>
      </c>
      <c r="N2209">
        <f t="shared" si="551"/>
        <v>354</v>
      </c>
    </row>
    <row r="2210" spans="1:14" x14ac:dyDescent="0.2">
      <c r="A2210" t="s">
        <v>2923</v>
      </c>
      <c r="B2210" s="1" t="s">
        <v>2914</v>
      </c>
      <c r="C2210" t="s">
        <v>14</v>
      </c>
      <c r="D2210" t="s">
        <v>133</v>
      </c>
      <c r="E2210">
        <v>12</v>
      </c>
      <c r="F2210" t="s">
        <v>2703</v>
      </c>
      <c r="G2210">
        <v>2022</v>
      </c>
      <c r="H2210" t="s">
        <v>2924</v>
      </c>
      <c r="I2210" t="s">
        <v>23</v>
      </c>
      <c r="J2210">
        <v>759.05</v>
      </c>
      <c r="K2210">
        <v>202</v>
      </c>
      <c r="L2210">
        <f t="shared" si="550"/>
        <v>557.04999999999995</v>
      </c>
      <c r="M2210">
        <v>240</v>
      </c>
      <c r="N2210">
        <f t="shared" si="551"/>
        <v>317.04999999999995</v>
      </c>
    </row>
    <row r="2211" spans="1:14" x14ac:dyDescent="0.2">
      <c r="A2211" t="s">
        <v>2925</v>
      </c>
      <c r="B2211" s="1" t="s">
        <v>2914</v>
      </c>
      <c r="C2211" t="s">
        <v>14</v>
      </c>
      <c r="D2211" t="s">
        <v>420</v>
      </c>
      <c r="E2211">
        <v>12</v>
      </c>
      <c r="F2211" t="s">
        <v>2703</v>
      </c>
      <c r="G2211">
        <v>2022</v>
      </c>
      <c r="H2211" t="s">
        <v>1572</v>
      </c>
      <c r="I2211" t="s">
        <v>253</v>
      </c>
      <c r="J2211">
        <v>899</v>
      </c>
      <c r="K2211">
        <v>295</v>
      </c>
      <c r="L2211">
        <f t="shared" si="550"/>
        <v>604</v>
      </c>
      <c r="M2211">
        <v>240</v>
      </c>
      <c r="N2211">
        <f t="shared" si="551"/>
        <v>364</v>
      </c>
    </row>
    <row r="2212" spans="1:14" x14ac:dyDescent="0.2">
      <c r="A2212" t="s">
        <v>2926</v>
      </c>
      <c r="B2212" s="1" t="s">
        <v>2914</v>
      </c>
      <c r="C2212" t="s">
        <v>20</v>
      </c>
      <c r="D2212" t="s">
        <v>2860</v>
      </c>
      <c r="E2212">
        <v>12</v>
      </c>
      <c r="F2212" t="s">
        <v>2703</v>
      </c>
      <c r="G2212">
        <v>2022</v>
      </c>
      <c r="H2212" t="s">
        <v>2672</v>
      </c>
      <c r="I2212" t="s">
        <v>135</v>
      </c>
      <c r="J2212">
        <v>0</v>
      </c>
      <c r="K2212">
        <v>0</v>
      </c>
      <c r="L2212">
        <v>0</v>
      </c>
      <c r="M2212">
        <v>0</v>
      </c>
      <c r="N2212">
        <v>0</v>
      </c>
    </row>
    <row r="2213" spans="1:14" x14ac:dyDescent="0.2">
      <c r="A2213" t="s">
        <v>2927</v>
      </c>
      <c r="B2213" s="1" t="s">
        <v>2914</v>
      </c>
      <c r="C2213" t="s">
        <v>14</v>
      </c>
      <c r="D2213" t="s">
        <v>809</v>
      </c>
      <c r="E2213">
        <v>12</v>
      </c>
      <c r="F2213" t="s">
        <v>2703</v>
      </c>
      <c r="G2213">
        <v>2022</v>
      </c>
      <c r="H2213" t="s">
        <v>2928</v>
      </c>
      <c r="I2213" t="s">
        <v>144</v>
      </c>
      <c r="J2213">
        <v>999</v>
      </c>
      <c r="K2213">
        <v>325</v>
      </c>
      <c r="L2213">
        <f t="shared" ref="L2213:L2223" si="552">J2213-K2213</f>
        <v>674</v>
      </c>
      <c r="M2213">
        <v>240</v>
      </c>
      <c r="N2213">
        <f t="shared" ref="N2213:N2223" si="553">L2213-M2213</f>
        <v>434</v>
      </c>
    </row>
    <row r="2214" spans="1:14" x14ac:dyDescent="0.2">
      <c r="A2214" t="s">
        <v>2929</v>
      </c>
      <c r="B2214" s="1" t="s">
        <v>2914</v>
      </c>
      <c r="C2214" t="s">
        <v>14</v>
      </c>
      <c r="D2214" t="s">
        <v>1630</v>
      </c>
      <c r="E2214">
        <v>12</v>
      </c>
      <c r="F2214" t="s">
        <v>2703</v>
      </c>
      <c r="G2214">
        <v>2022</v>
      </c>
      <c r="H2214" t="s">
        <v>49</v>
      </c>
      <c r="I2214" t="s">
        <v>32</v>
      </c>
      <c r="J2214">
        <v>799</v>
      </c>
      <c r="K2214">
        <v>205</v>
      </c>
      <c r="L2214">
        <f t="shared" si="552"/>
        <v>594</v>
      </c>
      <c r="M2214">
        <v>240</v>
      </c>
      <c r="N2214">
        <f t="shared" si="553"/>
        <v>354</v>
      </c>
    </row>
    <row r="2215" spans="1:14" x14ac:dyDescent="0.2">
      <c r="A2215" t="s">
        <v>2930</v>
      </c>
      <c r="B2215" s="1" t="s">
        <v>2914</v>
      </c>
      <c r="C2215" t="s">
        <v>14</v>
      </c>
      <c r="D2215" t="s">
        <v>242</v>
      </c>
      <c r="E2215">
        <v>12</v>
      </c>
      <c r="F2215" t="s">
        <v>2703</v>
      </c>
      <c r="G2215">
        <v>2022</v>
      </c>
      <c r="H2215" t="s">
        <v>2931</v>
      </c>
      <c r="I2215" t="s">
        <v>886</v>
      </c>
      <c r="J2215">
        <v>899</v>
      </c>
      <c r="K2215">
        <v>295</v>
      </c>
      <c r="L2215">
        <f t="shared" si="552"/>
        <v>604</v>
      </c>
      <c r="M2215">
        <v>240</v>
      </c>
      <c r="N2215">
        <f t="shared" si="553"/>
        <v>364</v>
      </c>
    </row>
    <row r="2216" spans="1:14" x14ac:dyDescent="0.2">
      <c r="A2216" t="s">
        <v>2932</v>
      </c>
      <c r="B2216" s="1" t="s">
        <v>2914</v>
      </c>
      <c r="C2216" t="s">
        <v>14</v>
      </c>
      <c r="D2216" t="s">
        <v>812</v>
      </c>
      <c r="E2216">
        <v>12</v>
      </c>
      <c r="F2216" t="s">
        <v>2703</v>
      </c>
      <c r="G2216">
        <v>2022</v>
      </c>
      <c r="H2216" t="s">
        <v>215</v>
      </c>
      <c r="I2216" t="s">
        <v>135</v>
      </c>
      <c r="J2216">
        <v>949.05</v>
      </c>
      <c r="K2216">
        <v>306</v>
      </c>
      <c r="L2216">
        <f t="shared" si="552"/>
        <v>643.04999999999995</v>
      </c>
      <c r="M2216">
        <v>240</v>
      </c>
      <c r="N2216">
        <f t="shared" si="553"/>
        <v>403.04999999999995</v>
      </c>
    </row>
    <row r="2217" spans="1:14" x14ac:dyDescent="0.2">
      <c r="A2217" t="s">
        <v>2933</v>
      </c>
      <c r="B2217" s="1" t="s">
        <v>2914</v>
      </c>
      <c r="C2217" t="s">
        <v>14</v>
      </c>
      <c r="D2217" t="s">
        <v>957</v>
      </c>
      <c r="E2217">
        <v>12</v>
      </c>
      <c r="F2217" t="s">
        <v>2703</v>
      </c>
      <c r="G2217">
        <v>2022</v>
      </c>
      <c r="H2217" t="s">
        <v>2934</v>
      </c>
      <c r="I2217" t="s">
        <v>62</v>
      </c>
      <c r="J2217">
        <v>799</v>
      </c>
      <c r="K2217">
        <v>205</v>
      </c>
      <c r="L2217">
        <f t="shared" si="552"/>
        <v>594</v>
      </c>
      <c r="M2217">
        <v>240</v>
      </c>
      <c r="N2217">
        <f t="shared" si="553"/>
        <v>354</v>
      </c>
    </row>
    <row r="2218" spans="1:14" x14ac:dyDescent="0.2">
      <c r="A2218" t="s">
        <v>2935</v>
      </c>
      <c r="B2218" s="1" t="s">
        <v>2914</v>
      </c>
      <c r="C2218" t="s">
        <v>14</v>
      </c>
      <c r="D2218" t="s">
        <v>954</v>
      </c>
      <c r="E2218">
        <v>12</v>
      </c>
      <c r="F2218" t="s">
        <v>2703</v>
      </c>
      <c r="G2218">
        <v>2022</v>
      </c>
      <c r="H2218" t="s">
        <v>694</v>
      </c>
      <c r="I2218" t="s">
        <v>62</v>
      </c>
      <c r="J2218">
        <v>799</v>
      </c>
      <c r="K2218">
        <v>205</v>
      </c>
      <c r="L2218">
        <f t="shared" si="552"/>
        <v>594</v>
      </c>
      <c r="M2218">
        <v>240</v>
      </c>
      <c r="N2218">
        <f t="shared" si="553"/>
        <v>354</v>
      </c>
    </row>
    <row r="2219" spans="1:14" x14ac:dyDescent="0.2">
      <c r="A2219" t="s">
        <v>2937</v>
      </c>
      <c r="B2219" s="1" t="s">
        <v>2936</v>
      </c>
      <c r="C2219" t="s">
        <v>14</v>
      </c>
      <c r="D2219" t="s">
        <v>1567</v>
      </c>
      <c r="E2219">
        <v>13</v>
      </c>
      <c r="F2219" t="s">
        <v>2703</v>
      </c>
      <c r="G2219">
        <v>2022</v>
      </c>
      <c r="H2219" t="s">
        <v>1235</v>
      </c>
      <c r="I2219" t="s">
        <v>122</v>
      </c>
      <c r="J2219">
        <v>849</v>
      </c>
      <c r="K2219">
        <v>250</v>
      </c>
      <c r="L2219">
        <f t="shared" si="552"/>
        <v>599</v>
      </c>
      <c r="M2219">
        <v>240</v>
      </c>
      <c r="N2219">
        <f t="shared" si="553"/>
        <v>359</v>
      </c>
    </row>
    <row r="2220" spans="1:14" x14ac:dyDescent="0.2">
      <c r="A2220" t="s">
        <v>2938</v>
      </c>
      <c r="B2220" s="1" t="s">
        <v>2936</v>
      </c>
      <c r="C2220" t="s">
        <v>14</v>
      </c>
      <c r="D2220" t="s">
        <v>504</v>
      </c>
      <c r="E2220">
        <v>13</v>
      </c>
      <c r="F2220" t="s">
        <v>2703</v>
      </c>
      <c r="G2220">
        <v>2022</v>
      </c>
      <c r="H2220" t="s">
        <v>2909</v>
      </c>
      <c r="I2220" t="s">
        <v>163</v>
      </c>
      <c r="J2220">
        <v>899</v>
      </c>
      <c r="K2220">
        <v>295</v>
      </c>
      <c r="L2220">
        <f t="shared" si="552"/>
        <v>604</v>
      </c>
      <c r="M2220">
        <v>240</v>
      </c>
      <c r="N2220">
        <f t="shared" si="553"/>
        <v>364</v>
      </c>
    </row>
    <row r="2221" spans="1:14" x14ac:dyDescent="0.2">
      <c r="A2221" t="s">
        <v>2940</v>
      </c>
      <c r="B2221" s="1" t="s">
        <v>2939</v>
      </c>
      <c r="C2221" t="s">
        <v>14</v>
      </c>
      <c r="D2221" t="s">
        <v>448</v>
      </c>
      <c r="E2221">
        <v>14</v>
      </c>
      <c r="F2221" t="s">
        <v>2703</v>
      </c>
      <c r="G2221">
        <v>2022</v>
      </c>
      <c r="H2221" t="s">
        <v>2941</v>
      </c>
      <c r="I2221" t="s">
        <v>19</v>
      </c>
      <c r="J2221">
        <v>899</v>
      </c>
      <c r="K2221">
        <v>295</v>
      </c>
      <c r="L2221">
        <f t="shared" si="552"/>
        <v>604</v>
      </c>
      <c r="M2221">
        <v>240</v>
      </c>
      <c r="N2221">
        <f t="shared" si="553"/>
        <v>364</v>
      </c>
    </row>
    <row r="2222" spans="1:14" x14ac:dyDescent="0.2">
      <c r="A2222" t="s">
        <v>2942</v>
      </c>
      <c r="B2222" s="1" t="s">
        <v>2914</v>
      </c>
      <c r="C2222" t="s">
        <v>14</v>
      </c>
      <c r="D2222" t="s">
        <v>573</v>
      </c>
      <c r="E2222">
        <v>12</v>
      </c>
      <c r="F2222" t="s">
        <v>2703</v>
      </c>
      <c r="G2222">
        <v>2022</v>
      </c>
      <c r="H2222" t="s">
        <v>211</v>
      </c>
      <c r="I2222" t="s">
        <v>212</v>
      </c>
      <c r="J2222">
        <v>899</v>
      </c>
      <c r="K2222">
        <v>295</v>
      </c>
      <c r="L2222">
        <f t="shared" si="552"/>
        <v>604</v>
      </c>
      <c r="M2222">
        <v>240</v>
      </c>
      <c r="N2222">
        <f t="shared" si="553"/>
        <v>364</v>
      </c>
    </row>
    <row r="2223" spans="1:14" x14ac:dyDescent="0.2">
      <c r="A2223" t="s">
        <v>2943</v>
      </c>
      <c r="B2223" s="1" t="s">
        <v>2936</v>
      </c>
      <c r="C2223" t="s">
        <v>14</v>
      </c>
      <c r="D2223" t="s">
        <v>1193</v>
      </c>
      <c r="E2223">
        <v>13</v>
      </c>
      <c r="F2223" t="s">
        <v>2703</v>
      </c>
      <c r="G2223">
        <v>2022</v>
      </c>
      <c r="H2223" t="s">
        <v>398</v>
      </c>
      <c r="I2223" t="s">
        <v>399</v>
      </c>
      <c r="J2223">
        <v>854.05</v>
      </c>
      <c r="K2223">
        <v>270</v>
      </c>
      <c r="L2223">
        <f t="shared" si="552"/>
        <v>584.04999999999995</v>
      </c>
      <c r="M2223">
        <v>240</v>
      </c>
      <c r="N2223">
        <f t="shared" si="553"/>
        <v>344.04999999999995</v>
      </c>
    </row>
    <row r="2224" spans="1:14" x14ac:dyDescent="0.2">
      <c r="A2224" t="s">
        <v>2944</v>
      </c>
      <c r="B2224" s="1" t="s">
        <v>2914</v>
      </c>
      <c r="C2224" t="s">
        <v>20</v>
      </c>
      <c r="D2224" t="s">
        <v>809</v>
      </c>
      <c r="E2224">
        <v>12</v>
      </c>
      <c r="F2224" t="s">
        <v>2703</v>
      </c>
      <c r="G2224">
        <v>2022</v>
      </c>
      <c r="H2224" t="s">
        <v>246</v>
      </c>
      <c r="I2224" t="s">
        <v>58</v>
      </c>
      <c r="J2224">
        <v>0</v>
      </c>
      <c r="K2224">
        <v>0</v>
      </c>
      <c r="L2224">
        <v>0</v>
      </c>
      <c r="M2224">
        <v>0</v>
      </c>
      <c r="N2224">
        <v>0</v>
      </c>
    </row>
    <row r="2225" spans="1:14" x14ac:dyDescent="0.2">
      <c r="A2225" t="s">
        <v>2945</v>
      </c>
      <c r="B2225" s="1" t="s">
        <v>2936</v>
      </c>
      <c r="C2225" t="s">
        <v>14</v>
      </c>
      <c r="D2225" t="s">
        <v>895</v>
      </c>
      <c r="E2225">
        <v>13</v>
      </c>
      <c r="F2225" t="s">
        <v>2703</v>
      </c>
      <c r="G2225">
        <v>2022</v>
      </c>
      <c r="H2225" t="s">
        <v>2946</v>
      </c>
      <c r="I2225" t="s">
        <v>23</v>
      </c>
      <c r="J2225">
        <v>849</v>
      </c>
      <c r="K2225">
        <v>250</v>
      </c>
      <c r="L2225">
        <f t="shared" ref="L2225:L2235" si="554">J2225-K2225</f>
        <v>599</v>
      </c>
      <c r="M2225">
        <v>240</v>
      </c>
      <c r="N2225">
        <f t="shared" ref="N2225:N2235" si="555">L2225-M2225</f>
        <v>359</v>
      </c>
    </row>
    <row r="2226" spans="1:14" x14ac:dyDescent="0.2">
      <c r="A2226" t="s">
        <v>2947</v>
      </c>
      <c r="B2226" s="1" t="s">
        <v>2936</v>
      </c>
      <c r="C2226" t="s">
        <v>14</v>
      </c>
      <c r="D2226" t="s">
        <v>133</v>
      </c>
      <c r="E2226">
        <v>13</v>
      </c>
      <c r="F2226" t="s">
        <v>2703</v>
      </c>
      <c r="G2226">
        <v>2022</v>
      </c>
      <c r="H2226" t="s">
        <v>196</v>
      </c>
      <c r="I2226" t="s">
        <v>62</v>
      </c>
      <c r="J2226">
        <v>799</v>
      </c>
      <c r="K2226">
        <v>205</v>
      </c>
      <c r="L2226">
        <f t="shared" si="554"/>
        <v>594</v>
      </c>
      <c r="M2226">
        <v>240</v>
      </c>
      <c r="N2226">
        <f t="shared" si="555"/>
        <v>354</v>
      </c>
    </row>
    <row r="2227" spans="1:14" x14ac:dyDescent="0.2">
      <c r="A2227" t="s">
        <v>2948</v>
      </c>
      <c r="B2227" s="1" t="s">
        <v>2936</v>
      </c>
      <c r="C2227" t="s">
        <v>14</v>
      </c>
      <c r="D2227" t="s">
        <v>133</v>
      </c>
      <c r="E2227">
        <v>13</v>
      </c>
      <c r="F2227" t="s">
        <v>2703</v>
      </c>
      <c r="G2227">
        <v>2022</v>
      </c>
      <c r="H2227" t="s">
        <v>530</v>
      </c>
      <c r="I2227" t="s">
        <v>23</v>
      </c>
      <c r="J2227">
        <v>799</v>
      </c>
      <c r="K2227">
        <v>205</v>
      </c>
      <c r="L2227">
        <f t="shared" si="554"/>
        <v>594</v>
      </c>
      <c r="M2227">
        <v>240</v>
      </c>
      <c r="N2227">
        <f t="shared" si="555"/>
        <v>354</v>
      </c>
    </row>
    <row r="2228" spans="1:14" x14ac:dyDescent="0.2">
      <c r="A2228" t="s">
        <v>2949</v>
      </c>
      <c r="B2228" s="1" t="s">
        <v>2936</v>
      </c>
      <c r="C2228" t="s">
        <v>14</v>
      </c>
      <c r="D2228" t="s">
        <v>45</v>
      </c>
      <c r="E2228">
        <v>13</v>
      </c>
      <c r="F2228" t="s">
        <v>2703</v>
      </c>
      <c r="G2228">
        <v>2022</v>
      </c>
      <c r="H2228" t="s">
        <v>246</v>
      </c>
      <c r="I2228" t="s">
        <v>58</v>
      </c>
      <c r="J2228">
        <v>899</v>
      </c>
      <c r="K2228">
        <v>295</v>
      </c>
      <c r="L2228">
        <f t="shared" si="554"/>
        <v>604</v>
      </c>
      <c r="M2228">
        <v>240</v>
      </c>
      <c r="N2228">
        <f t="shared" si="555"/>
        <v>364</v>
      </c>
    </row>
    <row r="2229" spans="1:14" x14ac:dyDescent="0.2">
      <c r="A2229" t="s">
        <v>2950</v>
      </c>
      <c r="B2229" s="1" t="s">
        <v>2936</v>
      </c>
      <c r="C2229" t="s">
        <v>14</v>
      </c>
      <c r="D2229" t="s">
        <v>1212</v>
      </c>
      <c r="E2229">
        <v>13</v>
      </c>
      <c r="F2229" t="s">
        <v>2703</v>
      </c>
      <c r="G2229">
        <v>2022</v>
      </c>
      <c r="H2229" t="s">
        <v>2951</v>
      </c>
      <c r="I2229" t="s">
        <v>85</v>
      </c>
      <c r="J2229">
        <v>799</v>
      </c>
      <c r="K2229">
        <v>205</v>
      </c>
      <c r="L2229">
        <f t="shared" si="554"/>
        <v>594</v>
      </c>
      <c r="M2229">
        <v>240</v>
      </c>
      <c r="N2229">
        <f t="shared" si="555"/>
        <v>354</v>
      </c>
    </row>
    <row r="2230" spans="1:14" x14ac:dyDescent="0.2">
      <c r="A2230" t="s">
        <v>2952</v>
      </c>
      <c r="B2230" s="1" t="s">
        <v>2914</v>
      </c>
      <c r="C2230" t="s">
        <v>14</v>
      </c>
      <c r="D2230" t="s">
        <v>1508</v>
      </c>
      <c r="E2230">
        <v>12</v>
      </c>
      <c r="F2230" t="s">
        <v>2703</v>
      </c>
      <c r="G2230">
        <v>2022</v>
      </c>
      <c r="H2230" t="s">
        <v>2953</v>
      </c>
      <c r="I2230" t="s">
        <v>85</v>
      </c>
      <c r="J2230">
        <v>949.05</v>
      </c>
      <c r="K2230">
        <v>306</v>
      </c>
      <c r="L2230">
        <f t="shared" si="554"/>
        <v>643.04999999999995</v>
      </c>
      <c r="M2230">
        <v>240</v>
      </c>
      <c r="N2230">
        <f t="shared" si="555"/>
        <v>403.04999999999995</v>
      </c>
    </row>
    <row r="2231" spans="1:14" x14ac:dyDescent="0.2">
      <c r="A2231" t="s">
        <v>2954</v>
      </c>
      <c r="B2231" s="1" t="s">
        <v>2936</v>
      </c>
      <c r="C2231" t="s">
        <v>14</v>
      </c>
      <c r="D2231" t="s">
        <v>445</v>
      </c>
      <c r="E2231">
        <v>13</v>
      </c>
      <c r="F2231" t="s">
        <v>2703</v>
      </c>
      <c r="G2231">
        <v>2022</v>
      </c>
      <c r="H2231" t="s">
        <v>2955</v>
      </c>
      <c r="I2231" t="s">
        <v>97</v>
      </c>
      <c r="J2231">
        <v>899</v>
      </c>
      <c r="K2231">
        <v>295</v>
      </c>
      <c r="L2231">
        <f t="shared" si="554"/>
        <v>604</v>
      </c>
      <c r="M2231">
        <v>240</v>
      </c>
      <c r="N2231">
        <f t="shared" si="555"/>
        <v>364</v>
      </c>
    </row>
    <row r="2232" spans="1:14" x14ac:dyDescent="0.2">
      <c r="A2232" t="s">
        <v>2956</v>
      </c>
      <c r="B2232" s="1" t="s">
        <v>2936</v>
      </c>
      <c r="C2232" t="s">
        <v>14</v>
      </c>
      <c r="D2232" t="s">
        <v>2657</v>
      </c>
      <c r="E2232">
        <v>13</v>
      </c>
      <c r="F2232" t="s">
        <v>2703</v>
      </c>
      <c r="G2232">
        <v>2022</v>
      </c>
      <c r="H2232" t="s">
        <v>157</v>
      </c>
      <c r="I2232" t="s">
        <v>97</v>
      </c>
      <c r="J2232">
        <v>799</v>
      </c>
      <c r="K2232">
        <v>205</v>
      </c>
      <c r="L2232">
        <f t="shared" si="554"/>
        <v>594</v>
      </c>
      <c r="M2232">
        <v>240</v>
      </c>
      <c r="N2232">
        <f t="shared" si="555"/>
        <v>354</v>
      </c>
    </row>
    <row r="2233" spans="1:14" x14ac:dyDescent="0.2">
      <c r="A2233" t="s">
        <v>2957</v>
      </c>
      <c r="B2233" s="1" t="s">
        <v>2914</v>
      </c>
      <c r="C2233" t="s">
        <v>14</v>
      </c>
      <c r="D2233" t="s">
        <v>1076</v>
      </c>
      <c r="E2233">
        <v>12</v>
      </c>
      <c r="F2233" t="s">
        <v>2703</v>
      </c>
      <c r="G2233">
        <v>2022</v>
      </c>
      <c r="H2233" t="s">
        <v>2958</v>
      </c>
      <c r="I2233" t="s">
        <v>62</v>
      </c>
      <c r="J2233">
        <v>849</v>
      </c>
      <c r="K2233">
        <v>250</v>
      </c>
      <c r="L2233">
        <f t="shared" si="554"/>
        <v>599</v>
      </c>
      <c r="M2233">
        <v>240</v>
      </c>
      <c r="N2233">
        <f t="shared" si="555"/>
        <v>359</v>
      </c>
    </row>
    <row r="2234" spans="1:14" x14ac:dyDescent="0.2">
      <c r="A2234" t="s">
        <v>2959</v>
      </c>
      <c r="B2234" s="1" t="s">
        <v>2914</v>
      </c>
      <c r="C2234" t="s">
        <v>14</v>
      </c>
      <c r="D2234" t="s">
        <v>573</v>
      </c>
      <c r="E2234">
        <v>12</v>
      </c>
      <c r="F2234" t="s">
        <v>2703</v>
      </c>
      <c r="G2234">
        <v>2022</v>
      </c>
      <c r="H2234" t="s">
        <v>104</v>
      </c>
      <c r="I2234" t="s">
        <v>62</v>
      </c>
      <c r="J2234">
        <v>899</v>
      </c>
      <c r="K2234">
        <v>295</v>
      </c>
      <c r="L2234">
        <f t="shared" si="554"/>
        <v>604</v>
      </c>
      <c r="M2234">
        <v>240</v>
      </c>
      <c r="N2234">
        <f t="shared" si="555"/>
        <v>364</v>
      </c>
    </row>
    <row r="2235" spans="1:14" x14ac:dyDescent="0.2">
      <c r="A2235" t="s">
        <v>2960</v>
      </c>
      <c r="B2235" s="1" t="s">
        <v>2936</v>
      </c>
      <c r="C2235" t="s">
        <v>14</v>
      </c>
      <c r="D2235" t="s">
        <v>1076</v>
      </c>
      <c r="E2235">
        <v>13</v>
      </c>
      <c r="F2235" t="s">
        <v>2703</v>
      </c>
      <c r="G2235">
        <v>2022</v>
      </c>
      <c r="H2235" t="s">
        <v>49</v>
      </c>
      <c r="I2235" t="s">
        <v>32</v>
      </c>
      <c r="J2235">
        <v>849</v>
      </c>
      <c r="K2235">
        <v>250</v>
      </c>
      <c r="L2235">
        <f t="shared" si="554"/>
        <v>599</v>
      </c>
      <c r="M2235">
        <v>240</v>
      </c>
      <c r="N2235">
        <f t="shared" si="555"/>
        <v>359</v>
      </c>
    </row>
    <row r="2236" spans="1:14" x14ac:dyDescent="0.2">
      <c r="A2236" t="s">
        <v>2795</v>
      </c>
      <c r="B2236" s="1" t="s">
        <v>2773</v>
      </c>
      <c r="C2236" t="s">
        <v>106</v>
      </c>
      <c r="D2236" t="s">
        <v>893</v>
      </c>
      <c r="E2236">
        <v>6</v>
      </c>
      <c r="F2236" t="s">
        <v>2703</v>
      </c>
      <c r="G2236">
        <v>2022</v>
      </c>
      <c r="H2236" t="s">
        <v>150</v>
      </c>
      <c r="I2236" t="s">
        <v>62</v>
      </c>
      <c r="J2236">
        <v>-849</v>
      </c>
      <c r="K2236">
        <v>345</v>
      </c>
      <c r="L2236">
        <f t="shared" ref="L2236:L2237" si="556">J2236+K2236</f>
        <v>-504</v>
      </c>
      <c r="M2236">
        <v>240</v>
      </c>
      <c r="N2236">
        <f t="shared" ref="N2236:N2237" si="557">L2236+M2236</f>
        <v>-264</v>
      </c>
    </row>
    <row r="2237" spans="1:14" x14ac:dyDescent="0.2">
      <c r="A2237" t="s">
        <v>2844</v>
      </c>
      <c r="B2237" s="1" t="s">
        <v>2839</v>
      </c>
      <c r="C2237" t="s">
        <v>106</v>
      </c>
      <c r="D2237" t="s">
        <v>477</v>
      </c>
      <c r="E2237">
        <v>8</v>
      </c>
      <c r="F2237" t="s">
        <v>2703</v>
      </c>
      <c r="G2237">
        <v>2022</v>
      </c>
      <c r="H2237" t="s">
        <v>2845</v>
      </c>
      <c r="I2237" t="s">
        <v>85</v>
      </c>
      <c r="J2237">
        <v>-854.05</v>
      </c>
      <c r="K2237">
        <v>345</v>
      </c>
      <c r="L2237">
        <f t="shared" si="556"/>
        <v>-509.04999999999995</v>
      </c>
      <c r="M2237">
        <v>240</v>
      </c>
      <c r="N2237">
        <f t="shared" si="557"/>
        <v>-269.04999999999995</v>
      </c>
    </row>
    <row r="2238" spans="1:14" x14ac:dyDescent="0.2">
      <c r="A2238" t="s">
        <v>2961</v>
      </c>
      <c r="B2238" s="1" t="s">
        <v>2939</v>
      </c>
      <c r="C2238" t="s">
        <v>14</v>
      </c>
      <c r="D2238" t="s">
        <v>504</v>
      </c>
      <c r="E2238">
        <v>14</v>
      </c>
      <c r="F2238" t="s">
        <v>2703</v>
      </c>
      <c r="G2238">
        <v>2022</v>
      </c>
      <c r="H2238" t="s">
        <v>1290</v>
      </c>
      <c r="I2238" t="s">
        <v>58</v>
      </c>
      <c r="J2238">
        <v>899</v>
      </c>
      <c r="K2238">
        <v>295</v>
      </c>
      <c r="L2238">
        <f t="shared" ref="L2238:L2241" si="558">J2238-K2238</f>
        <v>604</v>
      </c>
      <c r="M2238">
        <v>240</v>
      </c>
      <c r="N2238">
        <f t="shared" ref="N2238:N2241" si="559">L2238-M2238</f>
        <v>364</v>
      </c>
    </row>
    <row r="2239" spans="1:14" x14ac:dyDescent="0.2">
      <c r="A2239" t="s">
        <v>2962</v>
      </c>
      <c r="B2239" s="1" t="s">
        <v>2939</v>
      </c>
      <c r="C2239" t="s">
        <v>14</v>
      </c>
      <c r="D2239" t="s">
        <v>840</v>
      </c>
      <c r="E2239">
        <v>14</v>
      </c>
      <c r="F2239" t="s">
        <v>2703</v>
      </c>
      <c r="G2239">
        <v>2022</v>
      </c>
      <c r="H2239" t="s">
        <v>579</v>
      </c>
      <c r="I2239" t="s">
        <v>62</v>
      </c>
      <c r="J2239">
        <v>949.05</v>
      </c>
      <c r="K2239">
        <v>306</v>
      </c>
      <c r="L2239">
        <f t="shared" si="558"/>
        <v>643.04999999999995</v>
      </c>
      <c r="M2239">
        <v>240</v>
      </c>
      <c r="N2239">
        <f t="shared" si="559"/>
        <v>403.04999999999995</v>
      </c>
    </row>
    <row r="2240" spans="1:14" x14ac:dyDescent="0.2">
      <c r="A2240" t="s">
        <v>2963</v>
      </c>
      <c r="B2240" s="1" t="s">
        <v>2939</v>
      </c>
      <c r="C2240" t="s">
        <v>14</v>
      </c>
      <c r="D2240" t="s">
        <v>448</v>
      </c>
      <c r="E2240">
        <v>14</v>
      </c>
      <c r="F2240" t="s">
        <v>2703</v>
      </c>
      <c r="G2240">
        <v>2022</v>
      </c>
      <c r="H2240" t="s">
        <v>2464</v>
      </c>
      <c r="I2240" t="s">
        <v>58</v>
      </c>
      <c r="J2240">
        <v>899</v>
      </c>
      <c r="K2240">
        <v>295</v>
      </c>
      <c r="L2240">
        <f t="shared" si="558"/>
        <v>604</v>
      </c>
      <c r="M2240">
        <v>240</v>
      </c>
      <c r="N2240">
        <f t="shared" si="559"/>
        <v>364</v>
      </c>
    </row>
    <row r="2241" spans="1:14" x14ac:dyDescent="0.2">
      <c r="A2241" t="s">
        <v>2964</v>
      </c>
      <c r="B2241" s="1" t="s">
        <v>2939</v>
      </c>
      <c r="C2241" t="s">
        <v>14</v>
      </c>
      <c r="D2241" t="s">
        <v>445</v>
      </c>
      <c r="E2241">
        <v>14</v>
      </c>
      <c r="F2241" t="s">
        <v>2703</v>
      </c>
      <c r="G2241">
        <v>2022</v>
      </c>
      <c r="H2241" t="s">
        <v>162</v>
      </c>
      <c r="I2241" t="s">
        <v>163</v>
      </c>
      <c r="J2241">
        <v>899</v>
      </c>
      <c r="K2241">
        <v>295</v>
      </c>
      <c r="L2241">
        <f t="shared" si="558"/>
        <v>604</v>
      </c>
      <c r="M2241">
        <v>240</v>
      </c>
      <c r="N2241">
        <f t="shared" si="559"/>
        <v>364</v>
      </c>
    </row>
    <row r="2242" spans="1:14" x14ac:dyDescent="0.2">
      <c r="A2242" t="s">
        <v>2965</v>
      </c>
      <c r="B2242" s="1" t="s">
        <v>2939</v>
      </c>
      <c r="C2242" t="s">
        <v>20</v>
      </c>
      <c r="D2242" t="s">
        <v>809</v>
      </c>
      <c r="E2242">
        <v>14</v>
      </c>
      <c r="F2242" t="s">
        <v>2703</v>
      </c>
      <c r="G2242">
        <v>2022</v>
      </c>
      <c r="H2242" t="s">
        <v>157</v>
      </c>
      <c r="I2242" t="s">
        <v>97</v>
      </c>
      <c r="J2242">
        <v>0</v>
      </c>
      <c r="K2242">
        <v>0</v>
      </c>
      <c r="L2242">
        <v>0</v>
      </c>
      <c r="M2242">
        <v>0</v>
      </c>
      <c r="N2242">
        <v>0</v>
      </c>
    </row>
    <row r="2243" spans="1:14" x14ac:dyDescent="0.2">
      <c r="A2243" t="s">
        <v>2966</v>
      </c>
      <c r="B2243" s="1" t="s">
        <v>2939</v>
      </c>
      <c r="C2243" t="s">
        <v>14</v>
      </c>
      <c r="D2243" t="s">
        <v>1386</v>
      </c>
      <c r="E2243">
        <v>14</v>
      </c>
      <c r="F2243" t="s">
        <v>2703</v>
      </c>
      <c r="G2243">
        <v>2022</v>
      </c>
      <c r="H2243" t="s">
        <v>147</v>
      </c>
      <c r="I2243" t="s">
        <v>28</v>
      </c>
      <c r="J2243">
        <v>799</v>
      </c>
      <c r="K2243">
        <v>205</v>
      </c>
      <c r="L2243">
        <f t="shared" ref="L2243:L2249" si="560">J2243-K2243</f>
        <v>594</v>
      </c>
      <c r="M2243">
        <v>240</v>
      </c>
      <c r="N2243">
        <f t="shared" ref="N2243:N2249" si="561">L2243-M2243</f>
        <v>354</v>
      </c>
    </row>
    <row r="2244" spans="1:14" x14ac:dyDescent="0.2">
      <c r="A2244" t="s">
        <v>2967</v>
      </c>
      <c r="B2244" s="1" t="s">
        <v>2939</v>
      </c>
      <c r="C2244" t="s">
        <v>14</v>
      </c>
      <c r="D2244" t="s">
        <v>504</v>
      </c>
      <c r="E2244">
        <v>14</v>
      </c>
      <c r="F2244" t="s">
        <v>2703</v>
      </c>
      <c r="G2244">
        <v>2022</v>
      </c>
      <c r="H2244" t="s">
        <v>91</v>
      </c>
      <c r="I2244" t="s">
        <v>23</v>
      </c>
      <c r="J2244">
        <v>899</v>
      </c>
      <c r="K2244">
        <v>295</v>
      </c>
      <c r="L2244">
        <f t="shared" si="560"/>
        <v>604</v>
      </c>
      <c r="M2244">
        <v>240</v>
      </c>
      <c r="N2244">
        <f t="shared" si="561"/>
        <v>364</v>
      </c>
    </row>
    <row r="2245" spans="1:14" x14ac:dyDescent="0.2">
      <c r="A2245" t="s">
        <v>2968</v>
      </c>
      <c r="B2245" s="1" t="s">
        <v>2939</v>
      </c>
      <c r="C2245" t="s">
        <v>14</v>
      </c>
      <c r="D2245" t="s">
        <v>840</v>
      </c>
      <c r="E2245">
        <v>14</v>
      </c>
      <c r="F2245" t="s">
        <v>2703</v>
      </c>
      <c r="G2245">
        <v>2022</v>
      </c>
      <c r="H2245" t="s">
        <v>104</v>
      </c>
      <c r="I2245" t="s">
        <v>62</v>
      </c>
      <c r="J2245">
        <v>949.05</v>
      </c>
      <c r="K2245">
        <v>306</v>
      </c>
      <c r="L2245">
        <f t="shared" si="560"/>
        <v>643.04999999999995</v>
      </c>
      <c r="M2245">
        <v>240</v>
      </c>
      <c r="N2245">
        <f t="shared" si="561"/>
        <v>403.04999999999995</v>
      </c>
    </row>
    <row r="2246" spans="1:14" x14ac:dyDescent="0.2">
      <c r="A2246" t="s">
        <v>2969</v>
      </c>
      <c r="B2246" s="1" t="s">
        <v>2939</v>
      </c>
      <c r="C2246" t="s">
        <v>14</v>
      </c>
      <c r="D2246" t="s">
        <v>133</v>
      </c>
      <c r="E2246">
        <v>14</v>
      </c>
      <c r="F2246" t="s">
        <v>2703</v>
      </c>
      <c r="G2246">
        <v>2022</v>
      </c>
      <c r="H2246" t="s">
        <v>398</v>
      </c>
      <c r="I2246" t="s">
        <v>399</v>
      </c>
      <c r="J2246">
        <v>759.05</v>
      </c>
      <c r="K2246">
        <v>202</v>
      </c>
      <c r="L2246">
        <f t="shared" si="560"/>
        <v>557.04999999999995</v>
      </c>
      <c r="M2246">
        <v>240</v>
      </c>
      <c r="N2246">
        <f t="shared" si="561"/>
        <v>317.04999999999995</v>
      </c>
    </row>
    <row r="2247" spans="1:14" x14ac:dyDescent="0.2">
      <c r="A2247" t="s">
        <v>2970</v>
      </c>
      <c r="B2247" s="1" t="s">
        <v>2939</v>
      </c>
      <c r="C2247" t="s">
        <v>14</v>
      </c>
      <c r="D2247" t="s">
        <v>881</v>
      </c>
      <c r="E2247">
        <v>14</v>
      </c>
      <c r="F2247" t="s">
        <v>2703</v>
      </c>
      <c r="G2247">
        <v>2022</v>
      </c>
      <c r="H2247" t="s">
        <v>2971</v>
      </c>
      <c r="I2247" t="s">
        <v>399</v>
      </c>
      <c r="J2247">
        <v>799</v>
      </c>
      <c r="K2247">
        <v>205</v>
      </c>
      <c r="L2247">
        <f t="shared" si="560"/>
        <v>594</v>
      </c>
      <c r="M2247">
        <v>240</v>
      </c>
      <c r="N2247">
        <f t="shared" si="561"/>
        <v>354</v>
      </c>
    </row>
    <row r="2248" spans="1:14" x14ac:dyDescent="0.2">
      <c r="A2248" t="s">
        <v>2972</v>
      </c>
      <c r="B2248" s="1" t="s">
        <v>2939</v>
      </c>
      <c r="C2248" t="s">
        <v>14</v>
      </c>
      <c r="D2248" t="s">
        <v>1076</v>
      </c>
      <c r="E2248">
        <v>14</v>
      </c>
      <c r="F2248" t="s">
        <v>2703</v>
      </c>
      <c r="G2248">
        <v>2022</v>
      </c>
      <c r="H2248" t="s">
        <v>246</v>
      </c>
      <c r="I2248" t="s">
        <v>58</v>
      </c>
      <c r="J2248">
        <v>806.55</v>
      </c>
      <c r="K2248">
        <v>227</v>
      </c>
      <c r="L2248">
        <f t="shared" si="560"/>
        <v>579.54999999999995</v>
      </c>
      <c r="M2248">
        <v>240</v>
      </c>
      <c r="N2248">
        <f t="shared" si="561"/>
        <v>339.54999999999995</v>
      </c>
    </row>
    <row r="2249" spans="1:14" x14ac:dyDescent="0.2">
      <c r="A2249" t="s">
        <v>2973</v>
      </c>
      <c r="B2249" s="1" t="s">
        <v>2939</v>
      </c>
      <c r="C2249" t="s">
        <v>14</v>
      </c>
      <c r="D2249" t="s">
        <v>490</v>
      </c>
      <c r="E2249">
        <v>14</v>
      </c>
      <c r="F2249" t="s">
        <v>2703</v>
      </c>
      <c r="G2249">
        <v>2022</v>
      </c>
      <c r="H2249" t="s">
        <v>2974</v>
      </c>
      <c r="I2249" t="s">
        <v>122</v>
      </c>
      <c r="J2249">
        <v>899</v>
      </c>
      <c r="K2249">
        <v>295</v>
      </c>
      <c r="L2249">
        <f t="shared" si="560"/>
        <v>604</v>
      </c>
      <c r="M2249">
        <v>240</v>
      </c>
      <c r="N2249">
        <f t="shared" si="561"/>
        <v>364</v>
      </c>
    </row>
    <row r="2250" spans="1:14" x14ac:dyDescent="0.2">
      <c r="A2250" t="s">
        <v>2975</v>
      </c>
      <c r="B2250" s="1" t="s">
        <v>2939</v>
      </c>
      <c r="C2250" t="s">
        <v>20</v>
      </c>
      <c r="D2250" t="s">
        <v>792</v>
      </c>
      <c r="E2250">
        <v>14</v>
      </c>
      <c r="F2250" t="s">
        <v>2703</v>
      </c>
      <c r="G2250">
        <v>2022</v>
      </c>
      <c r="H2250" t="s">
        <v>31</v>
      </c>
      <c r="I2250" t="s">
        <v>32</v>
      </c>
      <c r="J2250">
        <v>0</v>
      </c>
      <c r="K2250">
        <v>0</v>
      </c>
      <c r="L2250">
        <v>0</v>
      </c>
      <c r="M2250">
        <v>0</v>
      </c>
      <c r="N2250">
        <v>0</v>
      </c>
    </row>
    <row r="2251" spans="1:14" x14ac:dyDescent="0.2">
      <c r="A2251" t="s">
        <v>2976</v>
      </c>
      <c r="B2251" s="1" t="s">
        <v>2939</v>
      </c>
      <c r="C2251" t="s">
        <v>14</v>
      </c>
      <c r="D2251" t="s">
        <v>1076</v>
      </c>
      <c r="E2251">
        <v>14</v>
      </c>
      <c r="F2251" t="s">
        <v>2703</v>
      </c>
      <c r="G2251">
        <v>2022</v>
      </c>
      <c r="H2251" t="s">
        <v>246</v>
      </c>
      <c r="I2251" t="s">
        <v>58</v>
      </c>
      <c r="J2251">
        <v>806.55</v>
      </c>
      <c r="K2251">
        <v>227</v>
      </c>
      <c r="L2251">
        <f t="shared" ref="L2251:L2258" si="562">J2251-K2251</f>
        <v>579.54999999999995</v>
      </c>
      <c r="M2251">
        <v>240</v>
      </c>
      <c r="N2251">
        <f t="shared" ref="N2251:N2258" si="563">L2251-M2251</f>
        <v>339.54999999999995</v>
      </c>
    </row>
    <row r="2252" spans="1:14" x14ac:dyDescent="0.2">
      <c r="A2252" t="s">
        <v>2977</v>
      </c>
      <c r="B2252" s="1" t="s">
        <v>2939</v>
      </c>
      <c r="C2252" t="s">
        <v>14</v>
      </c>
      <c r="D2252" t="s">
        <v>881</v>
      </c>
      <c r="E2252">
        <v>14</v>
      </c>
      <c r="F2252" t="s">
        <v>2703</v>
      </c>
      <c r="G2252">
        <v>2022</v>
      </c>
      <c r="H2252" t="s">
        <v>2564</v>
      </c>
      <c r="I2252" t="s">
        <v>62</v>
      </c>
      <c r="J2252">
        <v>799</v>
      </c>
      <c r="K2252">
        <v>205</v>
      </c>
      <c r="L2252">
        <f t="shared" si="562"/>
        <v>594</v>
      </c>
      <c r="M2252">
        <v>240</v>
      </c>
      <c r="N2252">
        <f t="shared" si="563"/>
        <v>354</v>
      </c>
    </row>
    <row r="2253" spans="1:14" x14ac:dyDescent="0.2">
      <c r="A2253" t="s">
        <v>2978</v>
      </c>
      <c r="B2253" s="1" t="s">
        <v>2939</v>
      </c>
      <c r="C2253" t="s">
        <v>14</v>
      </c>
      <c r="D2253" t="s">
        <v>1012</v>
      </c>
      <c r="E2253">
        <v>14</v>
      </c>
      <c r="F2253" t="s">
        <v>2703</v>
      </c>
      <c r="G2253">
        <v>2022</v>
      </c>
      <c r="H2253" t="s">
        <v>2979</v>
      </c>
      <c r="I2253" t="s">
        <v>62</v>
      </c>
      <c r="J2253">
        <v>799</v>
      </c>
      <c r="K2253">
        <v>205</v>
      </c>
      <c r="L2253">
        <f t="shared" si="562"/>
        <v>594</v>
      </c>
      <c r="M2253">
        <v>240</v>
      </c>
      <c r="N2253">
        <f t="shared" si="563"/>
        <v>354</v>
      </c>
    </row>
    <row r="2254" spans="1:14" x14ac:dyDescent="0.2">
      <c r="A2254" t="s">
        <v>2980</v>
      </c>
      <c r="B2254" s="1" t="s">
        <v>2939</v>
      </c>
      <c r="C2254" t="s">
        <v>14</v>
      </c>
      <c r="D2254" t="s">
        <v>477</v>
      </c>
      <c r="E2254">
        <v>14</v>
      </c>
      <c r="F2254" t="s">
        <v>2703</v>
      </c>
      <c r="G2254">
        <v>2022</v>
      </c>
      <c r="H2254" t="s">
        <v>246</v>
      </c>
      <c r="I2254" t="s">
        <v>58</v>
      </c>
      <c r="J2254">
        <v>899</v>
      </c>
      <c r="K2254">
        <v>295</v>
      </c>
      <c r="L2254">
        <f t="shared" si="562"/>
        <v>604</v>
      </c>
      <c r="M2254">
        <v>240</v>
      </c>
      <c r="N2254">
        <f t="shared" si="563"/>
        <v>364</v>
      </c>
    </row>
    <row r="2255" spans="1:14" x14ac:dyDescent="0.2">
      <c r="A2255" t="s">
        <v>2981</v>
      </c>
      <c r="B2255" s="1" t="s">
        <v>2939</v>
      </c>
      <c r="C2255" t="s">
        <v>14</v>
      </c>
      <c r="D2255" t="s">
        <v>1002</v>
      </c>
      <c r="E2255">
        <v>14</v>
      </c>
      <c r="F2255" t="s">
        <v>2703</v>
      </c>
      <c r="G2255">
        <v>2022</v>
      </c>
      <c r="H2255" t="s">
        <v>84</v>
      </c>
      <c r="I2255" t="s">
        <v>85</v>
      </c>
      <c r="J2255">
        <v>849</v>
      </c>
      <c r="K2255">
        <v>250</v>
      </c>
      <c r="L2255">
        <f t="shared" si="562"/>
        <v>599</v>
      </c>
      <c r="M2255">
        <v>240</v>
      </c>
      <c r="N2255">
        <f t="shared" si="563"/>
        <v>359</v>
      </c>
    </row>
    <row r="2256" spans="1:14" x14ac:dyDescent="0.2">
      <c r="A2256" t="s">
        <v>2981</v>
      </c>
      <c r="B2256" s="1" t="s">
        <v>2939</v>
      </c>
      <c r="C2256" t="s">
        <v>14</v>
      </c>
      <c r="D2256" t="s">
        <v>895</v>
      </c>
      <c r="E2256">
        <v>14</v>
      </c>
      <c r="F2256" t="s">
        <v>2703</v>
      </c>
      <c r="G2256">
        <v>2022</v>
      </c>
      <c r="H2256" t="s">
        <v>84</v>
      </c>
      <c r="I2256" t="s">
        <v>85</v>
      </c>
      <c r="J2256">
        <v>849</v>
      </c>
      <c r="K2256">
        <v>250</v>
      </c>
      <c r="L2256">
        <f t="shared" si="562"/>
        <v>599</v>
      </c>
      <c r="M2256">
        <v>240</v>
      </c>
      <c r="N2256">
        <f t="shared" si="563"/>
        <v>359</v>
      </c>
    </row>
    <row r="2257" spans="1:14" x14ac:dyDescent="0.2">
      <c r="A2257" t="s">
        <v>2982</v>
      </c>
      <c r="B2257" s="1" t="s">
        <v>2939</v>
      </c>
      <c r="C2257" t="s">
        <v>14</v>
      </c>
      <c r="D2257" t="s">
        <v>2983</v>
      </c>
      <c r="E2257">
        <v>14</v>
      </c>
      <c r="F2257" t="s">
        <v>2703</v>
      </c>
      <c r="G2257">
        <v>2022</v>
      </c>
      <c r="H2257" t="s">
        <v>705</v>
      </c>
      <c r="I2257" t="s">
        <v>62</v>
      </c>
      <c r="J2257">
        <v>999</v>
      </c>
      <c r="K2257">
        <v>325</v>
      </c>
      <c r="L2257">
        <f t="shared" si="562"/>
        <v>674</v>
      </c>
      <c r="M2257">
        <v>240</v>
      </c>
      <c r="N2257">
        <f t="shared" si="563"/>
        <v>434</v>
      </c>
    </row>
    <row r="2258" spans="1:14" x14ac:dyDescent="0.2">
      <c r="A2258" t="s">
        <v>2984</v>
      </c>
      <c r="B2258" s="1" t="s">
        <v>2939</v>
      </c>
      <c r="C2258" t="s">
        <v>14</v>
      </c>
      <c r="D2258" t="s">
        <v>1015</v>
      </c>
      <c r="E2258">
        <v>14</v>
      </c>
      <c r="F2258" t="s">
        <v>2703</v>
      </c>
      <c r="G2258">
        <v>2022</v>
      </c>
      <c r="H2258" t="s">
        <v>246</v>
      </c>
      <c r="I2258" t="s">
        <v>58</v>
      </c>
      <c r="J2258">
        <v>849</v>
      </c>
      <c r="K2258">
        <v>250</v>
      </c>
      <c r="L2258">
        <f t="shared" si="562"/>
        <v>599</v>
      </c>
      <c r="M2258">
        <v>240</v>
      </c>
      <c r="N2258">
        <f t="shared" si="563"/>
        <v>359</v>
      </c>
    </row>
    <row r="2259" spans="1:14" x14ac:dyDescent="0.2">
      <c r="A2259" t="s">
        <v>2710</v>
      </c>
      <c r="B2259" s="1" t="s">
        <v>2701</v>
      </c>
      <c r="C2259" t="s">
        <v>106</v>
      </c>
      <c r="D2259" t="s">
        <v>169</v>
      </c>
      <c r="E2259">
        <v>1</v>
      </c>
      <c r="F2259" t="s">
        <v>2703</v>
      </c>
      <c r="G2259">
        <v>2022</v>
      </c>
      <c r="H2259" t="s">
        <v>2711</v>
      </c>
      <c r="I2259" t="s">
        <v>253</v>
      </c>
      <c r="J2259">
        <v>-759.05</v>
      </c>
      <c r="K2259">
        <v>320</v>
      </c>
      <c r="L2259">
        <f t="shared" ref="L2259:L2261" si="564">J2259+K2259</f>
        <v>-439.04999999999995</v>
      </c>
      <c r="M2259">
        <v>240</v>
      </c>
      <c r="N2259">
        <f t="shared" ref="N2259:N2261" si="565">L2259+M2259</f>
        <v>-199.04999999999995</v>
      </c>
    </row>
    <row r="2260" spans="1:14" x14ac:dyDescent="0.2">
      <c r="A2260" t="s">
        <v>2877</v>
      </c>
      <c r="B2260" s="1" t="s">
        <v>2867</v>
      </c>
      <c r="C2260" t="s">
        <v>106</v>
      </c>
      <c r="D2260" t="s">
        <v>822</v>
      </c>
      <c r="E2260">
        <v>10</v>
      </c>
      <c r="F2260" t="s">
        <v>2703</v>
      </c>
      <c r="G2260">
        <v>2022</v>
      </c>
      <c r="H2260" t="s">
        <v>519</v>
      </c>
      <c r="I2260" t="s">
        <v>58</v>
      </c>
      <c r="J2260">
        <v>-849</v>
      </c>
      <c r="K2260">
        <v>345</v>
      </c>
      <c r="L2260">
        <f t="shared" si="564"/>
        <v>-504</v>
      </c>
      <c r="M2260">
        <v>240</v>
      </c>
      <c r="N2260">
        <f t="shared" si="565"/>
        <v>-264</v>
      </c>
    </row>
    <row r="2261" spans="1:14" x14ac:dyDescent="0.2">
      <c r="A2261" t="s">
        <v>2877</v>
      </c>
      <c r="B2261" s="1" t="s">
        <v>2867</v>
      </c>
      <c r="C2261" t="s">
        <v>106</v>
      </c>
      <c r="D2261" t="s">
        <v>895</v>
      </c>
      <c r="E2261">
        <v>10</v>
      </c>
      <c r="F2261" t="s">
        <v>2703</v>
      </c>
      <c r="G2261">
        <v>2022</v>
      </c>
      <c r="H2261" t="s">
        <v>519</v>
      </c>
      <c r="I2261" t="s">
        <v>58</v>
      </c>
      <c r="J2261">
        <v>-849</v>
      </c>
      <c r="K2261">
        <v>345</v>
      </c>
      <c r="L2261">
        <f t="shared" si="564"/>
        <v>-504</v>
      </c>
      <c r="M2261">
        <v>240</v>
      </c>
      <c r="N2261">
        <f t="shared" si="565"/>
        <v>-264</v>
      </c>
    </row>
    <row r="2262" spans="1:14" x14ac:dyDescent="0.2">
      <c r="A2262" t="s">
        <v>2986</v>
      </c>
      <c r="B2262" s="1" t="s">
        <v>2985</v>
      </c>
      <c r="C2262" t="s">
        <v>14</v>
      </c>
      <c r="D2262" t="s">
        <v>2403</v>
      </c>
      <c r="E2262">
        <v>16</v>
      </c>
      <c r="F2262" t="s">
        <v>2703</v>
      </c>
      <c r="G2262">
        <v>2022</v>
      </c>
      <c r="H2262" t="s">
        <v>2234</v>
      </c>
      <c r="I2262" t="s">
        <v>257</v>
      </c>
      <c r="J2262">
        <v>799</v>
      </c>
      <c r="K2262">
        <v>205</v>
      </c>
      <c r="L2262">
        <f t="shared" ref="L2262:L2269" si="566">J2262-K2262</f>
        <v>594</v>
      </c>
      <c r="M2262">
        <v>240</v>
      </c>
      <c r="N2262">
        <f t="shared" ref="N2262:N2269" si="567">L2262-M2262</f>
        <v>354</v>
      </c>
    </row>
    <row r="2263" spans="1:14" x14ac:dyDescent="0.2">
      <c r="A2263" t="s">
        <v>2988</v>
      </c>
      <c r="B2263" s="1" t="s">
        <v>2987</v>
      </c>
      <c r="C2263" t="s">
        <v>14</v>
      </c>
      <c r="D2263" t="s">
        <v>477</v>
      </c>
      <c r="E2263">
        <v>15</v>
      </c>
      <c r="F2263" t="s">
        <v>2703</v>
      </c>
      <c r="G2263">
        <v>2022</v>
      </c>
      <c r="H2263" t="s">
        <v>2845</v>
      </c>
      <c r="I2263" t="s">
        <v>85</v>
      </c>
      <c r="J2263">
        <v>899</v>
      </c>
      <c r="K2263">
        <v>295</v>
      </c>
      <c r="L2263">
        <f t="shared" si="566"/>
        <v>604</v>
      </c>
      <c r="M2263">
        <v>240</v>
      </c>
      <c r="N2263">
        <f t="shared" si="567"/>
        <v>364</v>
      </c>
    </row>
    <row r="2264" spans="1:14" x14ac:dyDescent="0.2">
      <c r="A2264" t="s">
        <v>2989</v>
      </c>
      <c r="B2264" s="1" t="s">
        <v>2987</v>
      </c>
      <c r="C2264" t="s">
        <v>14</v>
      </c>
      <c r="D2264" t="s">
        <v>452</v>
      </c>
      <c r="E2264">
        <v>15</v>
      </c>
      <c r="F2264" t="s">
        <v>2703</v>
      </c>
      <c r="G2264">
        <v>2022</v>
      </c>
      <c r="H2264" t="s">
        <v>170</v>
      </c>
      <c r="I2264" t="s">
        <v>171</v>
      </c>
      <c r="J2264">
        <v>799</v>
      </c>
      <c r="K2264">
        <v>205</v>
      </c>
      <c r="L2264">
        <f t="shared" si="566"/>
        <v>594</v>
      </c>
      <c r="M2264">
        <v>240</v>
      </c>
      <c r="N2264">
        <f t="shared" si="567"/>
        <v>354</v>
      </c>
    </row>
    <row r="2265" spans="1:14" x14ac:dyDescent="0.2">
      <c r="A2265" t="s">
        <v>2990</v>
      </c>
      <c r="B2265" s="1" t="s">
        <v>2987</v>
      </c>
      <c r="C2265" t="s">
        <v>14</v>
      </c>
      <c r="D2265" t="s">
        <v>133</v>
      </c>
      <c r="E2265">
        <v>15</v>
      </c>
      <c r="F2265" t="s">
        <v>2703</v>
      </c>
      <c r="G2265">
        <v>2022</v>
      </c>
      <c r="H2265" t="s">
        <v>2991</v>
      </c>
      <c r="I2265" t="s">
        <v>160</v>
      </c>
      <c r="J2265">
        <v>799</v>
      </c>
      <c r="K2265">
        <v>205</v>
      </c>
      <c r="L2265">
        <f t="shared" si="566"/>
        <v>594</v>
      </c>
      <c r="M2265">
        <v>240</v>
      </c>
      <c r="N2265">
        <f t="shared" si="567"/>
        <v>354</v>
      </c>
    </row>
    <row r="2266" spans="1:14" x14ac:dyDescent="0.2">
      <c r="A2266" t="s">
        <v>2992</v>
      </c>
      <c r="B2266" s="1" t="s">
        <v>2987</v>
      </c>
      <c r="C2266" t="s">
        <v>14</v>
      </c>
      <c r="D2266" t="s">
        <v>452</v>
      </c>
      <c r="E2266">
        <v>15</v>
      </c>
      <c r="F2266" t="s">
        <v>2703</v>
      </c>
      <c r="G2266">
        <v>2022</v>
      </c>
      <c r="H2266" t="s">
        <v>215</v>
      </c>
      <c r="I2266" t="s">
        <v>135</v>
      </c>
      <c r="J2266">
        <v>759.05</v>
      </c>
      <c r="K2266">
        <v>202</v>
      </c>
      <c r="L2266">
        <f t="shared" si="566"/>
        <v>557.04999999999995</v>
      </c>
      <c r="M2266">
        <v>240</v>
      </c>
      <c r="N2266">
        <f t="shared" si="567"/>
        <v>317.04999999999995</v>
      </c>
    </row>
    <row r="2267" spans="1:14" x14ac:dyDescent="0.2">
      <c r="A2267" t="s">
        <v>2993</v>
      </c>
      <c r="B2267" s="1" t="s">
        <v>2987</v>
      </c>
      <c r="C2267" t="s">
        <v>14</v>
      </c>
      <c r="D2267" t="s">
        <v>169</v>
      </c>
      <c r="E2267">
        <v>15</v>
      </c>
      <c r="F2267" t="s">
        <v>2703</v>
      </c>
      <c r="G2267">
        <v>2022</v>
      </c>
      <c r="H2267" t="s">
        <v>2994</v>
      </c>
      <c r="I2267" t="s">
        <v>58</v>
      </c>
      <c r="J2267">
        <v>799</v>
      </c>
      <c r="K2267">
        <v>205</v>
      </c>
      <c r="L2267">
        <f t="shared" si="566"/>
        <v>594</v>
      </c>
      <c r="M2267">
        <v>240</v>
      </c>
      <c r="N2267">
        <f t="shared" si="567"/>
        <v>354</v>
      </c>
    </row>
    <row r="2268" spans="1:14" x14ac:dyDescent="0.2">
      <c r="A2268" t="s">
        <v>2995</v>
      </c>
      <c r="B2268" s="1" t="s">
        <v>2987</v>
      </c>
      <c r="C2268" t="s">
        <v>14</v>
      </c>
      <c r="D2268" t="s">
        <v>548</v>
      </c>
      <c r="E2268">
        <v>15</v>
      </c>
      <c r="F2268" t="s">
        <v>2703</v>
      </c>
      <c r="G2268">
        <v>2022</v>
      </c>
      <c r="H2268" t="s">
        <v>215</v>
      </c>
      <c r="I2268" t="s">
        <v>135</v>
      </c>
      <c r="J2268">
        <v>854.05</v>
      </c>
      <c r="K2268">
        <v>270</v>
      </c>
      <c r="L2268">
        <f t="shared" si="566"/>
        <v>584.04999999999995</v>
      </c>
      <c r="M2268">
        <v>240</v>
      </c>
      <c r="N2268">
        <f t="shared" si="567"/>
        <v>344.04999999999995</v>
      </c>
    </row>
    <row r="2269" spans="1:14" x14ac:dyDescent="0.2">
      <c r="A2269" t="s">
        <v>2996</v>
      </c>
      <c r="B2269" s="1" t="s">
        <v>2987</v>
      </c>
      <c r="C2269" t="s">
        <v>14</v>
      </c>
      <c r="D2269" t="s">
        <v>1212</v>
      </c>
      <c r="E2269">
        <v>15</v>
      </c>
      <c r="F2269" t="s">
        <v>2703</v>
      </c>
      <c r="G2269">
        <v>2022</v>
      </c>
      <c r="H2269" t="s">
        <v>2997</v>
      </c>
      <c r="I2269" t="s">
        <v>23</v>
      </c>
      <c r="J2269">
        <v>759.05</v>
      </c>
      <c r="K2269">
        <v>202</v>
      </c>
      <c r="L2269">
        <f t="shared" si="566"/>
        <v>557.04999999999995</v>
      </c>
      <c r="M2269">
        <v>240</v>
      </c>
      <c r="N2269">
        <f t="shared" si="567"/>
        <v>317.04999999999995</v>
      </c>
    </row>
    <row r="2270" spans="1:14" x14ac:dyDescent="0.2">
      <c r="A2270" t="s">
        <v>2998</v>
      </c>
      <c r="B2270" s="1" t="s">
        <v>2985</v>
      </c>
      <c r="C2270" t="s">
        <v>43</v>
      </c>
      <c r="D2270" t="s">
        <v>548</v>
      </c>
      <c r="E2270">
        <v>16</v>
      </c>
      <c r="F2270" t="s">
        <v>2703</v>
      </c>
      <c r="G2270">
        <v>2022</v>
      </c>
      <c r="H2270" t="s">
        <v>1034</v>
      </c>
      <c r="I2270" t="s">
        <v>85</v>
      </c>
      <c r="J2270">
        <v>0</v>
      </c>
      <c r="K2270">
        <v>0</v>
      </c>
      <c r="L2270">
        <v>0</v>
      </c>
      <c r="M2270">
        <v>0</v>
      </c>
      <c r="N2270">
        <v>0</v>
      </c>
    </row>
    <row r="2271" spans="1:14" x14ac:dyDescent="0.2">
      <c r="A2271" t="s">
        <v>2777</v>
      </c>
      <c r="B2271" s="1" t="s">
        <v>2756</v>
      </c>
      <c r="C2271" t="s">
        <v>106</v>
      </c>
      <c r="D2271" t="s">
        <v>895</v>
      </c>
      <c r="E2271">
        <v>5</v>
      </c>
      <c r="F2271" t="s">
        <v>2703</v>
      </c>
      <c r="G2271">
        <v>2022</v>
      </c>
      <c r="H2271" t="s">
        <v>1260</v>
      </c>
      <c r="I2271" t="s">
        <v>28</v>
      </c>
      <c r="J2271">
        <v>-849</v>
      </c>
      <c r="K2271">
        <v>345</v>
      </c>
      <c r="L2271">
        <f>J2271+K2271</f>
        <v>-504</v>
      </c>
      <c r="M2271">
        <v>240</v>
      </c>
      <c r="N2271">
        <f>L2271+M2271</f>
        <v>-264</v>
      </c>
    </row>
    <row r="2272" spans="1:14" x14ac:dyDescent="0.2">
      <c r="A2272" t="s">
        <v>2999</v>
      </c>
      <c r="B2272" s="1" t="s">
        <v>2985</v>
      </c>
      <c r="C2272" t="s">
        <v>43</v>
      </c>
      <c r="D2272" t="s">
        <v>504</v>
      </c>
      <c r="E2272">
        <v>16</v>
      </c>
      <c r="F2272" t="s">
        <v>2703</v>
      </c>
      <c r="G2272">
        <v>2022</v>
      </c>
      <c r="H2272" t="s">
        <v>157</v>
      </c>
      <c r="I2272" t="s">
        <v>97</v>
      </c>
      <c r="J2272">
        <v>0</v>
      </c>
      <c r="K2272">
        <v>0</v>
      </c>
      <c r="L2272">
        <v>0</v>
      </c>
      <c r="M2272">
        <v>0</v>
      </c>
      <c r="N2272">
        <v>0</v>
      </c>
    </row>
    <row r="2273" spans="1:14" x14ac:dyDescent="0.2">
      <c r="A2273" t="s">
        <v>2996</v>
      </c>
      <c r="B2273" s="1" t="s">
        <v>2987</v>
      </c>
      <c r="C2273" t="s">
        <v>106</v>
      </c>
      <c r="D2273" t="s">
        <v>1212</v>
      </c>
      <c r="E2273">
        <v>15</v>
      </c>
      <c r="F2273" t="s">
        <v>2703</v>
      </c>
      <c r="G2273">
        <v>2022</v>
      </c>
      <c r="H2273" t="s">
        <v>2997</v>
      </c>
      <c r="I2273" t="s">
        <v>23</v>
      </c>
      <c r="J2273">
        <v>-759.05</v>
      </c>
      <c r="K2273">
        <v>320</v>
      </c>
      <c r="L2273">
        <f>J2273+K2273</f>
        <v>-439.04999999999995</v>
      </c>
      <c r="M2273">
        <v>240</v>
      </c>
      <c r="N2273">
        <f>L2273+M2273</f>
        <v>-199.04999999999995</v>
      </c>
    </row>
    <row r="2274" spans="1:14" x14ac:dyDescent="0.2">
      <c r="A2274" t="s">
        <v>3000</v>
      </c>
      <c r="B2274" s="1" t="s">
        <v>2985</v>
      </c>
      <c r="C2274" t="s">
        <v>14</v>
      </c>
      <c r="D2274" t="s">
        <v>448</v>
      </c>
      <c r="E2274">
        <v>16</v>
      </c>
      <c r="F2274" t="s">
        <v>2703</v>
      </c>
      <c r="G2274">
        <v>2022</v>
      </c>
      <c r="H2274" t="s">
        <v>3001</v>
      </c>
      <c r="I2274" t="s">
        <v>253</v>
      </c>
      <c r="J2274">
        <v>899</v>
      </c>
      <c r="K2274">
        <v>295</v>
      </c>
      <c r="L2274">
        <f>J2274-K2274</f>
        <v>604</v>
      </c>
      <c r="M2274">
        <v>240</v>
      </c>
      <c r="N2274">
        <f>L2274-M2274</f>
        <v>364</v>
      </c>
    </row>
    <row r="2275" spans="1:14" x14ac:dyDescent="0.2">
      <c r="A2275" t="s">
        <v>3002</v>
      </c>
      <c r="B2275" s="1" t="s">
        <v>2985</v>
      </c>
      <c r="C2275" t="s">
        <v>20</v>
      </c>
      <c r="D2275" t="s">
        <v>490</v>
      </c>
      <c r="E2275">
        <v>16</v>
      </c>
      <c r="F2275" t="s">
        <v>2703</v>
      </c>
      <c r="G2275">
        <v>2022</v>
      </c>
      <c r="H2275" t="s">
        <v>157</v>
      </c>
      <c r="I2275" t="s">
        <v>97</v>
      </c>
      <c r="J2275">
        <v>0</v>
      </c>
      <c r="K2275">
        <v>0</v>
      </c>
      <c r="L2275">
        <v>0</v>
      </c>
      <c r="M2275">
        <v>0</v>
      </c>
      <c r="N2275">
        <v>0</v>
      </c>
    </row>
    <row r="2276" spans="1:14" x14ac:dyDescent="0.2">
      <c r="A2276" t="s">
        <v>3003</v>
      </c>
      <c r="B2276" s="1" t="s">
        <v>2985</v>
      </c>
      <c r="C2276" t="s">
        <v>14</v>
      </c>
      <c r="D2276" t="s">
        <v>840</v>
      </c>
      <c r="E2276">
        <v>16</v>
      </c>
      <c r="F2276" t="s">
        <v>2703</v>
      </c>
      <c r="G2276">
        <v>2022</v>
      </c>
      <c r="H2276" t="s">
        <v>170</v>
      </c>
      <c r="I2276" t="s">
        <v>171</v>
      </c>
      <c r="J2276">
        <v>999</v>
      </c>
      <c r="K2276">
        <v>325</v>
      </c>
      <c r="L2276">
        <f t="shared" ref="L2276:L2288" si="568">J2276-K2276</f>
        <v>674</v>
      </c>
      <c r="M2276">
        <v>240</v>
      </c>
      <c r="N2276">
        <f t="shared" ref="N2276:N2288" si="569">L2276-M2276</f>
        <v>434</v>
      </c>
    </row>
    <row r="2277" spans="1:14" x14ac:dyDescent="0.2">
      <c r="A2277" t="s">
        <v>3004</v>
      </c>
      <c r="B2277" s="1" t="s">
        <v>2985</v>
      </c>
      <c r="C2277" t="s">
        <v>14</v>
      </c>
      <c r="D2277" t="s">
        <v>81</v>
      </c>
      <c r="E2277">
        <v>16</v>
      </c>
      <c r="F2277" t="s">
        <v>2703</v>
      </c>
      <c r="G2277">
        <v>2022</v>
      </c>
      <c r="H2277" t="s">
        <v>435</v>
      </c>
      <c r="I2277" t="s">
        <v>58</v>
      </c>
      <c r="J2277">
        <v>849</v>
      </c>
      <c r="K2277">
        <v>250</v>
      </c>
      <c r="L2277">
        <f t="shared" si="568"/>
        <v>599</v>
      </c>
      <c r="M2277">
        <v>240</v>
      </c>
      <c r="N2277">
        <f t="shared" si="569"/>
        <v>359</v>
      </c>
    </row>
    <row r="2278" spans="1:14" x14ac:dyDescent="0.2">
      <c r="A2278" t="s">
        <v>3005</v>
      </c>
      <c r="B2278" s="1" t="s">
        <v>2985</v>
      </c>
      <c r="C2278" t="s">
        <v>14</v>
      </c>
      <c r="D2278" t="s">
        <v>133</v>
      </c>
      <c r="E2278">
        <v>16</v>
      </c>
      <c r="F2278" t="s">
        <v>2703</v>
      </c>
      <c r="G2278">
        <v>2022</v>
      </c>
      <c r="H2278" t="s">
        <v>157</v>
      </c>
      <c r="I2278" t="s">
        <v>97</v>
      </c>
      <c r="J2278">
        <v>799</v>
      </c>
      <c r="K2278">
        <v>205</v>
      </c>
      <c r="L2278">
        <f t="shared" si="568"/>
        <v>594</v>
      </c>
      <c r="M2278">
        <v>240</v>
      </c>
      <c r="N2278">
        <f t="shared" si="569"/>
        <v>354</v>
      </c>
    </row>
    <row r="2279" spans="1:14" x14ac:dyDescent="0.2">
      <c r="A2279" t="s">
        <v>3006</v>
      </c>
      <c r="B2279" s="1" t="s">
        <v>2985</v>
      </c>
      <c r="C2279" t="s">
        <v>14</v>
      </c>
      <c r="D2279" t="s">
        <v>490</v>
      </c>
      <c r="E2279">
        <v>16</v>
      </c>
      <c r="F2279" t="s">
        <v>2703</v>
      </c>
      <c r="G2279">
        <v>2022</v>
      </c>
      <c r="H2279" t="s">
        <v>170</v>
      </c>
      <c r="I2279" t="s">
        <v>171</v>
      </c>
      <c r="J2279">
        <v>899</v>
      </c>
      <c r="K2279">
        <v>295</v>
      </c>
      <c r="L2279">
        <f t="shared" si="568"/>
        <v>604</v>
      </c>
      <c r="M2279">
        <v>240</v>
      </c>
      <c r="N2279">
        <f t="shared" si="569"/>
        <v>364</v>
      </c>
    </row>
    <row r="2280" spans="1:14" x14ac:dyDescent="0.2">
      <c r="A2280" t="s">
        <v>2999</v>
      </c>
      <c r="B2280" s="1" t="s">
        <v>2985</v>
      </c>
      <c r="C2280" t="s">
        <v>14</v>
      </c>
      <c r="D2280" t="s">
        <v>504</v>
      </c>
      <c r="E2280">
        <v>16</v>
      </c>
      <c r="F2280" t="s">
        <v>2703</v>
      </c>
      <c r="G2280">
        <v>2022</v>
      </c>
      <c r="H2280" t="s">
        <v>157</v>
      </c>
      <c r="I2280" t="s">
        <v>97</v>
      </c>
      <c r="J2280">
        <v>899</v>
      </c>
      <c r="K2280">
        <v>295</v>
      </c>
      <c r="L2280">
        <f t="shared" si="568"/>
        <v>604</v>
      </c>
      <c r="M2280">
        <v>240</v>
      </c>
      <c r="N2280">
        <f t="shared" si="569"/>
        <v>364</v>
      </c>
    </row>
    <row r="2281" spans="1:14" x14ac:dyDescent="0.2">
      <c r="A2281" t="s">
        <v>3007</v>
      </c>
      <c r="B2281" s="1" t="s">
        <v>2985</v>
      </c>
      <c r="C2281" t="s">
        <v>14</v>
      </c>
      <c r="D2281" t="s">
        <v>448</v>
      </c>
      <c r="E2281">
        <v>16</v>
      </c>
      <c r="F2281" t="s">
        <v>2703</v>
      </c>
      <c r="G2281">
        <v>2022</v>
      </c>
      <c r="H2281" t="s">
        <v>84</v>
      </c>
      <c r="I2281" t="s">
        <v>85</v>
      </c>
      <c r="J2281">
        <v>899</v>
      </c>
      <c r="K2281">
        <v>295</v>
      </c>
      <c r="L2281">
        <f t="shared" si="568"/>
        <v>604</v>
      </c>
      <c r="M2281">
        <v>240</v>
      </c>
      <c r="N2281">
        <f t="shared" si="569"/>
        <v>364</v>
      </c>
    </row>
    <row r="2282" spans="1:14" x14ac:dyDescent="0.2">
      <c r="A2282" t="s">
        <v>2998</v>
      </c>
      <c r="B2282" s="1" t="s">
        <v>2985</v>
      </c>
      <c r="C2282" t="s">
        <v>14</v>
      </c>
      <c r="D2282" t="s">
        <v>548</v>
      </c>
      <c r="E2282">
        <v>16</v>
      </c>
      <c r="F2282" t="s">
        <v>2703</v>
      </c>
      <c r="G2282">
        <v>2022</v>
      </c>
      <c r="H2282" t="s">
        <v>1034</v>
      </c>
      <c r="I2282" t="s">
        <v>85</v>
      </c>
      <c r="J2282">
        <v>854.05</v>
      </c>
      <c r="K2282">
        <v>270</v>
      </c>
      <c r="L2282">
        <f t="shared" si="568"/>
        <v>584.04999999999995</v>
      </c>
      <c r="M2282">
        <v>240</v>
      </c>
      <c r="N2282">
        <f t="shared" si="569"/>
        <v>344.04999999999995</v>
      </c>
    </row>
    <row r="2283" spans="1:14" x14ac:dyDescent="0.2">
      <c r="A2283" t="s">
        <v>3008</v>
      </c>
      <c r="B2283" s="1" t="s">
        <v>2985</v>
      </c>
      <c r="C2283" t="s">
        <v>14</v>
      </c>
      <c r="D2283" t="s">
        <v>548</v>
      </c>
      <c r="E2283">
        <v>16</v>
      </c>
      <c r="F2283" t="s">
        <v>2703</v>
      </c>
      <c r="G2283">
        <v>2022</v>
      </c>
      <c r="H2283" t="s">
        <v>157</v>
      </c>
      <c r="I2283" t="s">
        <v>97</v>
      </c>
      <c r="J2283">
        <v>854.05</v>
      </c>
      <c r="K2283">
        <v>270</v>
      </c>
      <c r="L2283">
        <f t="shared" si="568"/>
        <v>584.04999999999995</v>
      </c>
      <c r="M2283">
        <v>240</v>
      </c>
      <c r="N2283">
        <f t="shared" si="569"/>
        <v>344.04999999999995</v>
      </c>
    </row>
    <row r="2284" spans="1:14" x14ac:dyDescent="0.2">
      <c r="A2284" t="s">
        <v>3009</v>
      </c>
      <c r="B2284" s="1" t="s">
        <v>2985</v>
      </c>
      <c r="C2284" t="s">
        <v>14</v>
      </c>
      <c r="D2284" t="s">
        <v>697</v>
      </c>
      <c r="E2284">
        <v>16</v>
      </c>
      <c r="F2284" t="s">
        <v>2703</v>
      </c>
      <c r="G2284">
        <v>2022</v>
      </c>
      <c r="H2284" t="s">
        <v>3010</v>
      </c>
      <c r="I2284" t="s">
        <v>23</v>
      </c>
      <c r="J2284">
        <v>799</v>
      </c>
      <c r="K2284">
        <v>205</v>
      </c>
      <c r="L2284">
        <f t="shared" si="568"/>
        <v>594</v>
      </c>
      <c r="M2284">
        <v>240</v>
      </c>
      <c r="N2284">
        <f t="shared" si="569"/>
        <v>354</v>
      </c>
    </row>
    <row r="2285" spans="1:14" x14ac:dyDescent="0.2">
      <c r="A2285" t="s">
        <v>3011</v>
      </c>
      <c r="B2285" s="1" t="s">
        <v>2985</v>
      </c>
      <c r="C2285" t="s">
        <v>14</v>
      </c>
      <c r="D2285" t="s">
        <v>1486</v>
      </c>
      <c r="E2285">
        <v>16</v>
      </c>
      <c r="F2285" t="s">
        <v>2703</v>
      </c>
      <c r="G2285">
        <v>2022</v>
      </c>
      <c r="H2285" t="s">
        <v>3012</v>
      </c>
      <c r="I2285" t="s">
        <v>135</v>
      </c>
      <c r="J2285">
        <v>949.05</v>
      </c>
      <c r="K2285">
        <v>306</v>
      </c>
      <c r="L2285">
        <f t="shared" si="568"/>
        <v>643.04999999999995</v>
      </c>
      <c r="M2285">
        <v>240</v>
      </c>
      <c r="N2285">
        <f t="shared" si="569"/>
        <v>403.04999999999995</v>
      </c>
    </row>
    <row r="2286" spans="1:14" x14ac:dyDescent="0.2">
      <c r="A2286" t="s">
        <v>3013</v>
      </c>
      <c r="B2286" s="1" t="s">
        <v>2985</v>
      </c>
      <c r="C2286" t="s">
        <v>14</v>
      </c>
      <c r="D2286" t="s">
        <v>548</v>
      </c>
      <c r="E2286">
        <v>16</v>
      </c>
      <c r="F2286" t="s">
        <v>2703</v>
      </c>
      <c r="G2286">
        <v>2022</v>
      </c>
      <c r="H2286" t="s">
        <v>3014</v>
      </c>
      <c r="I2286" t="s">
        <v>253</v>
      </c>
      <c r="J2286">
        <v>854.05</v>
      </c>
      <c r="K2286">
        <v>270</v>
      </c>
      <c r="L2286">
        <f t="shared" si="568"/>
        <v>584.04999999999995</v>
      </c>
      <c r="M2286">
        <v>240</v>
      </c>
      <c r="N2286">
        <f t="shared" si="569"/>
        <v>344.04999999999995</v>
      </c>
    </row>
    <row r="2287" spans="1:14" x14ac:dyDescent="0.2">
      <c r="A2287" t="s">
        <v>3015</v>
      </c>
      <c r="B2287" s="1" t="s">
        <v>2985</v>
      </c>
      <c r="C2287" t="s">
        <v>14</v>
      </c>
      <c r="D2287" t="s">
        <v>448</v>
      </c>
      <c r="E2287">
        <v>16</v>
      </c>
      <c r="F2287" t="s">
        <v>2703</v>
      </c>
      <c r="G2287">
        <v>2022</v>
      </c>
      <c r="H2287" t="s">
        <v>1490</v>
      </c>
      <c r="I2287" t="s">
        <v>97</v>
      </c>
      <c r="J2287">
        <v>899</v>
      </c>
      <c r="K2287">
        <v>295</v>
      </c>
      <c r="L2287">
        <f t="shared" si="568"/>
        <v>604</v>
      </c>
      <c r="M2287">
        <v>240</v>
      </c>
      <c r="N2287">
        <f t="shared" si="569"/>
        <v>364</v>
      </c>
    </row>
    <row r="2288" spans="1:14" x14ac:dyDescent="0.2">
      <c r="A2288" t="s">
        <v>3016</v>
      </c>
      <c r="B2288" s="1" t="s">
        <v>2985</v>
      </c>
      <c r="C2288" t="s">
        <v>14</v>
      </c>
      <c r="D2288" t="s">
        <v>822</v>
      </c>
      <c r="E2288">
        <v>16</v>
      </c>
      <c r="F2288" t="s">
        <v>2703</v>
      </c>
      <c r="G2288">
        <v>2022</v>
      </c>
      <c r="H2288" t="s">
        <v>246</v>
      </c>
      <c r="I2288" t="s">
        <v>58</v>
      </c>
      <c r="J2288">
        <v>849</v>
      </c>
      <c r="K2288">
        <v>250</v>
      </c>
      <c r="L2288">
        <f t="shared" si="568"/>
        <v>599</v>
      </c>
      <c r="M2288">
        <v>240</v>
      </c>
      <c r="N2288">
        <f t="shared" si="569"/>
        <v>359</v>
      </c>
    </row>
    <row r="2289" spans="1:14" x14ac:dyDescent="0.2">
      <c r="A2289" t="s">
        <v>3011</v>
      </c>
      <c r="B2289" s="1" t="s">
        <v>2985</v>
      </c>
      <c r="C2289" t="s">
        <v>106</v>
      </c>
      <c r="D2289" t="s">
        <v>1486</v>
      </c>
      <c r="E2289">
        <v>16</v>
      </c>
      <c r="F2289" t="s">
        <v>2703</v>
      </c>
      <c r="G2289">
        <v>2022</v>
      </c>
      <c r="H2289" t="s">
        <v>3012</v>
      </c>
      <c r="I2289" t="s">
        <v>135</v>
      </c>
      <c r="J2289">
        <v>-949.05</v>
      </c>
      <c r="K2289">
        <v>395</v>
      </c>
      <c r="L2289">
        <f t="shared" ref="L2289:L2291" si="570">J2289+K2289</f>
        <v>-554.04999999999995</v>
      </c>
      <c r="M2289">
        <v>240</v>
      </c>
      <c r="N2289">
        <f t="shared" ref="N2289:N2291" si="571">L2289+M2289</f>
        <v>-314.04999999999995</v>
      </c>
    </row>
    <row r="2290" spans="1:14" x14ac:dyDescent="0.2">
      <c r="A2290" t="s">
        <v>2858</v>
      </c>
      <c r="B2290" s="1" t="s">
        <v>2837</v>
      </c>
      <c r="C2290" t="s">
        <v>106</v>
      </c>
      <c r="D2290" t="s">
        <v>819</v>
      </c>
      <c r="E2290">
        <v>9</v>
      </c>
      <c r="F2290" t="s">
        <v>2703</v>
      </c>
      <c r="G2290">
        <v>2022</v>
      </c>
      <c r="H2290" t="s">
        <v>157</v>
      </c>
      <c r="I2290" t="s">
        <v>97</v>
      </c>
      <c r="J2290">
        <v>-999</v>
      </c>
      <c r="K2290">
        <v>395</v>
      </c>
      <c r="L2290">
        <f t="shared" si="570"/>
        <v>-604</v>
      </c>
      <c r="M2290">
        <v>240</v>
      </c>
      <c r="N2290">
        <f t="shared" si="571"/>
        <v>-364</v>
      </c>
    </row>
    <row r="2291" spans="1:14" x14ac:dyDescent="0.2">
      <c r="A2291" t="s">
        <v>2908</v>
      </c>
      <c r="B2291" s="1" t="s">
        <v>2886</v>
      </c>
      <c r="C2291" t="s">
        <v>106</v>
      </c>
      <c r="D2291" t="s">
        <v>1699</v>
      </c>
      <c r="E2291">
        <v>11</v>
      </c>
      <c r="F2291" t="s">
        <v>2703</v>
      </c>
      <c r="G2291">
        <v>2022</v>
      </c>
      <c r="H2291" t="s">
        <v>2909</v>
      </c>
      <c r="I2291" t="s">
        <v>163</v>
      </c>
      <c r="J2291">
        <v>-799</v>
      </c>
      <c r="K2291">
        <v>320</v>
      </c>
      <c r="L2291">
        <f t="shared" si="570"/>
        <v>-479</v>
      </c>
      <c r="M2291">
        <v>240</v>
      </c>
      <c r="N2291">
        <f t="shared" si="571"/>
        <v>-239</v>
      </c>
    </row>
    <row r="2292" spans="1:14" x14ac:dyDescent="0.2">
      <c r="A2292" t="s">
        <v>3018</v>
      </c>
      <c r="B2292" s="1" t="s">
        <v>3017</v>
      </c>
      <c r="C2292" t="s">
        <v>43</v>
      </c>
      <c r="D2292" t="s">
        <v>954</v>
      </c>
      <c r="E2292">
        <v>17</v>
      </c>
      <c r="F2292" t="s">
        <v>2703</v>
      </c>
      <c r="G2292">
        <v>2022</v>
      </c>
      <c r="H2292" t="s">
        <v>3019</v>
      </c>
      <c r="I2292" t="s">
        <v>257</v>
      </c>
      <c r="J2292">
        <v>0</v>
      </c>
      <c r="K2292">
        <v>0</v>
      </c>
      <c r="L2292">
        <v>0</v>
      </c>
      <c r="M2292">
        <v>0</v>
      </c>
      <c r="N2292">
        <v>0</v>
      </c>
    </row>
    <row r="2293" spans="1:14" x14ac:dyDescent="0.2">
      <c r="A2293" t="s">
        <v>3021</v>
      </c>
      <c r="B2293" s="1" t="s">
        <v>3020</v>
      </c>
      <c r="C2293" t="s">
        <v>43</v>
      </c>
      <c r="D2293" t="s">
        <v>548</v>
      </c>
      <c r="E2293">
        <v>18</v>
      </c>
      <c r="F2293" t="s">
        <v>2703</v>
      </c>
      <c r="G2293">
        <v>2022</v>
      </c>
      <c r="H2293" t="s">
        <v>882</v>
      </c>
      <c r="I2293" t="s">
        <v>883</v>
      </c>
      <c r="J2293">
        <v>0</v>
      </c>
      <c r="K2293">
        <v>0</v>
      </c>
      <c r="L2293">
        <v>0</v>
      </c>
      <c r="M2293">
        <v>0</v>
      </c>
      <c r="N2293">
        <v>0</v>
      </c>
    </row>
    <row r="2294" spans="1:14" x14ac:dyDescent="0.2">
      <c r="A2294" t="s">
        <v>3022</v>
      </c>
      <c r="B2294" s="1" t="s">
        <v>3017</v>
      </c>
      <c r="C2294" t="s">
        <v>14</v>
      </c>
      <c r="D2294" t="s">
        <v>954</v>
      </c>
      <c r="E2294">
        <v>17</v>
      </c>
      <c r="F2294" t="s">
        <v>2703</v>
      </c>
      <c r="G2294">
        <v>2022</v>
      </c>
      <c r="H2294" t="s">
        <v>3023</v>
      </c>
      <c r="I2294" t="s">
        <v>122</v>
      </c>
      <c r="J2294">
        <v>799</v>
      </c>
      <c r="K2294">
        <v>205</v>
      </c>
      <c r="L2294">
        <f t="shared" ref="L2294:L2301" si="572">J2294-K2294</f>
        <v>594</v>
      </c>
      <c r="M2294">
        <v>240</v>
      </c>
      <c r="N2294">
        <f t="shared" ref="N2294:N2301" si="573">L2294-M2294</f>
        <v>354</v>
      </c>
    </row>
    <row r="2295" spans="1:14" x14ac:dyDescent="0.2">
      <c r="A2295" t="s">
        <v>3024</v>
      </c>
      <c r="B2295" s="1" t="s">
        <v>3017</v>
      </c>
      <c r="C2295" t="s">
        <v>14</v>
      </c>
      <c r="D2295" t="s">
        <v>840</v>
      </c>
      <c r="E2295">
        <v>17</v>
      </c>
      <c r="F2295" t="s">
        <v>2703</v>
      </c>
      <c r="G2295">
        <v>2022</v>
      </c>
      <c r="H2295" t="s">
        <v>246</v>
      </c>
      <c r="I2295" t="s">
        <v>58</v>
      </c>
      <c r="J2295">
        <v>999</v>
      </c>
      <c r="K2295">
        <v>325</v>
      </c>
      <c r="L2295">
        <f t="shared" si="572"/>
        <v>674</v>
      </c>
      <c r="M2295">
        <v>240</v>
      </c>
      <c r="N2295">
        <f t="shared" si="573"/>
        <v>434</v>
      </c>
    </row>
    <row r="2296" spans="1:14" x14ac:dyDescent="0.2">
      <c r="A2296" t="s">
        <v>3025</v>
      </c>
      <c r="B2296" s="1" t="s">
        <v>3017</v>
      </c>
      <c r="C2296" t="s">
        <v>14</v>
      </c>
      <c r="D2296" t="s">
        <v>822</v>
      </c>
      <c r="E2296">
        <v>17</v>
      </c>
      <c r="F2296" t="s">
        <v>2703</v>
      </c>
      <c r="G2296">
        <v>2022</v>
      </c>
      <c r="H2296" t="s">
        <v>246</v>
      </c>
      <c r="I2296" t="s">
        <v>58</v>
      </c>
      <c r="J2296">
        <v>849</v>
      </c>
      <c r="K2296">
        <v>250</v>
      </c>
      <c r="L2296">
        <f t="shared" si="572"/>
        <v>599</v>
      </c>
      <c r="M2296">
        <v>240</v>
      </c>
      <c r="N2296">
        <f t="shared" si="573"/>
        <v>359</v>
      </c>
    </row>
    <row r="2297" spans="1:14" x14ac:dyDescent="0.2">
      <c r="A2297" t="s">
        <v>3026</v>
      </c>
      <c r="B2297" s="1" t="s">
        <v>3017</v>
      </c>
      <c r="C2297" t="s">
        <v>14</v>
      </c>
      <c r="D2297" t="s">
        <v>452</v>
      </c>
      <c r="E2297">
        <v>17</v>
      </c>
      <c r="F2297" t="s">
        <v>2703</v>
      </c>
      <c r="G2297">
        <v>2022</v>
      </c>
      <c r="H2297" t="s">
        <v>3027</v>
      </c>
      <c r="I2297" t="s">
        <v>135</v>
      </c>
      <c r="J2297">
        <v>799</v>
      </c>
      <c r="K2297">
        <v>205</v>
      </c>
      <c r="L2297">
        <f t="shared" si="572"/>
        <v>594</v>
      </c>
      <c r="M2297">
        <v>240</v>
      </c>
      <c r="N2297">
        <f t="shared" si="573"/>
        <v>354</v>
      </c>
    </row>
    <row r="2298" spans="1:14" x14ac:dyDescent="0.2">
      <c r="A2298" t="s">
        <v>3028</v>
      </c>
      <c r="B2298" s="1" t="s">
        <v>3020</v>
      </c>
      <c r="C2298" t="s">
        <v>14</v>
      </c>
      <c r="D2298" t="s">
        <v>573</v>
      </c>
      <c r="E2298">
        <v>18</v>
      </c>
      <c r="F2298" t="s">
        <v>2703</v>
      </c>
      <c r="G2298">
        <v>2022</v>
      </c>
      <c r="H2298" t="s">
        <v>3029</v>
      </c>
      <c r="I2298" t="s">
        <v>85</v>
      </c>
      <c r="J2298">
        <v>854.05</v>
      </c>
      <c r="K2298">
        <v>270</v>
      </c>
      <c r="L2298">
        <f t="shared" si="572"/>
        <v>584.04999999999995</v>
      </c>
      <c r="M2298">
        <v>240</v>
      </c>
      <c r="N2298">
        <f t="shared" si="573"/>
        <v>344.04999999999995</v>
      </c>
    </row>
    <row r="2299" spans="1:14" x14ac:dyDescent="0.2">
      <c r="A2299" t="s">
        <v>3030</v>
      </c>
      <c r="B2299" s="1" t="s">
        <v>3020</v>
      </c>
      <c r="C2299" t="s">
        <v>14</v>
      </c>
      <c r="D2299" t="s">
        <v>308</v>
      </c>
      <c r="E2299">
        <v>18</v>
      </c>
      <c r="F2299" t="s">
        <v>2703</v>
      </c>
      <c r="G2299">
        <v>2022</v>
      </c>
      <c r="H2299" t="s">
        <v>134</v>
      </c>
      <c r="I2299" t="s">
        <v>135</v>
      </c>
      <c r="J2299">
        <v>899</v>
      </c>
      <c r="K2299">
        <v>295</v>
      </c>
      <c r="L2299">
        <f t="shared" si="572"/>
        <v>604</v>
      </c>
      <c r="M2299">
        <v>240</v>
      </c>
      <c r="N2299">
        <f t="shared" si="573"/>
        <v>364</v>
      </c>
    </row>
    <row r="2300" spans="1:14" x14ac:dyDescent="0.2">
      <c r="A2300" t="s">
        <v>3031</v>
      </c>
      <c r="B2300" s="1" t="s">
        <v>3017</v>
      </c>
      <c r="C2300" t="s">
        <v>14</v>
      </c>
      <c r="D2300" t="s">
        <v>967</v>
      </c>
      <c r="E2300">
        <v>17</v>
      </c>
      <c r="F2300" t="s">
        <v>2703</v>
      </c>
      <c r="G2300">
        <v>2022</v>
      </c>
      <c r="H2300" t="s">
        <v>2691</v>
      </c>
      <c r="I2300" t="s">
        <v>85</v>
      </c>
      <c r="J2300">
        <v>799</v>
      </c>
      <c r="K2300">
        <v>205</v>
      </c>
      <c r="L2300">
        <f t="shared" si="572"/>
        <v>594</v>
      </c>
      <c r="M2300">
        <v>240</v>
      </c>
      <c r="N2300">
        <f t="shared" si="573"/>
        <v>354</v>
      </c>
    </row>
    <row r="2301" spans="1:14" x14ac:dyDescent="0.2">
      <c r="A2301" t="s">
        <v>3032</v>
      </c>
      <c r="B2301" s="1" t="s">
        <v>3017</v>
      </c>
      <c r="C2301" t="s">
        <v>14</v>
      </c>
      <c r="D2301" t="s">
        <v>504</v>
      </c>
      <c r="E2301">
        <v>17</v>
      </c>
      <c r="F2301" t="s">
        <v>2703</v>
      </c>
      <c r="G2301">
        <v>2022</v>
      </c>
      <c r="H2301" t="s">
        <v>317</v>
      </c>
      <c r="I2301" t="s">
        <v>28</v>
      </c>
      <c r="J2301">
        <v>854.05</v>
      </c>
      <c r="K2301">
        <v>270</v>
      </c>
      <c r="L2301">
        <f t="shared" si="572"/>
        <v>584.04999999999995</v>
      </c>
      <c r="M2301">
        <v>240</v>
      </c>
      <c r="N2301">
        <f t="shared" si="573"/>
        <v>344.04999999999995</v>
      </c>
    </row>
    <row r="2302" spans="1:14" x14ac:dyDescent="0.2">
      <c r="A2302" t="s">
        <v>3033</v>
      </c>
      <c r="B2302" s="1" t="s">
        <v>3017</v>
      </c>
      <c r="C2302" t="s">
        <v>20</v>
      </c>
      <c r="D2302" t="s">
        <v>573</v>
      </c>
      <c r="E2302">
        <v>17</v>
      </c>
      <c r="F2302" t="s">
        <v>2703</v>
      </c>
      <c r="G2302">
        <v>2022</v>
      </c>
      <c r="H2302" t="s">
        <v>246</v>
      </c>
      <c r="I2302" t="s">
        <v>58</v>
      </c>
      <c r="J2302">
        <v>0</v>
      </c>
      <c r="K2302">
        <v>0</v>
      </c>
      <c r="L2302">
        <v>0</v>
      </c>
      <c r="M2302">
        <v>0</v>
      </c>
      <c r="N2302">
        <v>0</v>
      </c>
    </row>
    <row r="2303" spans="1:14" x14ac:dyDescent="0.2">
      <c r="A2303" t="s">
        <v>3034</v>
      </c>
      <c r="B2303" s="1" t="s">
        <v>3020</v>
      </c>
      <c r="C2303" t="s">
        <v>14</v>
      </c>
      <c r="D2303" t="s">
        <v>133</v>
      </c>
      <c r="E2303">
        <v>18</v>
      </c>
      <c r="F2303" t="s">
        <v>2703</v>
      </c>
      <c r="G2303">
        <v>2022</v>
      </c>
      <c r="H2303" t="s">
        <v>3035</v>
      </c>
      <c r="I2303" t="s">
        <v>135</v>
      </c>
      <c r="J2303">
        <v>799</v>
      </c>
      <c r="K2303">
        <v>205</v>
      </c>
      <c r="L2303">
        <f t="shared" ref="L2303:L2312" si="574">J2303-K2303</f>
        <v>594</v>
      </c>
      <c r="M2303">
        <v>240</v>
      </c>
      <c r="N2303">
        <f t="shared" ref="N2303:N2312" si="575">L2303-M2303</f>
        <v>354</v>
      </c>
    </row>
    <row r="2304" spans="1:14" x14ac:dyDescent="0.2">
      <c r="A2304" t="s">
        <v>3036</v>
      </c>
      <c r="B2304" s="1" t="s">
        <v>3020</v>
      </c>
      <c r="C2304" t="s">
        <v>14</v>
      </c>
      <c r="D2304" t="s">
        <v>923</v>
      </c>
      <c r="E2304">
        <v>18</v>
      </c>
      <c r="F2304" t="s">
        <v>2703</v>
      </c>
      <c r="G2304">
        <v>2022</v>
      </c>
      <c r="H2304" t="s">
        <v>1733</v>
      </c>
      <c r="I2304" t="s">
        <v>23</v>
      </c>
      <c r="J2304">
        <v>849</v>
      </c>
      <c r="K2304">
        <v>250</v>
      </c>
      <c r="L2304">
        <f t="shared" si="574"/>
        <v>599</v>
      </c>
      <c r="M2304">
        <v>240</v>
      </c>
      <c r="N2304">
        <f t="shared" si="575"/>
        <v>359</v>
      </c>
    </row>
    <row r="2305" spans="1:14" x14ac:dyDescent="0.2">
      <c r="A2305" t="s">
        <v>3036</v>
      </c>
      <c r="B2305" s="1" t="s">
        <v>3020</v>
      </c>
      <c r="C2305" t="s">
        <v>14</v>
      </c>
      <c r="D2305" t="s">
        <v>895</v>
      </c>
      <c r="E2305">
        <v>18</v>
      </c>
      <c r="F2305" t="s">
        <v>2703</v>
      </c>
      <c r="G2305">
        <v>2022</v>
      </c>
      <c r="H2305" t="s">
        <v>1733</v>
      </c>
      <c r="I2305" t="s">
        <v>23</v>
      </c>
      <c r="J2305">
        <v>849</v>
      </c>
      <c r="K2305">
        <v>250</v>
      </c>
      <c r="L2305">
        <f t="shared" si="574"/>
        <v>599</v>
      </c>
      <c r="M2305">
        <v>240</v>
      </c>
      <c r="N2305">
        <f t="shared" si="575"/>
        <v>359</v>
      </c>
    </row>
    <row r="2306" spans="1:14" x14ac:dyDescent="0.2">
      <c r="A2306" t="s">
        <v>3037</v>
      </c>
      <c r="B2306" s="1" t="s">
        <v>3017</v>
      </c>
      <c r="C2306" t="s">
        <v>14</v>
      </c>
      <c r="D2306" t="s">
        <v>490</v>
      </c>
      <c r="E2306">
        <v>17</v>
      </c>
      <c r="F2306" t="s">
        <v>2703</v>
      </c>
      <c r="G2306">
        <v>2022</v>
      </c>
      <c r="H2306" t="s">
        <v>1651</v>
      </c>
      <c r="I2306" t="s">
        <v>85</v>
      </c>
      <c r="J2306">
        <v>899</v>
      </c>
      <c r="K2306">
        <v>295</v>
      </c>
      <c r="L2306">
        <f t="shared" si="574"/>
        <v>604</v>
      </c>
      <c r="M2306">
        <v>240</v>
      </c>
      <c r="N2306">
        <f t="shared" si="575"/>
        <v>364</v>
      </c>
    </row>
    <row r="2307" spans="1:14" x14ac:dyDescent="0.2">
      <c r="A2307" t="s">
        <v>3038</v>
      </c>
      <c r="B2307" s="1" t="s">
        <v>3017</v>
      </c>
      <c r="C2307" t="s">
        <v>14</v>
      </c>
      <c r="D2307" t="s">
        <v>242</v>
      </c>
      <c r="E2307">
        <v>17</v>
      </c>
      <c r="F2307" t="s">
        <v>2703</v>
      </c>
      <c r="G2307">
        <v>2022</v>
      </c>
      <c r="H2307" t="s">
        <v>246</v>
      </c>
      <c r="I2307" t="s">
        <v>58</v>
      </c>
      <c r="J2307">
        <v>854.05</v>
      </c>
      <c r="K2307">
        <v>270</v>
      </c>
      <c r="L2307">
        <f t="shared" si="574"/>
        <v>584.04999999999995</v>
      </c>
      <c r="M2307">
        <v>240</v>
      </c>
      <c r="N2307">
        <f t="shared" si="575"/>
        <v>344.04999999999995</v>
      </c>
    </row>
    <row r="2308" spans="1:14" x14ac:dyDescent="0.2">
      <c r="A2308" t="s">
        <v>3039</v>
      </c>
      <c r="B2308" s="1" t="s">
        <v>3017</v>
      </c>
      <c r="C2308" t="s">
        <v>14</v>
      </c>
      <c r="D2308" t="s">
        <v>1089</v>
      </c>
      <c r="E2308">
        <v>17</v>
      </c>
      <c r="F2308" t="s">
        <v>2703</v>
      </c>
      <c r="G2308">
        <v>2022</v>
      </c>
      <c r="H2308" t="s">
        <v>1245</v>
      </c>
      <c r="I2308" t="s">
        <v>502</v>
      </c>
      <c r="J2308">
        <v>799</v>
      </c>
      <c r="K2308">
        <v>205</v>
      </c>
      <c r="L2308">
        <f t="shared" si="574"/>
        <v>594</v>
      </c>
      <c r="M2308">
        <v>240</v>
      </c>
      <c r="N2308">
        <f t="shared" si="575"/>
        <v>354</v>
      </c>
    </row>
    <row r="2309" spans="1:14" x14ac:dyDescent="0.2">
      <c r="A2309" t="s">
        <v>3040</v>
      </c>
      <c r="B2309" s="1" t="s">
        <v>3017</v>
      </c>
      <c r="C2309" t="s">
        <v>14</v>
      </c>
      <c r="D2309" t="s">
        <v>1228</v>
      </c>
      <c r="E2309">
        <v>17</v>
      </c>
      <c r="F2309" t="s">
        <v>2703</v>
      </c>
      <c r="G2309">
        <v>2022</v>
      </c>
      <c r="H2309" t="s">
        <v>2997</v>
      </c>
      <c r="I2309" t="s">
        <v>23</v>
      </c>
      <c r="J2309">
        <v>799</v>
      </c>
      <c r="K2309">
        <v>205</v>
      </c>
      <c r="L2309">
        <f t="shared" si="574"/>
        <v>594</v>
      </c>
      <c r="M2309">
        <v>240</v>
      </c>
      <c r="N2309">
        <f t="shared" si="575"/>
        <v>354</v>
      </c>
    </row>
    <row r="2310" spans="1:14" x14ac:dyDescent="0.2">
      <c r="A2310" t="s">
        <v>3041</v>
      </c>
      <c r="B2310" s="1" t="s">
        <v>3017</v>
      </c>
      <c r="C2310" t="s">
        <v>14</v>
      </c>
      <c r="D2310" t="s">
        <v>3042</v>
      </c>
      <c r="E2310">
        <v>17</v>
      </c>
      <c r="F2310" t="s">
        <v>2703</v>
      </c>
      <c r="G2310">
        <v>2022</v>
      </c>
      <c r="H2310" t="s">
        <v>832</v>
      </c>
      <c r="I2310" t="s">
        <v>122</v>
      </c>
      <c r="J2310">
        <v>799</v>
      </c>
      <c r="K2310">
        <v>205</v>
      </c>
      <c r="L2310">
        <f t="shared" si="574"/>
        <v>594</v>
      </c>
      <c r="M2310">
        <v>240</v>
      </c>
      <c r="N2310">
        <f t="shared" si="575"/>
        <v>354</v>
      </c>
    </row>
    <row r="2311" spans="1:14" x14ac:dyDescent="0.2">
      <c r="A2311" t="s">
        <v>3043</v>
      </c>
      <c r="B2311" s="1" t="s">
        <v>3020</v>
      </c>
      <c r="C2311" t="s">
        <v>14</v>
      </c>
      <c r="D2311" t="s">
        <v>70</v>
      </c>
      <c r="E2311">
        <v>18</v>
      </c>
      <c r="F2311" t="s">
        <v>2703</v>
      </c>
      <c r="G2311">
        <v>2022</v>
      </c>
      <c r="H2311" t="s">
        <v>104</v>
      </c>
      <c r="I2311" t="s">
        <v>62</v>
      </c>
      <c r="J2311">
        <v>849</v>
      </c>
      <c r="K2311">
        <v>250</v>
      </c>
      <c r="L2311">
        <f t="shared" si="574"/>
        <v>599</v>
      </c>
      <c r="M2311">
        <v>240</v>
      </c>
      <c r="N2311">
        <f t="shared" si="575"/>
        <v>359</v>
      </c>
    </row>
    <row r="2312" spans="1:14" x14ac:dyDescent="0.2">
      <c r="A2312" t="s">
        <v>3044</v>
      </c>
      <c r="B2312" s="1" t="s">
        <v>3017</v>
      </c>
      <c r="C2312" t="s">
        <v>14</v>
      </c>
      <c r="D2312" t="s">
        <v>490</v>
      </c>
      <c r="E2312">
        <v>17</v>
      </c>
      <c r="F2312" t="s">
        <v>2703</v>
      </c>
      <c r="G2312">
        <v>2022</v>
      </c>
      <c r="H2312" t="s">
        <v>1290</v>
      </c>
      <c r="I2312" t="s">
        <v>58</v>
      </c>
      <c r="J2312">
        <v>899</v>
      </c>
      <c r="K2312">
        <v>295</v>
      </c>
      <c r="L2312">
        <f t="shared" si="574"/>
        <v>604</v>
      </c>
      <c r="M2312">
        <v>240</v>
      </c>
      <c r="N2312">
        <f t="shared" si="575"/>
        <v>364</v>
      </c>
    </row>
    <row r="2313" spans="1:14" x14ac:dyDescent="0.2">
      <c r="A2313" t="s">
        <v>2726</v>
      </c>
      <c r="B2313" s="1" t="s">
        <v>2716</v>
      </c>
      <c r="C2313" t="s">
        <v>106</v>
      </c>
      <c r="D2313" t="s">
        <v>993</v>
      </c>
      <c r="E2313">
        <v>2</v>
      </c>
      <c r="F2313" t="s">
        <v>2703</v>
      </c>
      <c r="G2313">
        <v>2022</v>
      </c>
      <c r="H2313" t="s">
        <v>157</v>
      </c>
      <c r="I2313" t="s">
        <v>97</v>
      </c>
      <c r="J2313">
        <v>-799</v>
      </c>
      <c r="K2313">
        <v>320</v>
      </c>
      <c r="L2313">
        <f>J2313+K2313</f>
        <v>-479</v>
      </c>
      <c r="M2313">
        <v>240</v>
      </c>
      <c r="N2313">
        <f>L2313+M2313</f>
        <v>-239</v>
      </c>
    </row>
    <row r="2314" spans="1:14" x14ac:dyDescent="0.2">
      <c r="A2314" t="s">
        <v>3045</v>
      </c>
      <c r="B2314" s="1" t="s">
        <v>3020</v>
      </c>
      <c r="C2314" t="s">
        <v>14</v>
      </c>
      <c r="D2314" t="s">
        <v>81</v>
      </c>
      <c r="E2314">
        <v>18</v>
      </c>
      <c r="F2314" t="s">
        <v>2703</v>
      </c>
      <c r="G2314">
        <v>2022</v>
      </c>
      <c r="H2314" t="s">
        <v>157</v>
      </c>
      <c r="I2314" t="s">
        <v>97</v>
      </c>
      <c r="J2314">
        <v>849</v>
      </c>
      <c r="K2314">
        <v>250</v>
      </c>
      <c r="L2314">
        <f t="shared" ref="L2314:L2317" si="576">J2314-K2314</f>
        <v>599</v>
      </c>
      <c r="M2314">
        <v>240</v>
      </c>
      <c r="N2314">
        <f t="shared" ref="N2314:N2317" si="577">L2314-M2314</f>
        <v>359</v>
      </c>
    </row>
    <row r="2315" spans="1:14" x14ac:dyDescent="0.2">
      <c r="A2315" t="s">
        <v>3046</v>
      </c>
      <c r="B2315" s="1" t="s">
        <v>3020</v>
      </c>
      <c r="C2315" t="s">
        <v>14</v>
      </c>
      <c r="D2315" t="s">
        <v>81</v>
      </c>
      <c r="E2315">
        <v>18</v>
      </c>
      <c r="F2315" t="s">
        <v>2703</v>
      </c>
      <c r="G2315">
        <v>2022</v>
      </c>
      <c r="H2315" t="s">
        <v>3047</v>
      </c>
      <c r="I2315" t="s">
        <v>32</v>
      </c>
      <c r="J2315">
        <v>806.55</v>
      </c>
      <c r="K2315">
        <v>227</v>
      </c>
      <c r="L2315">
        <f t="shared" si="576"/>
        <v>579.54999999999995</v>
      </c>
      <c r="M2315">
        <v>240</v>
      </c>
      <c r="N2315">
        <f t="shared" si="577"/>
        <v>339.54999999999995</v>
      </c>
    </row>
    <row r="2316" spans="1:14" x14ac:dyDescent="0.2">
      <c r="A2316" t="s">
        <v>3048</v>
      </c>
      <c r="B2316" s="1" t="s">
        <v>3020</v>
      </c>
      <c r="C2316" t="s">
        <v>14</v>
      </c>
      <c r="D2316" t="s">
        <v>448</v>
      </c>
      <c r="E2316">
        <v>18</v>
      </c>
      <c r="F2316" t="s">
        <v>2703</v>
      </c>
      <c r="G2316">
        <v>2022</v>
      </c>
      <c r="H2316" t="s">
        <v>882</v>
      </c>
      <c r="I2316" t="s">
        <v>883</v>
      </c>
      <c r="J2316">
        <v>899</v>
      </c>
      <c r="K2316">
        <v>295</v>
      </c>
      <c r="L2316">
        <f t="shared" si="576"/>
        <v>604</v>
      </c>
      <c r="M2316">
        <v>240</v>
      </c>
      <c r="N2316">
        <f t="shared" si="577"/>
        <v>364</v>
      </c>
    </row>
    <row r="2317" spans="1:14" x14ac:dyDescent="0.2">
      <c r="A2317" t="s">
        <v>3049</v>
      </c>
      <c r="B2317" s="1" t="s">
        <v>3020</v>
      </c>
      <c r="C2317" t="s">
        <v>14</v>
      </c>
      <c r="D2317" t="s">
        <v>81</v>
      </c>
      <c r="E2317">
        <v>18</v>
      </c>
      <c r="F2317" t="s">
        <v>2703</v>
      </c>
      <c r="G2317">
        <v>2022</v>
      </c>
      <c r="H2317" t="s">
        <v>3050</v>
      </c>
      <c r="I2317" t="s">
        <v>23</v>
      </c>
      <c r="J2317">
        <v>849</v>
      </c>
      <c r="K2317">
        <v>250</v>
      </c>
      <c r="L2317">
        <f t="shared" si="576"/>
        <v>599</v>
      </c>
      <c r="M2317">
        <v>240</v>
      </c>
      <c r="N2317">
        <f t="shared" si="577"/>
        <v>359</v>
      </c>
    </row>
    <row r="2318" spans="1:14" x14ac:dyDescent="0.2">
      <c r="A2318" t="s">
        <v>2957</v>
      </c>
      <c r="B2318" s="1" t="s">
        <v>2914</v>
      </c>
      <c r="C2318" t="s">
        <v>106</v>
      </c>
      <c r="D2318" t="s">
        <v>1076</v>
      </c>
      <c r="E2318">
        <v>12</v>
      </c>
      <c r="F2318" t="s">
        <v>2703</v>
      </c>
      <c r="G2318">
        <v>2022</v>
      </c>
      <c r="H2318" t="s">
        <v>2958</v>
      </c>
      <c r="I2318" t="s">
        <v>62</v>
      </c>
      <c r="J2318">
        <v>-849</v>
      </c>
      <c r="K2318">
        <v>345</v>
      </c>
      <c r="L2318">
        <f>J2318+K2318</f>
        <v>-504</v>
      </c>
      <c r="M2318">
        <v>240</v>
      </c>
      <c r="N2318">
        <f>L2318+M2318</f>
        <v>-264</v>
      </c>
    </row>
    <row r="2319" spans="1:14" x14ac:dyDescent="0.2">
      <c r="A2319" t="s">
        <v>3051</v>
      </c>
      <c r="B2319" s="1" t="s">
        <v>3020</v>
      </c>
      <c r="C2319" t="s">
        <v>14</v>
      </c>
      <c r="D2319" t="s">
        <v>1076</v>
      </c>
      <c r="E2319">
        <v>18</v>
      </c>
      <c r="F2319" t="s">
        <v>2703</v>
      </c>
      <c r="G2319">
        <v>2022</v>
      </c>
      <c r="H2319" t="s">
        <v>3052</v>
      </c>
      <c r="I2319" t="s">
        <v>502</v>
      </c>
      <c r="J2319">
        <v>849</v>
      </c>
      <c r="K2319">
        <v>250</v>
      </c>
      <c r="L2319">
        <f t="shared" ref="L2319:L2321" si="578">J2319-K2319</f>
        <v>599</v>
      </c>
      <c r="M2319">
        <v>240</v>
      </c>
      <c r="N2319">
        <f t="shared" ref="N2319:N2321" si="579">L2319-M2319</f>
        <v>359</v>
      </c>
    </row>
    <row r="2320" spans="1:14" x14ac:dyDescent="0.2">
      <c r="A2320" t="s">
        <v>3053</v>
      </c>
      <c r="B2320" s="1" t="s">
        <v>3020</v>
      </c>
      <c r="C2320" t="s">
        <v>14</v>
      </c>
      <c r="D2320" t="s">
        <v>573</v>
      </c>
      <c r="E2320">
        <v>18</v>
      </c>
      <c r="F2320" t="s">
        <v>2703</v>
      </c>
      <c r="G2320">
        <v>2022</v>
      </c>
      <c r="H2320" t="s">
        <v>101</v>
      </c>
      <c r="I2320" t="s">
        <v>62</v>
      </c>
      <c r="J2320">
        <v>854.05</v>
      </c>
      <c r="K2320">
        <v>270</v>
      </c>
      <c r="L2320">
        <f t="shared" si="578"/>
        <v>584.04999999999995</v>
      </c>
      <c r="M2320">
        <v>240</v>
      </c>
      <c r="N2320">
        <f t="shared" si="579"/>
        <v>344.04999999999995</v>
      </c>
    </row>
    <row r="2321" spans="1:14" x14ac:dyDescent="0.2">
      <c r="A2321" t="s">
        <v>3054</v>
      </c>
      <c r="B2321" s="1" t="s">
        <v>3017</v>
      </c>
      <c r="C2321" t="s">
        <v>14</v>
      </c>
      <c r="D2321" t="s">
        <v>1076</v>
      </c>
      <c r="E2321">
        <v>17</v>
      </c>
      <c r="F2321" t="s">
        <v>2703</v>
      </c>
      <c r="G2321">
        <v>2022</v>
      </c>
      <c r="H2321" t="s">
        <v>978</v>
      </c>
      <c r="I2321" t="s">
        <v>122</v>
      </c>
      <c r="J2321">
        <v>849</v>
      </c>
      <c r="K2321">
        <v>250</v>
      </c>
      <c r="L2321">
        <f t="shared" si="578"/>
        <v>599</v>
      </c>
      <c r="M2321">
        <v>240</v>
      </c>
      <c r="N2321">
        <f t="shared" si="579"/>
        <v>359</v>
      </c>
    </row>
    <row r="2322" spans="1:14" x14ac:dyDescent="0.2">
      <c r="A2322" t="s">
        <v>2935</v>
      </c>
      <c r="B2322" s="1" t="s">
        <v>2914</v>
      </c>
      <c r="C2322" t="s">
        <v>106</v>
      </c>
      <c r="D2322" t="s">
        <v>954</v>
      </c>
      <c r="E2322">
        <v>12</v>
      </c>
      <c r="F2322" t="s">
        <v>2703</v>
      </c>
      <c r="G2322">
        <v>2022</v>
      </c>
      <c r="H2322" t="s">
        <v>694</v>
      </c>
      <c r="I2322" t="s">
        <v>62</v>
      </c>
      <c r="J2322">
        <v>-799</v>
      </c>
      <c r="K2322">
        <v>320</v>
      </c>
      <c r="L2322">
        <f t="shared" ref="L2322:L2324" si="580">J2322+K2322</f>
        <v>-479</v>
      </c>
      <c r="M2322">
        <v>240</v>
      </c>
      <c r="N2322">
        <f t="shared" ref="N2322:N2324" si="581">L2322+M2322</f>
        <v>-239</v>
      </c>
    </row>
    <row r="2323" spans="1:14" x14ac:dyDescent="0.2">
      <c r="A2323" t="s">
        <v>2896</v>
      </c>
      <c r="B2323" s="1" t="s">
        <v>2886</v>
      </c>
      <c r="C2323" t="s">
        <v>106</v>
      </c>
      <c r="D2323" t="s">
        <v>1193</v>
      </c>
      <c r="E2323">
        <v>11</v>
      </c>
      <c r="F2323" t="s">
        <v>2703</v>
      </c>
      <c r="G2323">
        <v>2022</v>
      </c>
      <c r="H2323" t="s">
        <v>246</v>
      </c>
      <c r="I2323" t="s">
        <v>58</v>
      </c>
      <c r="J2323">
        <v>-899</v>
      </c>
      <c r="K2323">
        <v>375</v>
      </c>
      <c r="L2323">
        <f t="shared" si="580"/>
        <v>-524</v>
      </c>
      <c r="M2323">
        <v>240</v>
      </c>
      <c r="N2323">
        <f t="shared" si="581"/>
        <v>-284</v>
      </c>
    </row>
    <row r="2324" spans="1:14" x14ac:dyDescent="0.2">
      <c r="A2324" t="s">
        <v>2911</v>
      </c>
      <c r="B2324" s="1" t="s">
        <v>2886</v>
      </c>
      <c r="C2324" t="s">
        <v>106</v>
      </c>
      <c r="D2324" t="s">
        <v>133</v>
      </c>
      <c r="E2324">
        <v>11</v>
      </c>
      <c r="F2324" t="s">
        <v>2703</v>
      </c>
      <c r="G2324">
        <v>2022</v>
      </c>
      <c r="H2324" t="s">
        <v>235</v>
      </c>
      <c r="I2324" t="s">
        <v>62</v>
      </c>
      <c r="J2324">
        <v>-799</v>
      </c>
      <c r="K2324">
        <v>320</v>
      </c>
      <c r="L2324">
        <f t="shared" si="580"/>
        <v>-479</v>
      </c>
      <c r="M2324">
        <v>240</v>
      </c>
      <c r="N2324">
        <f t="shared" si="581"/>
        <v>-239</v>
      </c>
    </row>
    <row r="2325" spans="1:14" x14ac:dyDescent="0.2">
      <c r="A2325" t="s">
        <v>3056</v>
      </c>
      <c r="B2325" s="1" t="s">
        <v>3055</v>
      </c>
      <c r="C2325" t="s">
        <v>14</v>
      </c>
      <c r="D2325" t="s">
        <v>1089</v>
      </c>
      <c r="E2325">
        <v>19</v>
      </c>
      <c r="F2325" t="s">
        <v>2703</v>
      </c>
      <c r="G2325">
        <v>2022</v>
      </c>
      <c r="H2325" t="s">
        <v>838</v>
      </c>
      <c r="I2325" t="s">
        <v>253</v>
      </c>
      <c r="J2325">
        <v>799</v>
      </c>
      <c r="K2325">
        <v>205</v>
      </c>
      <c r="L2325">
        <f t="shared" ref="L2325:L2336" si="582">J2325-K2325</f>
        <v>594</v>
      </c>
      <c r="M2325">
        <v>240</v>
      </c>
      <c r="N2325">
        <f t="shared" ref="N2325:N2336" si="583">L2325-M2325</f>
        <v>354</v>
      </c>
    </row>
    <row r="2326" spans="1:14" x14ac:dyDescent="0.2">
      <c r="A2326" t="s">
        <v>3057</v>
      </c>
      <c r="B2326" s="1" t="s">
        <v>3055</v>
      </c>
      <c r="C2326" t="s">
        <v>14</v>
      </c>
      <c r="D2326" t="s">
        <v>1218</v>
      </c>
      <c r="E2326">
        <v>19</v>
      </c>
      <c r="F2326" t="s">
        <v>2703</v>
      </c>
      <c r="G2326">
        <v>2022</v>
      </c>
      <c r="H2326" t="s">
        <v>361</v>
      </c>
      <c r="I2326" t="s">
        <v>160</v>
      </c>
      <c r="J2326">
        <v>799</v>
      </c>
      <c r="K2326">
        <v>205</v>
      </c>
      <c r="L2326">
        <f t="shared" si="582"/>
        <v>594</v>
      </c>
      <c r="M2326">
        <v>240</v>
      </c>
      <c r="N2326">
        <f t="shared" si="583"/>
        <v>354</v>
      </c>
    </row>
    <row r="2327" spans="1:14" x14ac:dyDescent="0.2">
      <c r="A2327" t="s">
        <v>3058</v>
      </c>
      <c r="B2327" s="1" t="s">
        <v>3055</v>
      </c>
      <c r="C2327" t="s">
        <v>14</v>
      </c>
      <c r="D2327" t="s">
        <v>308</v>
      </c>
      <c r="E2327">
        <v>19</v>
      </c>
      <c r="F2327" t="s">
        <v>2703</v>
      </c>
      <c r="G2327">
        <v>2022</v>
      </c>
      <c r="H2327" t="s">
        <v>668</v>
      </c>
      <c r="I2327" t="s">
        <v>502</v>
      </c>
      <c r="J2327">
        <v>854.05</v>
      </c>
      <c r="K2327">
        <v>270</v>
      </c>
      <c r="L2327">
        <f t="shared" si="582"/>
        <v>584.04999999999995</v>
      </c>
      <c r="M2327">
        <v>240</v>
      </c>
      <c r="N2327">
        <f t="shared" si="583"/>
        <v>344.04999999999995</v>
      </c>
    </row>
    <row r="2328" spans="1:14" x14ac:dyDescent="0.2">
      <c r="A2328" t="s">
        <v>3058</v>
      </c>
      <c r="B2328" s="1" t="s">
        <v>3055</v>
      </c>
      <c r="C2328" t="s">
        <v>14</v>
      </c>
      <c r="D2328" t="s">
        <v>1089</v>
      </c>
      <c r="E2328">
        <v>19</v>
      </c>
      <c r="F2328" t="s">
        <v>2703</v>
      </c>
      <c r="G2328">
        <v>2022</v>
      </c>
      <c r="H2328" t="s">
        <v>668</v>
      </c>
      <c r="I2328" t="s">
        <v>502</v>
      </c>
      <c r="J2328">
        <v>799</v>
      </c>
      <c r="K2328">
        <v>205</v>
      </c>
      <c r="L2328">
        <f t="shared" si="582"/>
        <v>594</v>
      </c>
      <c r="M2328">
        <v>240</v>
      </c>
      <c r="N2328">
        <f t="shared" si="583"/>
        <v>354</v>
      </c>
    </row>
    <row r="2329" spans="1:14" x14ac:dyDescent="0.2">
      <c r="A2329" t="s">
        <v>3059</v>
      </c>
      <c r="B2329" s="1" t="s">
        <v>3055</v>
      </c>
      <c r="C2329" t="s">
        <v>14</v>
      </c>
      <c r="D2329" t="s">
        <v>379</v>
      </c>
      <c r="E2329">
        <v>19</v>
      </c>
      <c r="F2329" t="s">
        <v>2703</v>
      </c>
      <c r="G2329">
        <v>2022</v>
      </c>
      <c r="H2329" t="s">
        <v>272</v>
      </c>
      <c r="I2329" t="s">
        <v>23</v>
      </c>
      <c r="J2329">
        <v>799</v>
      </c>
      <c r="K2329">
        <v>205</v>
      </c>
      <c r="L2329">
        <f t="shared" si="582"/>
        <v>594</v>
      </c>
      <c r="M2329">
        <v>240</v>
      </c>
      <c r="N2329">
        <f t="shared" si="583"/>
        <v>354</v>
      </c>
    </row>
    <row r="2330" spans="1:14" x14ac:dyDescent="0.2">
      <c r="A2330" t="s">
        <v>3060</v>
      </c>
      <c r="B2330" s="1" t="s">
        <v>3055</v>
      </c>
      <c r="C2330" t="s">
        <v>14</v>
      </c>
      <c r="D2330" t="s">
        <v>2266</v>
      </c>
      <c r="E2330">
        <v>19</v>
      </c>
      <c r="F2330" t="s">
        <v>2703</v>
      </c>
      <c r="G2330">
        <v>2022</v>
      </c>
      <c r="H2330" t="s">
        <v>668</v>
      </c>
      <c r="I2330" t="s">
        <v>502</v>
      </c>
      <c r="J2330">
        <v>799</v>
      </c>
      <c r="K2330">
        <v>205</v>
      </c>
      <c r="L2330">
        <f t="shared" si="582"/>
        <v>594</v>
      </c>
      <c r="M2330">
        <v>240</v>
      </c>
      <c r="N2330">
        <f t="shared" si="583"/>
        <v>354</v>
      </c>
    </row>
    <row r="2331" spans="1:14" x14ac:dyDescent="0.2">
      <c r="A2331" t="s">
        <v>3061</v>
      </c>
      <c r="B2331" s="1" t="s">
        <v>3055</v>
      </c>
      <c r="C2331" t="s">
        <v>14</v>
      </c>
      <c r="D2331" t="s">
        <v>169</v>
      </c>
      <c r="E2331">
        <v>19</v>
      </c>
      <c r="F2331" t="s">
        <v>2703</v>
      </c>
      <c r="G2331">
        <v>2022</v>
      </c>
      <c r="H2331" t="s">
        <v>3062</v>
      </c>
      <c r="I2331" t="s">
        <v>28</v>
      </c>
      <c r="J2331">
        <v>799</v>
      </c>
      <c r="K2331">
        <v>205</v>
      </c>
      <c r="L2331">
        <f t="shared" si="582"/>
        <v>594</v>
      </c>
      <c r="M2331">
        <v>240</v>
      </c>
      <c r="N2331">
        <f t="shared" si="583"/>
        <v>354</v>
      </c>
    </row>
    <row r="2332" spans="1:14" x14ac:dyDescent="0.2">
      <c r="A2332" t="s">
        <v>3063</v>
      </c>
      <c r="B2332" s="1" t="s">
        <v>3055</v>
      </c>
      <c r="C2332" t="s">
        <v>14</v>
      </c>
      <c r="D2332" t="s">
        <v>379</v>
      </c>
      <c r="E2332">
        <v>19</v>
      </c>
      <c r="F2332" t="s">
        <v>2703</v>
      </c>
      <c r="G2332">
        <v>2022</v>
      </c>
      <c r="H2332" t="s">
        <v>3064</v>
      </c>
      <c r="I2332" t="s">
        <v>144</v>
      </c>
      <c r="J2332">
        <v>759.05</v>
      </c>
      <c r="K2332">
        <v>202</v>
      </c>
      <c r="L2332">
        <f t="shared" si="582"/>
        <v>557.04999999999995</v>
      </c>
      <c r="M2332">
        <v>240</v>
      </c>
      <c r="N2332">
        <f t="shared" si="583"/>
        <v>317.04999999999995</v>
      </c>
    </row>
    <row r="2333" spans="1:14" x14ac:dyDescent="0.2">
      <c r="A2333" t="s">
        <v>3065</v>
      </c>
      <c r="B2333" s="1" t="s">
        <v>3055</v>
      </c>
      <c r="C2333" t="s">
        <v>14</v>
      </c>
      <c r="D2333" t="s">
        <v>3066</v>
      </c>
      <c r="E2333">
        <v>19</v>
      </c>
      <c r="F2333" t="s">
        <v>2703</v>
      </c>
      <c r="G2333">
        <v>2022</v>
      </c>
      <c r="H2333" t="s">
        <v>309</v>
      </c>
      <c r="I2333" t="s">
        <v>212</v>
      </c>
      <c r="J2333">
        <v>799</v>
      </c>
      <c r="K2333">
        <v>205</v>
      </c>
      <c r="L2333">
        <f t="shared" si="582"/>
        <v>594</v>
      </c>
      <c r="M2333">
        <v>240</v>
      </c>
      <c r="N2333">
        <f t="shared" si="583"/>
        <v>354</v>
      </c>
    </row>
    <row r="2334" spans="1:14" x14ac:dyDescent="0.2">
      <c r="A2334" t="s">
        <v>3067</v>
      </c>
      <c r="B2334" s="1" t="s">
        <v>3055</v>
      </c>
      <c r="C2334" t="s">
        <v>14</v>
      </c>
      <c r="D2334" t="s">
        <v>3068</v>
      </c>
      <c r="E2334">
        <v>19</v>
      </c>
      <c r="F2334" t="s">
        <v>2703</v>
      </c>
      <c r="G2334">
        <v>2022</v>
      </c>
      <c r="H2334" t="s">
        <v>170</v>
      </c>
      <c r="I2334" t="s">
        <v>171</v>
      </c>
      <c r="J2334">
        <v>799</v>
      </c>
      <c r="K2334">
        <v>205</v>
      </c>
      <c r="L2334">
        <f t="shared" si="582"/>
        <v>594</v>
      </c>
      <c r="M2334">
        <v>240</v>
      </c>
      <c r="N2334">
        <f t="shared" si="583"/>
        <v>354</v>
      </c>
    </row>
    <row r="2335" spans="1:14" x14ac:dyDescent="0.2">
      <c r="A2335" t="s">
        <v>3069</v>
      </c>
      <c r="B2335" s="1" t="s">
        <v>3055</v>
      </c>
      <c r="C2335" t="s">
        <v>14</v>
      </c>
      <c r="D2335" t="s">
        <v>809</v>
      </c>
      <c r="E2335">
        <v>19</v>
      </c>
      <c r="F2335" t="s">
        <v>2703</v>
      </c>
      <c r="G2335">
        <v>2022</v>
      </c>
      <c r="H2335" t="s">
        <v>1983</v>
      </c>
      <c r="I2335" t="s">
        <v>122</v>
      </c>
      <c r="J2335">
        <v>999</v>
      </c>
      <c r="K2335">
        <v>325</v>
      </c>
      <c r="L2335">
        <f t="shared" si="582"/>
        <v>674</v>
      </c>
      <c r="M2335">
        <v>240</v>
      </c>
      <c r="N2335">
        <f t="shared" si="583"/>
        <v>434</v>
      </c>
    </row>
    <row r="2336" spans="1:14" x14ac:dyDescent="0.2">
      <c r="A2336" t="s">
        <v>3070</v>
      </c>
      <c r="B2336" s="1" t="s">
        <v>3055</v>
      </c>
      <c r="C2336" t="s">
        <v>14</v>
      </c>
      <c r="D2336" t="s">
        <v>989</v>
      </c>
      <c r="E2336">
        <v>19</v>
      </c>
      <c r="F2336" t="s">
        <v>2703</v>
      </c>
      <c r="G2336">
        <v>2022</v>
      </c>
      <c r="H2336" t="s">
        <v>3071</v>
      </c>
      <c r="I2336" t="s">
        <v>85</v>
      </c>
      <c r="J2336">
        <v>799</v>
      </c>
      <c r="K2336">
        <v>205</v>
      </c>
      <c r="L2336">
        <f t="shared" si="582"/>
        <v>594</v>
      </c>
      <c r="M2336">
        <v>240</v>
      </c>
      <c r="N2336">
        <f t="shared" si="583"/>
        <v>354</v>
      </c>
    </row>
    <row r="2337" spans="1:14" x14ac:dyDescent="0.2">
      <c r="A2337" t="s">
        <v>2898</v>
      </c>
      <c r="B2337" s="1" t="s">
        <v>2886</v>
      </c>
      <c r="C2337" t="s">
        <v>106</v>
      </c>
      <c r="D2337" t="s">
        <v>819</v>
      </c>
      <c r="E2337">
        <v>11</v>
      </c>
      <c r="F2337" t="s">
        <v>2703</v>
      </c>
      <c r="G2337">
        <v>2022</v>
      </c>
      <c r="H2337" t="s">
        <v>2899</v>
      </c>
      <c r="I2337" t="s">
        <v>122</v>
      </c>
      <c r="J2337">
        <v>-949.05</v>
      </c>
      <c r="K2337">
        <v>395</v>
      </c>
      <c r="L2337">
        <f t="shared" ref="L2337:L2340" si="584">J2337+K2337</f>
        <v>-554.04999999999995</v>
      </c>
      <c r="M2337">
        <v>240</v>
      </c>
      <c r="N2337">
        <f t="shared" ref="N2337:N2340" si="585">L2337+M2337</f>
        <v>-314.04999999999995</v>
      </c>
    </row>
    <row r="2338" spans="1:14" x14ac:dyDescent="0.2">
      <c r="A2338" t="s">
        <v>3030</v>
      </c>
      <c r="B2338" s="1" t="s">
        <v>3020</v>
      </c>
      <c r="C2338" t="s">
        <v>106</v>
      </c>
      <c r="D2338" t="s">
        <v>308</v>
      </c>
      <c r="E2338">
        <v>18</v>
      </c>
      <c r="F2338" t="s">
        <v>2703</v>
      </c>
      <c r="G2338">
        <v>2022</v>
      </c>
      <c r="H2338" t="s">
        <v>134</v>
      </c>
      <c r="I2338" t="s">
        <v>135</v>
      </c>
      <c r="J2338">
        <v>-899</v>
      </c>
      <c r="K2338">
        <v>375</v>
      </c>
      <c r="L2338">
        <f t="shared" si="584"/>
        <v>-524</v>
      </c>
      <c r="M2338">
        <v>240</v>
      </c>
      <c r="N2338">
        <f t="shared" si="585"/>
        <v>-284</v>
      </c>
    </row>
    <row r="2339" spans="1:14" x14ac:dyDescent="0.2">
      <c r="A2339" t="s">
        <v>2959</v>
      </c>
      <c r="B2339" s="1" t="s">
        <v>2914</v>
      </c>
      <c r="C2339" t="s">
        <v>106</v>
      </c>
      <c r="D2339" t="s">
        <v>573</v>
      </c>
      <c r="E2339">
        <v>12</v>
      </c>
      <c r="F2339" t="s">
        <v>2703</v>
      </c>
      <c r="G2339">
        <v>2022</v>
      </c>
      <c r="H2339" t="s">
        <v>104</v>
      </c>
      <c r="I2339" t="s">
        <v>62</v>
      </c>
      <c r="J2339">
        <v>-899</v>
      </c>
      <c r="K2339">
        <v>375</v>
      </c>
      <c r="L2339">
        <f t="shared" si="584"/>
        <v>-524</v>
      </c>
      <c r="M2339">
        <v>240</v>
      </c>
      <c r="N2339">
        <f t="shared" si="585"/>
        <v>-284</v>
      </c>
    </row>
    <row r="2340" spans="1:14" x14ac:dyDescent="0.2">
      <c r="A2340" t="s">
        <v>2876</v>
      </c>
      <c r="B2340" s="1" t="s">
        <v>2867</v>
      </c>
      <c r="C2340" t="s">
        <v>106</v>
      </c>
      <c r="D2340" t="s">
        <v>1263</v>
      </c>
      <c r="E2340">
        <v>10</v>
      </c>
      <c r="F2340" t="s">
        <v>2703</v>
      </c>
      <c r="G2340">
        <v>2022</v>
      </c>
      <c r="H2340" t="s">
        <v>31</v>
      </c>
      <c r="I2340" t="s">
        <v>32</v>
      </c>
      <c r="J2340">
        <v>-849</v>
      </c>
      <c r="K2340">
        <v>345</v>
      </c>
      <c r="L2340">
        <f t="shared" si="584"/>
        <v>-504</v>
      </c>
      <c r="M2340">
        <v>240</v>
      </c>
      <c r="N2340">
        <f t="shared" si="585"/>
        <v>-264</v>
      </c>
    </row>
    <row r="2341" spans="1:14" x14ac:dyDescent="0.2">
      <c r="A2341" t="s">
        <v>3073</v>
      </c>
      <c r="B2341" s="1" t="s">
        <v>3072</v>
      </c>
      <c r="C2341" t="s">
        <v>14</v>
      </c>
      <c r="D2341" t="s">
        <v>573</v>
      </c>
      <c r="E2341">
        <v>20</v>
      </c>
      <c r="F2341" t="s">
        <v>2703</v>
      </c>
      <c r="G2341">
        <v>2022</v>
      </c>
      <c r="H2341" t="s">
        <v>71</v>
      </c>
      <c r="I2341" t="s">
        <v>62</v>
      </c>
      <c r="J2341">
        <v>854.05</v>
      </c>
      <c r="K2341">
        <v>270</v>
      </c>
      <c r="L2341">
        <f t="shared" ref="L2341:L2350" si="586">J2341-K2341</f>
        <v>584.04999999999995</v>
      </c>
      <c r="M2341">
        <v>240</v>
      </c>
      <c r="N2341">
        <f t="shared" ref="N2341:N2350" si="587">L2341-M2341</f>
        <v>344.04999999999995</v>
      </c>
    </row>
    <row r="2342" spans="1:14" x14ac:dyDescent="0.2">
      <c r="A2342" t="s">
        <v>3074</v>
      </c>
      <c r="B2342" s="1" t="s">
        <v>3072</v>
      </c>
      <c r="C2342" t="s">
        <v>14</v>
      </c>
      <c r="D2342" t="s">
        <v>81</v>
      </c>
      <c r="E2342">
        <v>20</v>
      </c>
      <c r="F2342" t="s">
        <v>2703</v>
      </c>
      <c r="G2342">
        <v>2022</v>
      </c>
      <c r="H2342" t="s">
        <v>3075</v>
      </c>
      <c r="I2342" t="s">
        <v>122</v>
      </c>
      <c r="J2342">
        <v>806.55</v>
      </c>
      <c r="K2342">
        <v>227</v>
      </c>
      <c r="L2342">
        <f t="shared" si="586"/>
        <v>579.54999999999995</v>
      </c>
      <c r="M2342">
        <v>240</v>
      </c>
      <c r="N2342">
        <f t="shared" si="587"/>
        <v>339.54999999999995</v>
      </c>
    </row>
    <row r="2343" spans="1:14" x14ac:dyDescent="0.2">
      <c r="A2343" t="s">
        <v>3076</v>
      </c>
      <c r="B2343" s="1" t="s">
        <v>3072</v>
      </c>
      <c r="C2343" t="s">
        <v>14</v>
      </c>
      <c r="D2343" t="s">
        <v>420</v>
      </c>
      <c r="E2343">
        <v>20</v>
      </c>
      <c r="F2343" t="s">
        <v>2703</v>
      </c>
      <c r="G2343">
        <v>2022</v>
      </c>
      <c r="H2343" t="s">
        <v>3077</v>
      </c>
      <c r="I2343" t="s">
        <v>23</v>
      </c>
      <c r="J2343">
        <v>899</v>
      </c>
      <c r="K2343">
        <v>295</v>
      </c>
      <c r="L2343">
        <f t="shared" si="586"/>
        <v>604</v>
      </c>
      <c r="M2343">
        <v>240</v>
      </c>
      <c r="N2343">
        <f t="shared" si="587"/>
        <v>364</v>
      </c>
    </row>
    <row r="2344" spans="1:14" x14ac:dyDescent="0.2">
      <c r="A2344" t="s">
        <v>3078</v>
      </c>
      <c r="B2344" s="1" t="s">
        <v>3072</v>
      </c>
      <c r="C2344" t="s">
        <v>14</v>
      </c>
      <c r="D2344" t="s">
        <v>812</v>
      </c>
      <c r="E2344">
        <v>20</v>
      </c>
      <c r="F2344" t="s">
        <v>2703</v>
      </c>
      <c r="G2344">
        <v>2022</v>
      </c>
      <c r="H2344" t="s">
        <v>2162</v>
      </c>
      <c r="I2344" t="s">
        <v>2162</v>
      </c>
      <c r="J2344">
        <v>999</v>
      </c>
      <c r="K2344">
        <v>325</v>
      </c>
      <c r="L2344">
        <f t="shared" si="586"/>
        <v>674</v>
      </c>
      <c r="M2344">
        <v>240</v>
      </c>
      <c r="N2344">
        <f t="shared" si="587"/>
        <v>434</v>
      </c>
    </row>
    <row r="2345" spans="1:14" x14ac:dyDescent="0.2">
      <c r="A2345" t="s">
        <v>3079</v>
      </c>
      <c r="B2345" s="1" t="s">
        <v>3072</v>
      </c>
      <c r="C2345" t="s">
        <v>14</v>
      </c>
      <c r="D2345" t="s">
        <v>573</v>
      </c>
      <c r="E2345">
        <v>20</v>
      </c>
      <c r="F2345" t="s">
        <v>2703</v>
      </c>
      <c r="G2345">
        <v>2022</v>
      </c>
      <c r="H2345" t="s">
        <v>246</v>
      </c>
      <c r="I2345" t="s">
        <v>58</v>
      </c>
      <c r="J2345">
        <v>1753.05</v>
      </c>
      <c r="K2345">
        <v>503</v>
      </c>
      <c r="L2345">
        <f t="shared" si="586"/>
        <v>1250.05</v>
      </c>
      <c r="M2345">
        <v>240</v>
      </c>
      <c r="N2345">
        <f t="shared" si="587"/>
        <v>1010.05</v>
      </c>
    </row>
    <row r="2346" spans="1:14" x14ac:dyDescent="0.2">
      <c r="A2346" t="s">
        <v>3080</v>
      </c>
      <c r="B2346" s="1" t="s">
        <v>3072</v>
      </c>
      <c r="C2346" t="s">
        <v>14</v>
      </c>
      <c r="D2346" t="s">
        <v>792</v>
      </c>
      <c r="E2346">
        <v>20</v>
      </c>
      <c r="F2346" t="s">
        <v>2703</v>
      </c>
      <c r="G2346">
        <v>2022</v>
      </c>
      <c r="H2346" t="s">
        <v>157</v>
      </c>
      <c r="I2346" t="s">
        <v>97</v>
      </c>
      <c r="J2346">
        <v>849</v>
      </c>
      <c r="K2346">
        <v>250</v>
      </c>
      <c r="L2346">
        <f t="shared" si="586"/>
        <v>599</v>
      </c>
      <c r="M2346">
        <v>240</v>
      </c>
      <c r="N2346">
        <f t="shared" si="587"/>
        <v>359</v>
      </c>
    </row>
    <row r="2347" spans="1:14" x14ac:dyDescent="0.2">
      <c r="A2347" t="s">
        <v>3081</v>
      </c>
      <c r="B2347" s="1" t="s">
        <v>3072</v>
      </c>
      <c r="C2347" t="s">
        <v>14</v>
      </c>
      <c r="D2347" t="s">
        <v>844</v>
      </c>
      <c r="E2347">
        <v>20</v>
      </c>
      <c r="F2347" t="s">
        <v>2703</v>
      </c>
      <c r="G2347">
        <v>2022</v>
      </c>
      <c r="H2347" t="s">
        <v>3082</v>
      </c>
      <c r="I2347" t="s">
        <v>62</v>
      </c>
      <c r="J2347">
        <v>799</v>
      </c>
      <c r="K2347">
        <v>205</v>
      </c>
      <c r="L2347">
        <f t="shared" si="586"/>
        <v>594</v>
      </c>
      <c r="M2347">
        <v>240</v>
      </c>
      <c r="N2347">
        <f t="shared" si="587"/>
        <v>354</v>
      </c>
    </row>
    <row r="2348" spans="1:14" x14ac:dyDescent="0.2">
      <c r="A2348" t="s">
        <v>3083</v>
      </c>
      <c r="B2348" s="1" t="s">
        <v>3072</v>
      </c>
      <c r="C2348" t="s">
        <v>14</v>
      </c>
      <c r="D2348" t="s">
        <v>2403</v>
      </c>
      <c r="E2348">
        <v>20</v>
      </c>
      <c r="F2348" t="s">
        <v>2703</v>
      </c>
      <c r="G2348">
        <v>2022</v>
      </c>
      <c r="H2348" t="s">
        <v>838</v>
      </c>
      <c r="I2348" t="s">
        <v>253</v>
      </c>
      <c r="J2348">
        <v>799</v>
      </c>
      <c r="K2348">
        <v>205</v>
      </c>
      <c r="L2348">
        <f t="shared" si="586"/>
        <v>594</v>
      </c>
      <c r="M2348">
        <v>240</v>
      </c>
      <c r="N2348">
        <f t="shared" si="587"/>
        <v>354</v>
      </c>
    </row>
    <row r="2349" spans="1:14" x14ac:dyDescent="0.2">
      <c r="A2349" t="s">
        <v>3084</v>
      </c>
      <c r="B2349" s="1" t="s">
        <v>3072</v>
      </c>
      <c r="C2349" t="s">
        <v>14</v>
      </c>
      <c r="D2349" t="s">
        <v>890</v>
      </c>
      <c r="E2349">
        <v>20</v>
      </c>
      <c r="F2349" t="s">
        <v>2703</v>
      </c>
      <c r="G2349">
        <v>2022</v>
      </c>
      <c r="H2349" t="s">
        <v>668</v>
      </c>
      <c r="I2349" t="s">
        <v>502</v>
      </c>
      <c r="J2349">
        <v>849</v>
      </c>
      <c r="K2349">
        <v>250</v>
      </c>
      <c r="L2349">
        <f t="shared" si="586"/>
        <v>599</v>
      </c>
      <c r="M2349">
        <v>240</v>
      </c>
      <c r="N2349">
        <f t="shared" si="587"/>
        <v>359</v>
      </c>
    </row>
    <row r="2350" spans="1:14" x14ac:dyDescent="0.2">
      <c r="A2350" t="s">
        <v>3085</v>
      </c>
      <c r="B2350" s="1" t="s">
        <v>3072</v>
      </c>
      <c r="C2350" t="s">
        <v>14</v>
      </c>
      <c r="D2350" t="s">
        <v>379</v>
      </c>
      <c r="E2350">
        <v>20</v>
      </c>
      <c r="F2350" t="s">
        <v>2703</v>
      </c>
      <c r="G2350">
        <v>2022</v>
      </c>
      <c r="H2350" t="s">
        <v>314</v>
      </c>
      <c r="I2350" t="s">
        <v>58</v>
      </c>
      <c r="J2350">
        <v>799</v>
      </c>
      <c r="K2350">
        <v>205</v>
      </c>
      <c r="L2350">
        <f t="shared" si="586"/>
        <v>594</v>
      </c>
      <c r="M2350">
        <v>240</v>
      </c>
      <c r="N2350">
        <f t="shared" si="587"/>
        <v>354</v>
      </c>
    </row>
    <row r="2351" spans="1:14" x14ac:dyDescent="0.2">
      <c r="A2351" t="s">
        <v>3086</v>
      </c>
      <c r="B2351" s="1" t="s">
        <v>3072</v>
      </c>
      <c r="C2351" t="s">
        <v>20</v>
      </c>
      <c r="D2351" t="s">
        <v>477</v>
      </c>
      <c r="E2351">
        <v>20</v>
      </c>
      <c r="F2351" t="s">
        <v>2703</v>
      </c>
      <c r="G2351">
        <v>2022</v>
      </c>
      <c r="H2351" t="s">
        <v>246</v>
      </c>
      <c r="I2351" t="s">
        <v>58</v>
      </c>
      <c r="J2351">
        <v>0</v>
      </c>
      <c r="K2351">
        <v>0</v>
      </c>
      <c r="L2351">
        <v>0</v>
      </c>
      <c r="M2351">
        <v>0</v>
      </c>
      <c r="N2351">
        <v>0</v>
      </c>
    </row>
    <row r="2352" spans="1:14" x14ac:dyDescent="0.2">
      <c r="A2352" t="s">
        <v>3087</v>
      </c>
      <c r="B2352" s="1" t="s">
        <v>3072</v>
      </c>
      <c r="C2352" t="s">
        <v>14</v>
      </c>
      <c r="D2352" t="s">
        <v>822</v>
      </c>
      <c r="E2352">
        <v>20</v>
      </c>
      <c r="F2352" t="s">
        <v>2703</v>
      </c>
      <c r="G2352">
        <v>2022</v>
      </c>
      <c r="H2352" t="s">
        <v>84</v>
      </c>
      <c r="I2352" t="s">
        <v>85</v>
      </c>
      <c r="J2352">
        <v>849</v>
      </c>
      <c r="K2352">
        <v>250</v>
      </c>
      <c r="L2352">
        <f t="shared" ref="L2352:L2354" si="588">J2352-K2352</f>
        <v>599</v>
      </c>
      <c r="M2352">
        <v>240</v>
      </c>
      <c r="N2352">
        <f t="shared" ref="N2352:N2354" si="589">L2352-M2352</f>
        <v>359</v>
      </c>
    </row>
    <row r="2353" spans="1:14" x14ac:dyDescent="0.2">
      <c r="A2353" t="s">
        <v>3088</v>
      </c>
      <c r="B2353" s="1" t="s">
        <v>3072</v>
      </c>
      <c r="C2353" t="s">
        <v>14</v>
      </c>
      <c r="D2353" t="s">
        <v>1386</v>
      </c>
      <c r="E2353">
        <v>20</v>
      </c>
      <c r="F2353" t="s">
        <v>2703</v>
      </c>
      <c r="G2353">
        <v>2022</v>
      </c>
      <c r="H2353" t="s">
        <v>101</v>
      </c>
      <c r="I2353" t="s">
        <v>62</v>
      </c>
      <c r="J2353">
        <v>799</v>
      </c>
      <c r="K2353">
        <v>205</v>
      </c>
      <c r="L2353">
        <f t="shared" si="588"/>
        <v>594</v>
      </c>
      <c r="M2353">
        <v>240</v>
      </c>
      <c r="N2353">
        <f t="shared" si="589"/>
        <v>354</v>
      </c>
    </row>
    <row r="2354" spans="1:14" x14ac:dyDescent="0.2">
      <c r="A2354" t="s">
        <v>3089</v>
      </c>
      <c r="B2354" s="1" t="s">
        <v>3072</v>
      </c>
      <c r="C2354" t="s">
        <v>14</v>
      </c>
      <c r="D2354" t="s">
        <v>1182</v>
      </c>
      <c r="E2354">
        <v>20</v>
      </c>
      <c r="F2354" t="s">
        <v>2703</v>
      </c>
      <c r="G2354">
        <v>2022</v>
      </c>
      <c r="H2354" t="s">
        <v>2564</v>
      </c>
      <c r="I2354" t="s">
        <v>62</v>
      </c>
      <c r="J2354">
        <v>799</v>
      </c>
      <c r="K2354">
        <v>205</v>
      </c>
      <c r="L2354">
        <f t="shared" si="588"/>
        <v>594</v>
      </c>
      <c r="M2354">
        <v>240</v>
      </c>
      <c r="N2354">
        <f t="shared" si="589"/>
        <v>354</v>
      </c>
    </row>
    <row r="2355" spans="1:14" x14ac:dyDescent="0.2">
      <c r="A2355" t="s">
        <v>3026</v>
      </c>
      <c r="B2355" s="1" t="s">
        <v>3017</v>
      </c>
      <c r="C2355" t="s">
        <v>106</v>
      </c>
      <c r="D2355" t="s">
        <v>452</v>
      </c>
      <c r="E2355">
        <v>17</v>
      </c>
      <c r="F2355" t="s">
        <v>2703</v>
      </c>
      <c r="G2355">
        <v>2022</v>
      </c>
      <c r="H2355" t="s">
        <v>3027</v>
      </c>
      <c r="I2355" t="s">
        <v>135</v>
      </c>
      <c r="J2355">
        <v>-799</v>
      </c>
      <c r="K2355">
        <v>320</v>
      </c>
      <c r="L2355">
        <f t="shared" ref="L2355:L2357" si="590">J2355+K2355</f>
        <v>-479</v>
      </c>
      <c r="M2355">
        <v>240</v>
      </c>
      <c r="N2355">
        <f t="shared" ref="N2355:N2357" si="591">L2355+M2355</f>
        <v>-239</v>
      </c>
    </row>
    <row r="2356" spans="1:14" x14ac:dyDescent="0.2">
      <c r="A2356" t="s">
        <v>3036</v>
      </c>
      <c r="B2356" s="1" t="s">
        <v>3020</v>
      </c>
      <c r="C2356" t="s">
        <v>106</v>
      </c>
      <c r="D2356" t="s">
        <v>923</v>
      </c>
      <c r="E2356">
        <v>18</v>
      </c>
      <c r="F2356" t="s">
        <v>2703</v>
      </c>
      <c r="G2356">
        <v>2022</v>
      </c>
      <c r="H2356" t="s">
        <v>1733</v>
      </c>
      <c r="I2356" t="s">
        <v>23</v>
      </c>
      <c r="J2356">
        <v>-849</v>
      </c>
      <c r="K2356">
        <v>345</v>
      </c>
      <c r="L2356">
        <f t="shared" si="590"/>
        <v>-504</v>
      </c>
      <c r="M2356">
        <v>240</v>
      </c>
      <c r="N2356">
        <f t="shared" si="591"/>
        <v>-264</v>
      </c>
    </row>
    <row r="2357" spans="1:14" x14ac:dyDescent="0.2">
      <c r="A2357" t="s">
        <v>3003</v>
      </c>
      <c r="B2357" s="1" t="s">
        <v>2985</v>
      </c>
      <c r="C2357" t="s">
        <v>106</v>
      </c>
      <c r="D2357" t="s">
        <v>840</v>
      </c>
      <c r="E2357">
        <v>16</v>
      </c>
      <c r="F2357" t="s">
        <v>2703</v>
      </c>
      <c r="G2357">
        <v>2022</v>
      </c>
      <c r="H2357" t="s">
        <v>170</v>
      </c>
      <c r="I2357" t="s">
        <v>171</v>
      </c>
      <c r="J2357">
        <v>-999</v>
      </c>
      <c r="K2357">
        <v>395</v>
      </c>
      <c r="L2357">
        <f t="shared" si="590"/>
        <v>-604</v>
      </c>
      <c r="M2357">
        <v>240</v>
      </c>
      <c r="N2357">
        <f t="shared" si="591"/>
        <v>-364</v>
      </c>
    </row>
    <row r="2358" spans="1:14" x14ac:dyDescent="0.2">
      <c r="A2358" t="s">
        <v>3091</v>
      </c>
      <c r="B2358" s="1" t="s">
        <v>3090</v>
      </c>
      <c r="C2358" t="s">
        <v>14</v>
      </c>
      <c r="D2358" t="s">
        <v>81</v>
      </c>
      <c r="E2358">
        <v>21</v>
      </c>
      <c r="F2358" t="s">
        <v>2703</v>
      </c>
      <c r="G2358">
        <v>2022</v>
      </c>
      <c r="H2358" t="s">
        <v>694</v>
      </c>
      <c r="I2358" t="s">
        <v>62</v>
      </c>
      <c r="J2358">
        <v>806.55</v>
      </c>
      <c r="K2358">
        <v>227</v>
      </c>
      <c r="L2358">
        <f t="shared" ref="L2358:L2362" si="592">J2358-K2358</f>
        <v>579.54999999999995</v>
      </c>
      <c r="M2358">
        <v>240</v>
      </c>
      <c r="N2358">
        <f t="shared" ref="N2358:N2362" si="593">L2358-M2358</f>
        <v>339.54999999999995</v>
      </c>
    </row>
    <row r="2359" spans="1:14" x14ac:dyDescent="0.2">
      <c r="A2359" t="s">
        <v>3093</v>
      </c>
      <c r="B2359" s="1" t="s">
        <v>3092</v>
      </c>
      <c r="C2359" t="s">
        <v>14</v>
      </c>
      <c r="D2359" t="s">
        <v>169</v>
      </c>
      <c r="E2359">
        <v>22</v>
      </c>
      <c r="F2359" t="s">
        <v>2703</v>
      </c>
      <c r="G2359">
        <v>2022</v>
      </c>
      <c r="H2359" t="s">
        <v>3094</v>
      </c>
      <c r="I2359" t="s">
        <v>85</v>
      </c>
      <c r="J2359">
        <v>799</v>
      </c>
      <c r="K2359">
        <v>205</v>
      </c>
      <c r="L2359">
        <f t="shared" si="592"/>
        <v>594</v>
      </c>
      <c r="M2359">
        <v>240</v>
      </c>
      <c r="N2359">
        <f t="shared" si="593"/>
        <v>354</v>
      </c>
    </row>
    <row r="2360" spans="1:14" x14ac:dyDescent="0.2">
      <c r="A2360" t="s">
        <v>3095</v>
      </c>
      <c r="B2360" s="1" t="s">
        <v>3090</v>
      </c>
      <c r="C2360" t="s">
        <v>14</v>
      </c>
      <c r="D2360" t="s">
        <v>448</v>
      </c>
      <c r="E2360">
        <v>21</v>
      </c>
      <c r="F2360" t="s">
        <v>2703</v>
      </c>
      <c r="G2360">
        <v>2022</v>
      </c>
      <c r="H2360" t="s">
        <v>157</v>
      </c>
      <c r="I2360" t="s">
        <v>97</v>
      </c>
      <c r="J2360">
        <v>899</v>
      </c>
      <c r="K2360">
        <v>295</v>
      </c>
      <c r="L2360">
        <f t="shared" si="592"/>
        <v>604</v>
      </c>
      <c r="M2360">
        <v>240</v>
      </c>
      <c r="N2360">
        <f t="shared" si="593"/>
        <v>364</v>
      </c>
    </row>
    <row r="2361" spans="1:14" x14ac:dyDescent="0.2">
      <c r="A2361" t="s">
        <v>3096</v>
      </c>
      <c r="B2361" s="1" t="s">
        <v>3090</v>
      </c>
      <c r="C2361" t="s">
        <v>14</v>
      </c>
      <c r="D2361" t="s">
        <v>1089</v>
      </c>
      <c r="E2361">
        <v>21</v>
      </c>
      <c r="F2361" t="s">
        <v>2703</v>
      </c>
      <c r="G2361">
        <v>2022</v>
      </c>
      <c r="H2361" t="s">
        <v>3097</v>
      </c>
      <c r="I2361" t="s">
        <v>180</v>
      </c>
      <c r="J2361">
        <v>799</v>
      </c>
      <c r="K2361">
        <v>205</v>
      </c>
      <c r="L2361">
        <f t="shared" si="592"/>
        <v>594</v>
      </c>
      <c r="M2361">
        <v>240</v>
      </c>
      <c r="N2361">
        <f t="shared" si="593"/>
        <v>354</v>
      </c>
    </row>
    <row r="2362" spans="1:14" x14ac:dyDescent="0.2">
      <c r="A2362" t="s">
        <v>3098</v>
      </c>
      <c r="B2362" s="1" t="s">
        <v>3090</v>
      </c>
      <c r="C2362" t="s">
        <v>14</v>
      </c>
      <c r="D2362" t="s">
        <v>81</v>
      </c>
      <c r="E2362">
        <v>21</v>
      </c>
      <c r="F2362" t="s">
        <v>2703</v>
      </c>
      <c r="G2362">
        <v>2022</v>
      </c>
      <c r="H2362" t="s">
        <v>3099</v>
      </c>
      <c r="I2362" t="s">
        <v>376</v>
      </c>
      <c r="J2362">
        <v>849</v>
      </c>
      <c r="K2362">
        <v>250</v>
      </c>
      <c r="L2362">
        <f t="shared" si="592"/>
        <v>599</v>
      </c>
      <c r="M2362">
        <v>240</v>
      </c>
      <c r="N2362">
        <f t="shared" si="593"/>
        <v>359</v>
      </c>
    </row>
    <row r="2363" spans="1:14" x14ac:dyDescent="0.2">
      <c r="A2363" t="s">
        <v>2989</v>
      </c>
      <c r="B2363" s="1" t="s">
        <v>2987</v>
      </c>
      <c r="C2363" t="s">
        <v>106</v>
      </c>
      <c r="D2363" t="s">
        <v>452</v>
      </c>
      <c r="E2363">
        <v>15</v>
      </c>
      <c r="F2363" t="s">
        <v>2703</v>
      </c>
      <c r="G2363">
        <v>2022</v>
      </c>
      <c r="H2363" t="s">
        <v>170</v>
      </c>
      <c r="I2363" t="s">
        <v>171</v>
      </c>
      <c r="J2363">
        <v>-799</v>
      </c>
      <c r="K2363">
        <v>320</v>
      </c>
      <c r="L2363">
        <f t="shared" ref="L2363:L2364" si="594">J2363+K2363</f>
        <v>-479</v>
      </c>
      <c r="M2363">
        <v>240</v>
      </c>
      <c r="N2363">
        <f t="shared" ref="N2363:N2364" si="595">L2363+M2363</f>
        <v>-239</v>
      </c>
    </row>
    <row r="2364" spans="1:14" x14ac:dyDescent="0.2">
      <c r="A2364" t="s">
        <v>2880</v>
      </c>
      <c r="B2364" s="1" t="s">
        <v>2867</v>
      </c>
      <c r="C2364" t="s">
        <v>106</v>
      </c>
      <c r="D2364" t="s">
        <v>809</v>
      </c>
      <c r="E2364">
        <v>10</v>
      </c>
      <c r="F2364" t="s">
        <v>2703</v>
      </c>
      <c r="G2364">
        <v>2022</v>
      </c>
      <c r="H2364" t="s">
        <v>2881</v>
      </c>
      <c r="I2364" t="s">
        <v>62</v>
      </c>
      <c r="J2364">
        <v>-999</v>
      </c>
      <c r="K2364">
        <v>395</v>
      </c>
      <c r="L2364">
        <f t="shared" si="594"/>
        <v>-604</v>
      </c>
      <c r="M2364">
        <v>240</v>
      </c>
      <c r="N2364">
        <f t="shared" si="595"/>
        <v>-364</v>
      </c>
    </row>
    <row r="2365" spans="1:14" x14ac:dyDescent="0.2">
      <c r="A2365" t="s">
        <v>3100</v>
      </c>
      <c r="B2365" s="1" t="s">
        <v>3092</v>
      </c>
      <c r="C2365" t="s">
        <v>43</v>
      </c>
      <c r="D2365" t="s">
        <v>242</v>
      </c>
      <c r="E2365">
        <v>22</v>
      </c>
      <c r="F2365" t="s">
        <v>2703</v>
      </c>
      <c r="G2365">
        <v>2022</v>
      </c>
      <c r="H2365" t="s">
        <v>18</v>
      </c>
      <c r="I2365" t="s">
        <v>19</v>
      </c>
      <c r="J2365">
        <v>0</v>
      </c>
      <c r="K2365">
        <v>0</v>
      </c>
      <c r="L2365">
        <v>0</v>
      </c>
      <c r="M2365">
        <v>0</v>
      </c>
      <c r="N2365">
        <v>0</v>
      </c>
    </row>
    <row r="2366" spans="1:14" x14ac:dyDescent="0.2">
      <c r="A2366" t="s">
        <v>3101</v>
      </c>
      <c r="B2366" s="1" t="s">
        <v>3092</v>
      </c>
      <c r="C2366" t="s">
        <v>14</v>
      </c>
      <c r="D2366" t="s">
        <v>897</v>
      </c>
      <c r="E2366">
        <v>22</v>
      </c>
      <c r="F2366" t="s">
        <v>2703</v>
      </c>
      <c r="G2366">
        <v>2022</v>
      </c>
      <c r="H2366" t="s">
        <v>340</v>
      </c>
      <c r="I2366" t="s">
        <v>62</v>
      </c>
      <c r="J2366">
        <v>799</v>
      </c>
      <c r="K2366">
        <v>205</v>
      </c>
      <c r="L2366">
        <f t="shared" ref="L2366:L2376" si="596">J2366-K2366</f>
        <v>594</v>
      </c>
      <c r="M2366">
        <v>240</v>
      </c>
      <c r="N2366">
        <f t="shared" ref="N2366:N2376" si="597">L2366-M2366</f>
        <v>354</v>
      </c>
    </row>
    <row r="2367" spans="1:14" x14ac:dyDescent="0.2">
      <c r="A2367" t="s">
        <v>3102</v>
      </c>
      <c r="B2367" s="1" t="s">
        <v>3092</v>
      </c>
      <c r="C2367" t="s">
        <v>14</v>
      </c>
      <c r="D2367" t="s">
        <v>548</v>
      </c>
      <c r="E2367">
        <v>22</v>
      </c>
      <c r="F2367" t="s">
        <v>2703</v>
      </c>
      <c r="G2367">
        <v>2022</v>
      </c>
      <c r="H2367" t="s">
        <v>84</v>
      </c>
      <c r="I2367" t="s">
        <v>85</v>
      </c>
      <c r="J2367">
        <v>899</v>
      </c>
      <c r="K2367">
        <v>295</v>
      </c>
      <c r="L2367">
        <f t="shared" si="596"/>
        <v>604</v>
      </c>
      <c r="M2367">
        <v>240</v>
      </c>
      <c r="N2367">
        <f t="shared" si="597"/>
        <v>364</v>
      </c>
    </row>
    <row r="2368" spans="1:14" x14ac:dyDescent="0.2">
      <c r="A2368" t="s">
        <v>3103</v>
      </c>
      <c r="B2368" s="1" t="s">
        <v>3092</v>
      </c>
      <c r="C2368" t="s">
        <v>14</v>
      </c>
      <c r="D2368" t="s">
        <v>548</v>
      </c>
      <c r="E2368">
        <v>22</v>
      </c>
      <c r="F2368" t="s">
        <v>2703</v>
      </c>
      <c r="G2368">
        <v>2022</v>
      </c>
      <c r="H2368" t="s">
        <v>193</v>
      </c>
      <c r="I2368" t="s">
        <v>62</v>
      </c>
      <c r="J2368">
        <v>854.05</v>
      </c>
      <c r="K2368">
        <v>270</v>
      </c>
      <c r="L2368">
        <f t="shared" si="596"/>
        <v>584.04999999999995</v>
      </c>
      <c r="M2368">
        <v>240</v>
      </c>
      <c r="N2368">
        <f t="shared" si="597"/>
        <v>344.04999999999995</v>
      </c>
    </row>
    <row r="2369" spans="1:14" x14ac:dyDescent="0.2">
      <c r="A2369" t="s">
        <v>3104</v>
      </c>
      <c r="B2369" s="1" t="s">
        <v>3092</v>
      </c>
      <c r="C2369" t="s">
        <v>14</v>
      </c>
      <c r="D2369" t="s">
        <v>169</v>
      </c>
      <c r="E2369">
        <v>22</v>
      </c>
      <c r="F2369" t="s">
        <v>2703</v>
      </c>
      <c r="G2369">
        <v>2022</v>
      </c>
      <c r="H2369" t="s">
        <v>910</v>
      </c>
      <c r="I2369" t="s">
        <v>122</v>
      </c>
      <c r="J2369">
        <v>759.05</v>
      </c>
      <c r="K2369">
        <v>202</v>
      </c>
      <c r="L2369">
        <f t="shared" si="596"/>
        <v>557.04999999999995</v>
      </c>
      <c r="M2369">
        <v>240</v>
      </c>
      <c r="N2369">
        <f t="shared" si="597"/>
        <v>317.04999999999995</v>
      </c>
    </row>
    <row r="2370" spans="1:14" x14ac:dyDescent="0.2">
      <c r="A2370" t="s">
        <v>3105</v>
      </c>
      <c r="B2370" s="1" t="s">
        <v>3092</v>
      </c>
      <c r="C2370" t="s">
        <v>14</v>
      </c>
      <c r="D2370" t="s">
        <v>448</v>
      </c>
      <c r="E2370">
        <v>22</v>
      </c>
      <c r="F2370" t="s">
        <v>2703</v>
      </c>
      <c r="G2370">
        <v>2022</v>
      </c>
      <c r="H2370" t="s">
        <v>157</v>
      </c>
      <c r="I2370" t="s">
        <v>97</v>
      </c>
      <c r="J2370">
        <v>854.05</v>
      </c>
      <c r="K2370">
        <v>270</v>
      </c>
      <c r="L2370">
        <f t="shared" si="596"/>
        <v>584.04999999999995</v>
      </c>
      <c r="M2370">
        <v>240</v>
      </c>
      <c r="N2370">
        <f t="shared" si="597"/>
        <v>344.04999999999995</v>
      </c>
    </row>
    <row r="2371" spans="1:14" x14ac:dyDescent="0.2">
      <c r="A2371" t="s">
        <v>3106</v>
      </c>
      <c r="B2371" s="1" t="s">
        <v>3092</v>
      </c>
      <c r="C2371" t="s">
        <v>14</v>
      </c>
      <c r="D2371" t="s">
        <v>1212</v>
      </c>
      <c r="E2371">
        <v>22</v>
      </c>
      <c r="F2371" t="s">
        <v>2703</v>
      </c>
      <c r="G2371">
        <v>2022</v>
      </c>
      <c r="H2371" t="s">
        <v>31</v>
      </c>
      <c r="I2371" t="s">
        <v>32</v>
      </c>
      <c r="J2371">
        <v>799</v>
      </c>
      <c r="K2371">
        <v>205</v>
      </c>
      <c r="L2371">
        <f t="shared" si="596"/>
        <v>594</v>
      </c>
      <c r="M2371">
        <v>240</v>
      </c>
      <c r="N2371">
        <f t="shared" si="597"/>
        <v>354</v>
      </c>
    </row>
    <row r="2372" spans="1:14" x14ac:dyDescent="0.2">
      <c r="A2372" t="s">
        <v>3107</v>
      </c>
      <c r="B2372" s="1" t="s">
        <v>3092</v>
      </c>
      <c r="C2372" t="s">
        <v>14</v>
      </c>
      <c r="D2372" t="s">
        <v>81</v>
      </c>
      <c r="E2372">
        <v>22</v>
      </c>
      <c r="F2372" t="s">
        <v>2703</v>
      </c>
      <c r="G2372">
        <v>2022</v>
      </c>
      <c r="H2372" t="s">
        <v>246</v>
      </c>
      <c r="I2372" t="s">
        <v>58</v>
      </c>
      <c r="J2372">
        <v>806.55</v>
      </c>
      <c r="K2372">
        <v>227</v>
      </c>
      <c r="L2372">
        <f t="shared" si="596"/>
        <v>579.54999999999995</v>
      </c>
      <c r="M2372">
        <v>240</v>
      </c>
      <c r="N2372">
        <f t="shared" si="597"/>
        <v>339.54999999999995</v>
      </c>
    </row>
    <row r="2373" spans="1:14" x14ac:dyDescent="0.2">
      <c r="A2373" t="s">
        <v>3108</v>
      </c>
      <c r="B2373" s="1" t="s">
        <v>3092</v>
      </c>
      <c r="C2373" t="s">
        <v>14</v>
      </c>
      <c r="D2373" t="s">
        <v>3109</v>
      </c>
      <c r="E2373">
        <v>22</v>
      </c>
      <c r="F2373" t="s">
        <v>2703</v>
      </c>
      <c r="G2373">
        <v>2022</v>
      </c>
      <c r="H2373" t="s">
        <v>3110</v>
      </c>
      <c r="I2373" t="s">
        <v>58</v>
      </c>
      <c r="J2373">
        <v>799</v>
      </c>
      <c r="K2373">
        <v>205</v>
      </c>
      <c r="L2373">
        <f t="shared" si="596"/>
        <v>594</v>
      </c>
      <c r="M2373">
        <v>240</v>
      </c>
      <c r="N2373">
        <f t="shared" si="597"/>
        <v>354</v>
      </c>
    </row>
    <row r="2374" spans="1:14" x14ac:dyDescent="0.2">
      <c r="A2374" t="s">
        <v>3111</v>
      </c>
      <c r="B2374" s="1" t="s">
        <v>3092</v>
      </c>
      <c r="C2374" t="s">
        <v>14</v>
      </c>
      <c r="D2374" t="s">
        <v>242</v>
      </c>
      <c r="E2374">
        <v>22</v>
      </c>
      <c r="F2374" t="s">
        <v>2703</v>
      </c>
      <c r="G2374">
        <v>2022</v>
      </c>
      <c r="H2374" t="s">
        <v>2437</v>
      </c>
      <c r="I2374" t="s">
        <v>23</v>
      </c>
      <c r="J2374">
        <v>899</v>
      </c>
      <c r="K2374">
        <v>295</v>
      </c>
      <c r="L2374">
        <f t="shared" si="596"/>
        <v>604</v>
      </c>
      <c r="M2374">
        <v>240</v>
      </c>
      <c r="N2374">
        <f t="shared" si="597"/>
        <v>364</v>
      </c>
    </row>
    <row r="2375" spans="1:14" x14ac:dyDescent="0.2">
      <c r="A2375" t="s">
        <v>3112</v>
      </c>
      <c r="B2375" s="1" t="s">
        <v>3092</v>
      </c>
      <c r="C2375" t="s">
        <v>14</v>
      </c>
      <c r="D2375" t="s">
        <v>895</v>
      </c>
      <c r="E2375">
        <v>22</v>
      </c>
      <c r="F2375" t="s">
        <v>2703</v>
      </c>
      <c r="G2375">
        <v>2022</v>
      </c>
      <c r="H2375" t="s">
        <v>3113</v>
      </c>
      <c r="I2375" t="s">
        <v>85</v>
      </c>
      <c r="J2375">
        <v>849</v>
      </c>
      <c r="K2375">
        <v>250</v>
      </c>
      <c r="L2375">
        <f t="shared" si="596"/>
        <v>599</v>
      </c>
      <c r="M2375">
        <v>240</v>
      </c>
      <c r="N2375">
        <f t="shared" si="597"/>
        <v>359</v>
      </c>
    </row>
    <row r="2376" spans="1:14" x14ac:dyDescent="0.2">
      <c r="A2376" t="s">
        <v>3114</v>
      </c>
      <c r="B2376" s="1" t="s">
        <v>3092</v>
      </c>
      <c r="C2376" t="s">
        <v>14</v>
      </c>
      <c r="D2376" t="s">
        <v>1386</v>
      </c>
      <c r="E2376">
        <v>22</v>
      </c>
      <c r="F2376" t="s">
        <v>2703</v>
      </c>
      <c r="G2376">
        <v>2022</v>
      </c>
      <c r="H2376" t="s">
        <v>71</v>
      </c>
      <c r="I2376" t="s">
        <v>62</v>
      </c>
      <c r="J2376">
        <v>799</v>
      </c>
      <c r="K2376">
        <v>205</v>
      </c>
      <c r="L2376">
        <f t="shared" si="596"/>
        <v>594</v>
      </c>
      <c r="M2376">
        <v>240</v>
      </c>
      <c r="N2376">
        <f t="shared" si="597"/>
        <v>354</v>
      </c>
    </row>
    <row r="2377" spans="1:14" x14ac:dyDescent="0.2">
      <c r="A2377" t="s">
        <v>3040</v>
      </c>
      <c r="B2377" s="1" t="s">
        <v>3017</v>
      </c>
      <c r="C2377" t="s">
        <v>106</v>
      </c>
      <c r="D2377" t="s">
        <v>1228</v>
      </c>
      <c r="E2377">
        <v>17</v>
      </c>
      <c r="F2377" t="s">
        <v>2703</v>
      </c>
      <c r="G2377">
        <v>2022</v>
      </c>
      <c r="H2377" t="s">
        <v>2997</v>
      </c>
      <c r="I2377" t="s">
        <v>23</v>
      </c>
      <c r="J2377">
        <v>-799</v>
      </c>
      <c r="K2377">
        <v>320</v>
      </c>
      <c r="L2377">
        <f t="shared" ref="L2377:L2378" si="598">J2377+K2377</f>
        <v>-479</v>
      </c>
      <c r="M2377">
        <v>240</v>
      </c>
      <c r="N2377">
        <f t="shared" ref="N2377:N2378" si="599">L2377+M2377</f>
        <v>-239</v>
      </c>
    </row>
    <row r="2378" spans="1:14" x14ac:dyDescent="0.2">
      <c r="A2378" t="s">
        <v>3104</v>
      </c>
      <c r="B2378" s="1" t="s">
        <v>3092</v>
      </c>
      <c r="C2378" t="s">
        <v>106</v>
      </c>
      <c r="D2378" t="s">
        <v>169</v>
      </c>
      <c r="E2378">
        <v>22</v>
      </c>
      <c r="F2378" t="s">
        <v>2703</v>
      </c>
      <c r="G2378">
        <v>2022</v>
      </c>
      <c r="H2378" t="s">
        <v>910</v>
      </c>
      <c r="I2378" t="s">
        <v>122</v>
      </c>
      <c r="J2378">
        <v>-759.05</v>
      </c>
      <c r="K2378">
        <v>320</v>
      </c>
      <c r="L2378">
        <f t="shared" si="598"/>
        <v>-439.04999999999995</v>
      </c>
      <c r="M2378">
        <v>240</v>
      </c>
      <c r="N2378">
        <f t="shared" si="599"/>
        <v>-199.04999999999995</v>
      </c>
    </row>
    <row r="2379" spans="1:14" x14ac:dyDescent="0.2">
      <c r="A2379" t="s">
        <v>3116</v>
      </c>
      <c r="B2379" s="1" t="s">
        <v>3115</v>
      </c>
      <c r="C2379" t="s">
        <v>43</v>
      </c>
      <c r="D2379" t="s">
        <v>573</v>
      </c>
      <c r="E2379">
        <v>24</v>
      </c>
      <c r="F2379" t="s">
        <v>2703</v>
      </c>
      <c r="G2379">
        <v>2022</v>
      </c>
      <c r="H2379" t="s">
        <v>3117</v>
      </c>
      <c r="I2379" t="s">
        <v>58</v>
      </c>
      <c r="J2379">
        <v>0</v>
      </c>
      <c r="K2379">
        <v>0</v>
      </c>
      <c r="L2379">
        <v>0</v>
      </c>
      <c r="M2379">
        <v>0</v>
      </c>
      <c r="N2379">
        <v>0</v>
      </c>
    </row>
    <row r="2380" spans="1:14" x14ac:dyDescent="0.2">
      <c r="A2380" t="s">
        <v>3118</v>
      </c>
      <c r="B2380" s="1" t="s">
        <v>3115</v>
      </c>
      <c r="C2380" t="s">
        <v>43</v>
      </c>
      <c r="D2380" t="s">
        <v>819</v>
      </c>
      <c r="E2380">
        <v>24</v>
      </c>
      <c r="F2380" t="s">
        <v>2703</v>
      </c>
      <c r="G2380">
        <v>2022</v>
      </c>
      <c r="H2380" t="s">
        <v>579</v>
      </c>
      <c r="I2380" t="s">
        <v>62</v>
      </c>
      <c r="J2380">
        <v>0</v>
      </c>
      <c r="K2380">
        <v>0</v>
      </c>
      <c r="L2380">
        <v>0</v>
      </c>
      <c r="M2380">
        <v>0</v>
      </c>
      <c r="N2380">
        <v>0</v>
      </c>
    </row>
    <row r="2381" spans="1:14" x14ac:dyDescent="0.2">
      <c r="A2381" t="s">
        <v>3118</v>
      </c>
      <c r="B2381" s="1" t="s">
        <v>3115</v>
      </c>
      <c r="C2381" t="s">
        <v>43</v>
      </c>
      <c r="D2381" t="s">
        <v>907</v>
      </c>
      <c r="E2381">
        <v>24</v>
      </c>
      <c r="F2381" t="s">
        <v>2703</v>
      </c>
      <c r="G2381">
        <v>2022</v>
      </c>
      <c r="H2381" t="s">
        <v>579</v>
      </c>
      <c r="I2381" t="s">
        <v>62</v>
      </c>
      <c r="J2381">
        <v>0</v>
      </c>
      <c r="K2381">
        <v>0</v>
      </c>
      <c r="L2381">
        <v>0</v>
      </c>
      <c r="M2381">
        <v>0</v>
      </c>
      <c r="N2381">
        <v>0</v>
      </c>
    </row>
    <row r="2382" spans="1:14" x14ac:dyDescent="0.2">
      <c r="A2382" t="s">
        <v>3120</v>
      </c>
      <c r="B2382" s="1" t="s">
        <v>3119</v>
      </c>
      <c r="C2382" t="s">
        <v>14</v>
      </c>
      <c r="D2382" t="s">
        <v>380</v>
      </c>
      <c r="E2382">
        <v>23</v>
      </c>
      <c r="F2382" t="s">
        <v>2703</v>
      </c>
      <c r="G2382">
        <v>2022</v>
      </c>
      <c r="H2382" t="s">
        <v>71</v>
      </c>
      <c r="I2382" t="s">
        <v>62</v>
      </c>
      <c r="J2382">
        <v>849</v>
      </c>
      <c r="K2382">
        <v>250</v>
      </c>
      <c r="L2382">
        <f t="shared" ref="L2382:L2391" si="600">J2382-K2382</f>
        <v>599</v>
      </c>
      <c r="M2382">
        <v>240</v>
      </c>
      <c r="N2382">
        <f t="shared" ref="N2382:N2391" si="601">L2382-M2382</f>
        <v>359</v>
      </c>
    </row>
    <row r="2383" spans="1:14" x14ac:dyDescent="0.2">
      <c r="A2383" t="s">
        <v>3121</v>
      </c>
      <c r="B2383" s="1" t="s">
        <v>3119</v>
      </c>
      <c r="C2383" t="s">
        <v>14</v>
      </c>
      <c r="D2383" t="s">
        <v>169</v>
      </c>
      <c r="E2383">
        <v>23</v>
      </c>
      <c r="F2383" t="s">
        <v>2703</v>
      </c>
      <c r="G2383">
        <v>2022</v>
      </c>
      <c r="H2383" t="s">
        <v>694</v>
      </c>
      <c r="I2383" t="s">
        <v>62</v>
      </c>
      <c r="J2383">
        <v>799</v>
      </c>
      <c r="K2383">
        <v>205</v>
      </c>
      <c r="L2383">
        <f t="shared" si="600"/>
        <v>594</v>
      </c>
      <c r="M2383">
        <v>240</v>
      </c>
      <c r="N2383">
        <f t="shared" si="601"/>
        <v>354</v>
      </c>
    </row>
    <row r="2384" spans="1:14" x14ac:dyDescent="0.2">
      <c r="A2384" t="s">
        <v>3122</v>
      </c>
      <c r="B2384" s="1" t="s">
        <v>3119</v>
      </c>
      <c r="C2384" t="s">
        <v>14</v>
      </c>
      <c r="D2384" t="s">
        <v>81</v>
      </c>
      <c r="E2384">
        <v>23</v>
      </c>
      <c r="F2384" t="s">
        <v>2703</v>
      </c>
      <c r="G2384">
        <v>2022</v>
      </c>
      <c r="H2384" t="s">
        <v>2715</v>
      </c>
      <c r="I2384" t="s">
        <v>23</v>
      </c>
      <c r="J2384">
        <v>806.55</v>
      </c>
      <c r="K2384">
        <v>227</v>
      </c>
      <c r="L2384">
        <f t="shared" si="600"/>
        <v>579.54999999999995</v>
      </c>
      <c r="M2384">
        <v>240</v>
      </c>
      <c r="N2384">
        <f t="shared" si="601"/>
        <v>339.54999999999995</v>
      </c>
    </row>
    <row r="2385" spans="1:14" x14ac:dyDescent="0.2">
      <c r="A2385" t="s">
        <v>3123</v>
      </c>
      <c r="B2385" s="1" t="s">
        <v>3119</v>
      </c>
      <c r="C2385" t="s">
        <v>14</v>
      </c>
      <c r="D2385" t="s">
        <v>840</v>
      </c>
      <c r="E2385">
        <v>23</v>
      </c>
      <c r="F2385" t="s">
        <v>2703</v>
      </c>
      <c r="G2385">
        <v>2022</v>
      </c>
      <c r="H2385" t="s">
        <v>2928</v>
      </c>
      <c r="I2385" t="s">
        <v>144</v>
      </c>
      <c r="J2385">
        <v>999</v>
      </c>
      <c r="K2385">
        <v>325</v>
      </c>
      <c r="L2385">
        <f t="shared" si="600"/>
        <v>674</v>
      </c>
      <c r="M2385">
        <v>240</v>
      </c>
      <c r="N2385">
        <f t="shared" si="601"/>
        <v>434</v>
      </c>
    </row>
    <row r="2386" spans="1:14" x14ac:dyDescent="0.2">
      <c r="A2386" t="s">
        <v>3124</v>
      </c>
      <c r="B2386" s="1" t="s">
        <v>3119</v>
      </c>
      <c r="C2386" t="s">
        <v>14</v>
      </c>
      <c r="D2386" t="s">
        <v>379</v>
      </c>
      <c r="E2386">
        <v>23</v>
      </c>
      <c r="F2386" t="s">
        <v>2703</v>
      </c>
      <c r="G2386">
        <v>2022</v>
      </c>
      <c r="H2386" t="s">
        <v>3125</v>
      </c>
      <c r="I2386" t="s">
        <v>163</v>
      </c>
      <c r="J2386">
        <v>759.05</v>
      </c>
      <c r="K2386">
        <v>202</v>
      </c>
      <c r="L2386">
        <f t="shared" si="600"/>
        <v>557.04999999999995</v>
      </c>
      <c r="M2386">
        <v>240</v>
      </c>
      <c r="N2386">
        <f t="shared" si="601"/>
        <v>317.04999999999995</v>
      </c>
    </row>
    <row r="2387" spans="1:14" x14ac:dyDescent="0.2">
      <c r="A2387" t="s">
        <v>3126</v>
      </c>
      <c r="B2387" s="1" t="s">
        <v>3119</v>
      </c>
      <c r="C2387" t="s">
        <v>14</v>
      </c>
      <c r="D2387" t="s">
        <v>819</v>
      </c>
      <c r="E2387">
        <v>23</v>
      </c>
      <c r="F2387" t="s">
        <v>2703</v>
      </c>
      <c r="G2387">
        <v>2022</v>
      </c>
      <c r="H2387" t="s">
        <v>3127</v>
      </c>
      <c r="I2387" t="s">
        <v>58</v>
      </c>
      <c r="J2387">
        <v>949.05</v>
      </c>
      <c r="K2387">
        <v>306</v>
      </c>
      <c r="L2387">
        <f t="shared" si="600"/>
        <v>643.04999999999995</v>
      </c>
      <c r="M2387">
        <v>240</v>
      </c>
      <c r="N2387">
        <f t="shared" si="601"/>
        <v>403.04999999999995</v>
      </c>
    </row>
    <row r="2388" spans="1:14" x14ac:dyDescent="0.2">
      <c r="A2388" t="s">
        <v>3128</v>
      </c>
      <c r="B2388" s="1" t="s">
        <v>3119</v>
      </c>
      <c r="C2388" t="s">
        <v>14</v>
      </c>
      <c r="D2388" t="s">
        <v>798</v>
      </c>
      <c r="E2388">
        <v>23</v>
      </c>
      <c r="F2388" t="s">
        <v>2703</v>
      </c>
      <c r="G2388">
        <v>2022</v>
      </c>
      <c r="H2388" t="s">
        <v>3129</v>
      </c>
      <c r="I2388" t="s">
        <v>28</v>
      </c>
      <c r="J2388">
        <v>759.05</v>
      </c>
      <c r="K2388">
        <v>202</v>
      </c>
      <c r="L2388">
        <f t="shared" si="600"/>
        <v>557.04999999999995</v>
      </c>
      <c r="M2388">
        <v>240</v>
      </c>
      <c r="N2388">
        <f t="shared" si="601"/>
        <v>317.04999999999995</v>
      </c>
    </row>
    <row r="2389" spans="1:14" x14ac:dyDescent="0.2">
      <c r="A2389" t="s">
        <v>3130</v>
      </c>
      <c r="B2389" s="1" t="s">
        <v>3119</v>
      </c>
      <c r="C2389" t="s">
        <v>14</v>
      </c>
      <c r="D2389" t="s">
        <v>242</v>
      </c>
      <c r="E2389">
        <v>23</v>
      </c>
      <c r="F2389" t="s">
        <v>2703</v>
      </c>
      <c r="G2389">
        <v>2022</v>
      </c>
      <c r="H2389" t="s">
        <v>2156</v>
      </c>
      <c r="I2389" t="s">
        <v>1742</v>
      </c>
      <c r="J2389">
        <v>899</v>
      </c>
      <c r="K2389">
        <v>295</v>
      </c>
      <c r="L2389">
        <f t="shared" si="600"/>
        <v>604</v>
      </c>
      <c r="M2389">
        <v>240</v>
      </c>
      <c r="N2389">
        <f t="shared" si="601"/>
        <v>364</v>
      </c>
    </row>
    <row r="2390" spans="1:14" x14ac:dyDescent="0.2">
      <c r="A2390" t="s">
        <v>3131</v>
      </c>
      <c r="B2390" s="1" t="s">
        <v>3119</v>
      </c>
      <c r="C2390" t="s">
        <v>14</v>
      </c>
      <c r="D2390" t="s">
        <v>81</v>
      </c>
      <c r="E2390">
        <v>23</v>
      </c>
      <c r="F2390" t="s">
        <v>2703</v>
      </c>
      <c r="G2390">
        <v>2022</v>
      </c>
      <c r="H2390" t="s">
        <v>157</v>
      </c>
      <c r="I2390" t="s">
        <v>97</v>
      </c>
      <c r="J2390">
        <v>849</v>
      </c>
      <c r="K2390">
        <v>250</v>
      </c>
      <c r="L2390">
        <f t="shared" si="600"/>
        <v>599</v>
      </c>
      <c r="M2390">
        <v>240</v>
      </c>
      <c r="N2390">
        <f t="shared" si="601"/>
        <v>359</v>
      </c>
    </row>
    <row r="2391" spans="1:14" x14ac:dyDescent="0.2">
      <c r="A2391" t="s">
        <v>3132</v>
      </c>
      <c r="B2391" s="1" t="s">
        <v>3119</v>
      </c>
      <c r="C2391" t="s">
        <v>14</v>
      </c>
      <c r="D2391" t="s">
        <v>1386</v>
      </c>
      <c r="E2391">
        <v>23</v>
      </c>
      <c r="F2391" t="s">
        <v>2703</v>
      </c>
      <c r="G2391">
        <v>2022</v>
      </c>
      <c r="H2391" t="s">
        <v>1408</v>
      </c>
      <c r="I2391" t="s">
        <v>23</v>
      </c>
      <c r="J2391">
        <v>799</v>
      </c>
      <c r="K2391">
        <v>205</v>
      </c>
      <c r="L2391">
        <f t="shared" si="600"/>
        <v>594</v>
      </c>
      <c r="M2391">
        <v>240</v>
      </c>
      <c r="N2391">
        <f t="shared" si="601"/>
        <v>354</v>
      </c>
    </row>
    <row r="2392" spans="1:14" x14ac:dyDescent="0.2">
      <c r="A2392" t="s">
        <v>3067</v>
      </c>
      <c r="B2392" s="1" t="s">
        <v>3055</v>
      </c>
      <c r="C2392" t="s">
        <v>106</v>
      </c>
      <c r="D2392" t="s">
        <v>3068</v>
      </c>
      <c r="E2392">
        <v>19</v>
      </c>
      <c r="F2392" t="s">
        <v>2703</v>
      </c>
      <c r="G2392">
        <v>2022</v>
      </c>
      <c r="H2392" t="s">
        <v>170</v>
      </c>
      <c r="I2392" t="s">
        <v>171</v>
      </c>
      <c r="J2392">
        <v>-799</v>
      </c>
      <c r="K2392">
        <v>320</v>
      </c>
      <c r="L2392">
        <f>J2392+K2392</f>
        <v>-479</v>
      </c>
      <c r="M2392">
        <v>240</v>
      </c>
      <c r="N2392">
        <f>L2392+M2392</f>
        <v>-239</v>
      </c>
    </row>
    <row r="2393" spans="1:14" x14ac:dyDescent="0.2">
      <c r="A2393" t="s">
        <v>3133</v>
      </c>
      <c r="B2393" s="1" t="s">
        <v>3115</v>
      </c>
      <c r="C2393" t="s">
        <v>43</v>
      </c>
      <c r="D2393" t="s">
        <v>957</v>
      </c>
      <c r="E2393">
        <v>24</v>
      </c>
      <c r="F2393" t="s">
        <v>2703</v>
      </c>
      <c r="G2393">
        <v>2022</v>
      </c>
      <c r="H2393" t="s">
        <v>517</v>
      </c>
      <c r="I2393" t="s">
        <v>122</v>
      </c>
      <c r="J2393">
        <v>0</v>
      </c>
      <c r="K2393">
        <v>0</v>
      </c>
      <c r="L2393">
        <v>0</v>
      </c>
      <c r="M2393">
        <v>0</v>
      </c>
      <c r="N2393">
        <v>0</v>
      </c>
    </row>
    <row r="2394" spans="1:14" x14ac:dyDescent="0.2">
      <c r="A2394" t="s">
        <v>2982</v>
      </c>
      <c r="B2394" s="1" t="s">
        <v>2939</v>
      </c>
      <c r="C2394" t="s">
        <v>106</v>
      </c>
      <c r="D2394" t="s">
        <v>2983</v>
      </c>
      <c r="E2394">
        <v>14</v>
      </c>
      <c r="F2394" t="s">
        <v>2703</v>
      </c>
      <c r="G2394">
        <v>2022</v>
      </c>
      <c r="H2394" t="s">
        <v>705</v>
      </c>
      <c r="I2394" t="s">
        <v>62</v>
      </c>
      <c r="J2394">
        <v>-999</v>
      </c>
      <c r="K2394">
        <v>395</v>
      </c>
      <c r="L2394">
        <f>J2394+K2394</f>
        <v>-604</v>
      </c>
      <c r="M2394">
        <v>240</v>
      </c>
      <c r="N2394">
        <f>L2394+M2394</f>
        <v>-364</v>
      </c>
    </row>
    <row r="2395" spans="1:14" x14ac:dyDescent="0.2">
      <c r="A2395" t="s">
        <v>3134</v>
      </c>
      <c r="B2395" s="1" t="s">
        <v>3115</v>
      </c>
      <c r="C2395" t="s">
        <v>43</v>
      </c>
      <c r="D2395" t="s">
        <v>573</v>
      </c>
      <c r="E2395">
        <v>24</v>
      </c>
      <c r="F2395" t="s">
        <v>2703</v>
      </c>
      <c r="G2395">
        <v>2022</v>
      </c>
      <c r="H2395" t="s">
        <v>3135</v>
      </c>
      <c r="I2395" t="s">
        <v>135</v>
      </c>
      <c r="J2395">
        <v>0</v>
      </c>
      <c r="K2395">
        <v>0</v>
      </c>
      <c r="L2395">
        <v>0</v>
      </c>
      <c r="M2395">
        <v>0</v>
      </c>
      <c r="N2395">
        <v>0</v>
      </c>
    </row>
    <row r="2396" spans="1:14" x14ac:dyDescent="0.2">
      <c r="A2396" t="s">
        <v>2859</v>
      </c>
      <c r="B2396" s="1" t="s">
        <v>2837</v>
      </c>
      <c r="C2396" t="s">
        <v>106</v>
      </c>
      <c r="D2396" t="s">
        <v>2860</v>
      </c>
      <c r="E2396">
        <v>9</v>
      </c>
      <c r="F2396" t="s">
        <v>2703</v>
      </c>
      <c r="G2396">
        <v>2022</v>
      </c>
      <c r="H2396" t="s">
        <v>2672</v>
      </c>
      <c r="I2396" t="s">
        <v>135</v>
      </c>
      <c r="J2396">
        <v>-799</v>
      </c>
      <c r="K2396">
        <v>320</v>
      </c>
      <c r="L2396">
        <f t="shared" ref="L2396:L2400" si="602">J2396+K2396</f>
        <v>-479</v>
      </c>
      <c r="M2396">
        <v>240</v>
      </c>
      <c r="N2396">
        <f t="shared" ref="N2396:N2400" si="603">L2396+M2396</f>
        <v>-239</v>
      </c>
    </row>
    <row r="2397" spans="1:14" x14ac:dyDescent="0.2">
      <c r="A2397" t="s">
        <v>3045</v>
      </c>
      <c r="B2397" s="1" t="s">
        <v>3020</v>
      </c>
      <c r="C2397" t="s">
        <v>106</v>
      </c>
      <c r="D2397" t="s">
        <v>81</v>
      </c>
      <c r="E2397">
        <v>18</v>
      </c>
      <c r="F2397" t="s">
        <v>2703</v>
      </c>
      <c r="G2397">
        <v>2022</v>
      </c>
      <c r="H2397" t="s">
        <v>157</v>
      </c>
      <c r="I2397" t="s">
        <v>97</v>
      </c>
      <c r="J2397">
        <v>-849</v>
      </c>
      <c r="K2397">
        <v>345</v>
      </c>
      <c r="L2397">
        <f t="shared" si="602"/>
        <v>-504</v>
      </c>
      <c r="M2397">
        <v>240</v>
      </c>
      <c r="N2397">
        <f t="shared" si="603"/>
        <v>-264</v>
      </c>
    </row>
    <row r="2398" spans="1:14" x14ac:dyDescent="0.2">
      <c r="A2398" t="s">
        <v>2980</v>
      </c>
      <c r="B2398" s="1" t="s">
        <v>2939</v>
      </c>
      <c r="C2398" t="s">
        <v>106</v>
      </c>
      <c r="D2398" t="s">
        <v>477</v>
      </c>
      <c r="E2398">
        <v>14</v>
      </c>
      <c r="F2398" t="s">
        <v>2703</v>
      </c>
      <c r="G2398">
        <v>2022</v>
      </c>
      <c r="H2398" t="s">
        <v>246</v>
      </c>
      <c r="I2398" t="s">
        <v>58</v>
      </c>
      <c r="J2398">
        <v>-899</v>
      </c>
      <c r="K2398">
        <v>375</v>
      </c>
      <c r="L2398">
        <f t="shared" si="602"/>
        <v>-524</v>
      </c>
      <c r="M2398">
        <v>240</v>
      </c>
      <c r="N2398">
        <f t="shared" si="603"/>
        <v>-284</v>
      </c>
    </row>
    <row r="2399" spans="1:14" x14ac:dyDescent="0.2">
      <c r="A2399" t="s">
        <v>2954</v>
      </c>
      <c r="B2399" s="1" t="s">
        <v>2936</v>
      </c>
      <c r="C2399" t="s">
        <v>106</v>
      </c>
      <c r="D2399" t="s">
        <v>445</v>
      </c>
      <c r="E2399">
        <v>13</v>
      </c>
      <c r="F2399" t="s">
        <v>2703</v>
      </c>
      <c r="G2399">
        <v>2022</v>
      </c>
      <c r="H2399" t="s">
        <v>2955</v>
      </c>
      <c r="I2399" t="s">
        <v>97</v>
      </c>
      <c r="J2399">
        <v>-899</v>
      </c>
      <c r="K2399">
        <v>375</v>
      </c>
      <c r="L2399">
        <f t="shared" si="602"/>
        <v>-524</v>
      </c>
      <c r="M2399">
        <v>240</v>
      </c>
      <c r="N2399">
        <f t="shared" si="603"/>
        <v>-284</v>
      </c>
    </row>
    <row r="2400" spans="1:14" x14ac:dyDescent="0.2">
      <c r="A2400" t="s">
        <v>3076</v>
      </c>
      <c r="B2400" s="1" t="s">
        <v>3072</v>
      </c>
      <c r="C2400" t="s">
        <v>106</v>
      </c>
      <c r="D2400" t="s">
        <v>420</v>
      </c>
      <c r="E2400">
        <v>20</v>
      </c>
      <c r="F2400" t="s">
        <v>2703</v>
      </c>
      <c r="G2400">
        <v>2022</v>
      </c>
      <c r="H2400" t="s">
        <v>3077</v>
      </c>
      <c r="I2400" t="s">
        <v>23</v>
      </c>
      <c r="J2400">
        <v>-899</v>
      </c>
      <c r="K2400">
        <v>375</v>
      </c>
      <c r="L2400">
        <f t="shared" si="602"/>
        <v>-524</v>
      </c>
      <c r="M2400">
        <v>240</v>
      </c>
      <c r="N2400">
        <f t="shared" si="603"/>
        <v>-284</v>
      </c>
    </row>
    <row r="2401" spans="1:14" x14ac:dyDescent="0.2">
      <c r="A2401" t="s">
        <v>3137</v>
      </c>
      <c r="B2401" s="1" t="s">
        <v>3136</v>
      </c>
      <c r="C2401" t="s">
        <v>14</v>
      </c>
      <c r="D2401" t="s">
        <v>812</v>
      </c>
      <c r="E2401">
        <v>25</v>
      </c>
      <c r="F2401" t="s">
        <v>2703</v>
      </c>
      <c r="G2401">
        <v>2022</v>
      </c>
      <c r="H2401" t="s">
        <v>3138</v>
      </c>
      <c r="I2401" t="s">
        <v>502</v>
      </c>
      <c r="J2401">
        <v>999</v>
      </c>
      <c r="K2401">
        <v>325</v>
      </c>
      <c r="L2401">
        <f t="shared" ref="L2401:L2415" si="604">J2401-K2401</f>
        <v>674</v>
      </c>
      <c r="M2401">
        <v>240</v>
      </c>
      <c r="N2401">
        <f t="shared" ref="N2401:N2415" si="605">L2401-M2401</f>
        <v>434</v>
      </c>
    </row>
    <row r="2402" spans="1:14" x14ac:dyDescent="0.2">
      <c r="A2402" t="s">
        <v>3139</v>
      </c>
      <c r="B2402" s="1" t="s">
        <v>3136</v>
      </c>
      <c r="C2402" t="s">
        <v>14</v>
      </c>
      <c r="D2402" t="s">
        <v>81</v>
      </c>
      <c r="E2402">
        <v>25</v>
      </c>
      <c r="F2402" t="s">
        <v>2703</v>
      </c>
      <c r="G2402">
        <v>2022</v>
      </c>
      <c r="H2402" t="s">
        <v>3140</v>
      </c>
      <c r="I2402" t="s">
        <v>19</v>
      </c>
      <c r="J2402">
        <v>806.55</v>
      </c>
      <c r="K2402">
        <v>227</v>
      </c>
      <c r="L2402">
        <f t="shared" si="604"/>
        <v>579.54999999999995</v>
      </c>
      <c r="M2402">
        <v>240</v>
      </c>
      <c r="N2402">
        <f t="shared" si="605"/>
        <v>339.54999999999995</v>
      </c>
    </row>
    <row r="2403" spans="1:14" x14ac:dyDescent="0.2">
      <c r="A2403" t="s">
        <v>3141</v>
      </c>
      <c r="B2403" s="1" t="s">
        <v>3115</v>
      </c>
      <c r="C2403" t="s">
        <v>14</v>
      </c>
      <c r="D2403" t="s">
        <v>81</v>
      </c>
      <c r="E2403">
        <v>24</v>
      </c>
      <c r="F2403" t="s">
        <v>2703</v>
      </c>
      <c r="G2403">
        <v>2022</v>
      </c>
      <c r="H2403" t="s">
        <v>31</v>
      </c>
      <c r="I2403" t="s">
        <v>32</v>
      </c>
      <c r="J2403">
        <v>806.55</v>
      </c>
      <c r="K2403">
        <v>227</v>
      </c>
      <c r="L2403">
        <f t="shared" si="604"/>
        <v>579.54999999999995</v>
      </c>
      <c r="M2403">
        <v>240</v>
      </c>
      <c r="N2403">
        <f t="shared" si="605"/>
        <v>339.54999999999995</v>
      </c>
    </row>
    <row r="2404" spans="1:14" x14ac:dyDescent="0.2">
      <c r="A2404" t="s">
        <v>3142</v>
      </c>
      <c r="B2404" s="1" t="s">
        <v>3115</v>
      </c>
      <c r="C2404" t="s">
        <v>14</v>
      </c>
      <c r="D2404" t="s">
        <v>2860</v>
      </c>
      <c r="E2404">
        <v>24</v>
      </c>
      <c r="F2404" t="s">
        <v>2703</v>
      </c>
      <c r="G2404">
        <v>2022</v>
      </c>
      <c r="H2404" t="s">
        <v>215</v>
      </c>
      <c r="I2404" t="s">
        <v>135</v>
      </c>
      <c r="J2404">
        <v>799</v>
      </c>
      <c r="K2404">
        <v>205</v>
      </c>
      <c r="L2404">
        <f t="shared" si="604"/>
        <v>594</v>
      </c>
      <c r="M2404">
        <v>240</v>
      </c>
      <c r="N2404">
        <f t="shared" si="605"/>
        <v>354</v>
      </c>
    </row>
    <row r="2405" spans="1:14" x14ac:dyDescent="0.2">
      <c r="A2405" t="s">
        <v>3143</v>
      </c>
      <c r="B2405" s="1" t="s">
        <v>3136</v>
      </c>
      <c r="C2405" t="s">
        <v>14</v>
      </c>
      <c r="D2405" t="s">
        <v>242</v>
      </c>
      <c r="E2405">
        <v>25</v>
      </c>
      <c r="F2405" t="s">
        <v>2703</v>
      </c>
      <c r="G2405">
        <v>2022</v>
      </c>
      <c r="H2405" t="s">
        <v>235</v>
      </c>
      <c r="I2405" t="s">
        <v>62</v>
      </c>
      <c r="J2405">
        <v>899</v>
      </c>
      <c r="K2405">
        <v>295</v>
      </c>
      <c r="L2405">
        <f t="shared" si="604"/>
        <v>604</v>
      </c>
      <c r="M2405">
        <v>240</v>
      </c>
      <c r="N2405">
        <f t="shared" si="605"/>
        <v>364</v>
      </c>
    </row>
    <row r="2406" spans="1:14" x14ac:dyDescent="0.2">
      <c r="A2406" t="s">
        <v>3133</v>
      </c>
      <c r="B2406" s="1" t="s">
        <v>3115</v>
      </c>
      <c r="C2406" t="s">
        <v>14</v>
      </c>
      <c r="D2406" t="s">
        <v>957</v>
      </c>
      <c r="E2406">
        <v>24</v>
      </c>
      <c r="F2406" t="s">
        <v>2703</v>
      </c>
      <c r="G2406">
        <v>2022</v>
      </c>
      <c r="H2406" t="s">
        <v>517</v>
      </c>
      <c r="I2406" t="s">
        <v>122</v>
      </c>
      <c r="J2406">
        <v>799</v>
      </c>
      <c r="K2406">
        <v>205</v>
      </c>
      <c r="L2406">
        <f t="shared" si="604"/>
        <v>594</v>
      </c>
      <c r="M2406">
        <v>240</v>
      </c>
      <c r="N2406">
        <f t="shared" si="605"/>
        <v>354</v>
      </c>
    </row>
    <row r="2407" spans="1:14" x14ac:dyDescent="0.2">
      <c r="A2407" t="s">
        <v>3144</v>
      </c>
      <c r="B2407" s="1" t="s">
        <v>3136</v>
      </c>
      <c r="C2407" t="s">
        <v>14</v>
      </c>
      <c r="D2407" t="s">
        <v>1002</v>
      </c>
      <c r="E2407">
        <v>25</v>
      </c>
      <c r="F2407" t="s">
        <v>2703</v>
      </c>
      <c r="G2407">
        <v>2022</v>
      </c>
      <c r="H2407" t="s">
        <v>104</v>
      </c>
      <c r="I2407" t="s">
        <v>62</v>
      </c>
      <c r="J2407">
        <v>849</v>
      </c>
      <c r="K2407">
        <v>250</v>
      </c>
      <c r="L2407">
        <f t="shared" si="604"/>
        <v>599</v>
      </c>
      <c r="M2407">
        <v>240</v>
      </c>
      <c r="N2407">
        <f t="shared" si="605"/>
        <v>359</v>
      </c>
    </row>
    <row r="2408" spans="1:14" x14ac:dyDescent="0.2">
      <c r="A2408" t="s">
        <v>3145</v>
      </c>
      <c r="B2408" s="1" t="s">
        <v>3136</v>
      </c>
      <c r="C2408" t="s">
        <v>14</v>
      </c>
      <c r="D2408" t="s">
        <v>81</v>
      </c>
      <c r="E2408">
        <v>25</v>
      </c>
      <c r="F2408" t="s">
        <v>2703</v>
      </c>
      <c r="G2408">
        <v>2022</v>
      </c>
      <c r="H2408" t="s">
        <v>246</v>
      </c>
      <c r="I2408" t="s">
        <v>58</v>
      </c>
      <c r="J2408">
        <v>849</v>
      </c>
      <c r="K2408">
        <v>250</v>
      </c>
      <c r="L2408">
        <f t="shared" si="604"/>
        <v>599</v>
      </c>
      <c r="M2408">
        <v>240</v>
      </c>
      <c r="N2408">
        <f t="shared" si="605"/>
        <v>359</v>
      </c>
    </row>
    <row r="2409" spans="1:14" x14ac:dyDescent="0.2">
      <c r="A2409" t="s">
        <v>3134</v>
      </c>
      <c r="B2409" s="1" t="s">
        <v>3115</v>
      </c>
      <c r="C2409" t="s">
        <v>14</v>
      </c>
      <c r="D2409" t="s">
        <v>573</v>
      </c>
      <c r="E2409">
        <v>24</v>
      </c>
      <c r="F2409" t="s">
        <v>2703</v>
      </c>
      <c r="G2409">
        <v>2022</v>
      </c>
      <c r="H2409" t="s">
        <v>3135</v>
      </c>
      <c r="I2409" t="s">
        <v>135</v>
      </c>
      <c r="J2409">
        <v>899</v>
      </c>
      <c r="K2409">
        <v>295</v>
      </c>
      <c r="L2409">
        <f t="shared" si="604"/>
        <v>604</v>
      </c>
      <c r="M2409">
        <v>240</v>
      </c>
      <c r="N2409">
        <f t="shared" si="605"/>
        <v>364</v>
      </c>
    </row>
    <row r="2410" spans="1:14" x14ac:dyDescent="0.2">
      <c r="A2410" t="s">
        <v>3118</v>
      </c>
      <c r="B2410" s="1" t="s">
        <v>3115</v>
      </c>
      <c r="C2410" t="s">
        <v>14</v>
      </c>
      <c r="D2410" t="s">
        <v>819</v>
      </c>
      <c r="E2410">
        <v>24</v>
      </c>
      <c r="F2410" t="s">
        <v>2703</v>
      </c>
      <c r="G2410">
        <v>2022</v>
      </c>
      <c r="H2410" t="s">
        <v>579</v>
      </c>
      <c r="I2410" t="s">
        <v>62</v>
      </c>
      <c r="J2410">
        <v>999</v>
      </c>
      <c r="K2410">
        <v>325</v>
      </c>
      <c r="L2410">
        <f t="shared" si="604"/>
        <v>674</v>
      </c>
      <c r="M2410">
        <v>240</v>
      </c>
      <c r="N2410">
        <f t="shared" si="605"/>
        <v>434</v>
      </c>
    </row>
    <row r="2411" spans="1:14" x14ac:dyDescent="0.2">
      <c r="A2411" t="s">
        <v>3118</v>
      </c>
      <c r="B2411" s="1" t="s">
        <v>3115</v>
      </c>
      <c r="C2411" t="s">
        <v>14</v>
      </c>
      <c r="D2411" t="s">
        <v>907</v>
      </c>
      <c r="E2411">
        <v>24</v>
      </c>
      <c r="F2411" t="s">
        <v>2703</v>
      </c>
      <c r="G2411">
        <v>2022</v>
      </c>
      <c r="H2411" t="s">
        <v>579</v>
      </c>
      <c r="I2411" t="s">
        <v>62</v>
      </c>
      <c r="J2411">
        <v>849</v>
      </c>
      <c r="K2411">
        <v>250</v>
      </c>
      <c r="L2411">
        <f t="shared" si="604"/>
        <v>599</v>
      </c>
      <c r="M2411">
        <v>240</v>
      </c>
      <c r="N2411">
        <f t="shared" si="605"/>
        <v>359</v>
      </c>
    </row>
    <row r="2412" spans="1:14" x14ac:dyDescent="0.2">
      <c r="A2412" t="s">
        <v>3146</v>
      </c>
      <c r="B2412" s="1" t="s">
        <v>3136</v>
      </c>
      <c r="C2412" t="s">
        <v>14</v>
      </c>
      <c r="D2412" t="s">
        <v>1539</v>
      </c>
      <c r="E2412">
        <v>25</v>
      </c>
      <c r="F2412" t="s">
        <v>2703</v>
      </c>
      <c r="G2412">
        <v>2022</v>
      </c>
      <c r="H2412" t="s">
        <v>1121</v>
      </c>
      <c r="I2412" t="s">
        <v>122</v>
      </c>
      <c r="J2412">
        <v>799</v>
      </c>
      <c r="K2412">
        <v>205</v>
      </c>
      <c r="L2412">
        <f t="shared" si="604"/>
        <v>594</v>
      </c>
      <c r="M2412">
        <v>240</v>
      </c>
      <c r="N2412">
        <f t="shared" si="605"/>
        <v>354</v>
      </c>
    </row>
    <row r="2413" spans="1:14" x14ac:dyDescent="0.2">
      <c r="A2413" t="s">
        <v>3147</v>
      </c>
      <c r="B2413" s="1" t="s">
        <v>3136</v>
      </c>
      <c r="C2413" t="s">
        <v>14</v>
      </c>
      <c r="D2413" t="s">
        <v>1141</v>
      </c>
      <c r="E2413">
        <v>25</v>
      </c>
      <c r="F2413" t="s">
        <v>2703</v>
      </c>
      <c r="G2413">
        <v>2022</v>
      </c>
      <c r="H2413" t="s">
        <v>3148</v>
      </c>
      <c r="I2413" t="s">
        <v>62</v>
      </c>
      <c r="J2413">
        <v>799</v>
      </c>
      <c r="K2413">
        <v>205</v>
      </c>
      <c r="L2413">
        <f t="shared" si="604"/>
        <v>594</v>
      </c>
      <c r="M2413">
        <v>240</v>
      </c>
      <c r="N2413">
        <f t="shared" si="605"/>
        <v>354</v>
      </c>
    </row>
    <row r="2414" spans="1:14" x14ac:dyDescent="0.2">
      <c r="A2414" t="s">
        <v>3149</v>
      </c>
      <c r="B2414" s="1" t="s">
        <v>3115</v>
      </c>
      <c r="C2414" t="s">
        <v>14</v>
      </c>
      <c r="D2414" t="s">
        <v>812</v>
      </c>
      <c r="E2414">
        <v>24</v>
      </c>
      <c r="F2414" t="s">
        <v>2703</v>
      </c>
      <c r="G2414">
        <v>2022</v>
      </c>
      <c r="H2414" t="s">
        <v>1807</v>
      </c>
      <c r="I2414" t="s">
        <v>160</v>
      </c>
      <c r="J2414">
        <v>949.05</v>
      </c>
      <c r="K2414">
        <v>306</v>
      </c>
      <c r="L2414">
        <f t="shared" si="604"/>
        <v>643.04999999999995</v>
      </c>
      <c r="M2414">
        <v>240</v>
      </c>
      <c r="N2414">
        <f t="shared" si="605"/>
        <v>403.04999999999995</v>
      </c>
    </row>
    <row r="2415" spans="1:14" x14ac:dyDescent="0.2">
      <c r="A2415" t="s">
        <v>3150</v>
      </c>
      <c r="B2415" s="1" t="s">
        <v>3136</v>
      </c>
      <c r="C2415" t="s">
        <v>14</v>
      </c>
      <c r="D2415" t="s">
        <v>420</v>
      </c>
      <c r="E2415">
        <v>25</v>
      </c>
      <c r="F2415" t="s">
        <v>2703</v>
      </c>
      <c r="G2415">
        <v>2022</v>
      </c>
      <c r="H2415" t="s">
        <v>3151</v>
      </c>
      <c r="I2415" t="s">
        <v>23</v>
      </c>
      <c r="J2415">
        <v>899</v>
      </c>
      <c r="K2415">
        <v>295</v>
      </c>
      <c r="L2415">
        <f t="shared" si="604"/>
        <v>604</v>
      </c>
      <c r="M2415">
        <v>240</v>
      </c>
      <c r="N2415">
        <f t="shared" si="605"/>
        <v>364</v>
      </c>
    </row>
    <row r="2416" spans="1:14" x14ac:dyDescent="0.2">
      <c r="A2416" t="s">
        <v>3152</v>
      </c>
      <c r="B2416" s="1" t="s">
        <v>3136</v>
      </c>
      <c r="C2416" t="s">
        <v>20</v>
      </c>
      <c r="D2416" t="s">
        <v>3153</v>
      </c>
      <c r="E2416">
        <v>25</v>
      </c>
      <c r="F2416" t="s">
        <v>2703</v>
      </c>
      <c r="G2416">
        <v>2022</v>
      </c>
      <c r="H2416" t="s">
        <v>309</v>
      </c>
      <c r="I2416" t="s">
        <v>212</v>
      </c>
      <c r="J2416">
        <v>0</v>
      </c>
      <c r="K2416">
        <v>0</v>
      </c>
      <c r="L2416">
        <v>0</v>
      </c>
      <c r="M2416">
        <v>0</v>
      </c>
      <c r="N2416">
        <v>0</v>
      </c>
    </row>
    <row r="2417" spans="1:14" x14ac:dyDescent="0.2">
      <c r="A2417" t="s">
        <v>3154</v>
      </c>
      <c r="B2417" s="1" t="s">
        <v>3136</v>
      </c>
      <c r="C2417" t="s">
        <v>14</v>
      </c>
      <c r="D2417" t="s">
        <v>477</v>
      </c>
      <c r="E2417">
        <v>25</v>
      </c>
      <c r="F2417" t="s">
        <v>2703</v>
      </c>
      <c r="G2417">
        <v>2022</v>
      </c>
      <c r="H2417" t="s">
        <v>3155</v>
      </c>
      <c r="I2417" t="s">
        <v>85</v>
      </c>
      <c r="J2417">
        <v>854.05</v>
      </c>
      <c r="K2417">
        <v>270</v>
      </c>
      <c r="L2417">
        <f t="shared" ref="L2417:L2418" si="606">J2417-K2417</f>
        <v>584.04999999999995</v>
      </c>
      <c r="M2417">
        <v>240</v>
      </c>
      <c r="N2417">
        <f t="shared" ref="N2417:N2418" si="607">L2417-M2417</f>
        <v>344.04999999999995</v>
      </c>
    </row>
    <row r="2418" spans="1:14" x14ac:dyDescent="0.2">
      <c r="A2418" t="s">
        <v>3116</v>
      </c>
      <c r="B2418" s="1" t="s">
        <v>3115</v>
      </c>
      <c r="C2418" t="s">
        <v>14</v>
      </c>
      <c r="D2418" t="s">
        <v>573</v>
      </c>
      <c r="E2418">
        <v>24</v>
      </c>
      <c r="F2418" t="s">
        <v>2703</v>
      </c>
      <c r="G2418">
        <v>2022</v>
      </c>
      <c r="H2418" t="s">
        <v>3117</v>
      </c>
      <c r="I2418" t="s">
        <v>58</v>
      </c>
      <c r="J2418">
        <v>854.05</v>
      </c>
      <c r="K2418">
        <v>270</v>
      </c>
      <c r="L2418">
        <f t="shared" si="606"/>
        <v>584.04999999999995</v>
      </c>
      <c r="M2418">
        <v>240</v>
      </c>
      <c r="N2418">
        <f t="shared" si="607"/>
        <v>344.04999999999995</v>
      </c>
    </row>
    <row r="2419" spans="1:14" x14ac:dyDescent="0.2">
      <c r="A2419" t="s">
        <v>3061</v>
      </c>
      <c r="B2419" s="1" t="s">
        <v>3055</v>
      </c>
      <c r="C2419" t="s">
        <v>106</v>
      </c>
      <c r="D2419" t="s">
        <v>169</v>
      </c>
      <c r="E2419">
        <v>19</v>
      </c>
      <c r="F2419" t="s">
        <v>2703</v>
      </c>
      <c r="G2419">
        <v>2022</v>
      </c>
      <c r="H2419" t="s">
        <v>3062</v>
      </c>
      <c r="I2419" t="s">
        <v>28</v>
      </c>
      <c r="J2419">
        <v>-799</v>
      </c>
      <c r="K2419">
        <v>320</v>
      </c>
      <c r="L2419">
        <f t="shared" ref="L2419:L2420" si="608">J2419+K2419</f>
        <v>-479</v>
      </c>
      <c r="M2419">
        <v>240</v>
      </c>
      <c r="N2419">
        <f t="shared" ref="N2419:N2420" si="609">L2419+M2419</f>
        <v>-239</v>
      </c>
    </row>
    <row r="2420" spans="1:14" x14ac:dyDescent="0.2">
      <c r="A2420" t="s">
        <v>3098</v>
      </c>
      <c r="B2420" s="1" t="s">
        <v>3090</v>
      </c>
      <c r="C2420" t="s">
        <v>106</v>
      </c>
      <c r="D2420" t="s">
        <v>81</v>
      </c>
      <c r="E2420">
        <v>21</v>
      </c>
      <c r="F2420" t="s">
        <v>2703</v>
      </c>
      <c r="G2420">
        <v>2022</v>
      </c>
      <c r="H2420" t="s">
        <v>3099</v>
      </c>
      <c r="I2420" t="s">
        <v>376</v>
      </c>
      <c r="J2420">
        <v>-849</v>
      </c>
      <c r="K2420">
        <v>345</v>
      </c>
      <c r="L2420">
        <f t="shared" si="608"/>
        <v>-504</v>
      </c>
      <c r="M2420">
        <v>240</v>
      </c>
      <c r="N2420">
        <f t="shared" si="609"/>
        <v>-264</v>
      </c>
    </row>
    <row r="2421" spans="1:14" x14ac:dyDescent="0.2">
      <c r="A2421" t="s">
        <v>3157</v>
      </c>
      <c r="B2421" s="1" t="s">
        <v>3156</v>
      </c>
      <c r="C2421" t="s">
        <v>43</v>
      </c>
      <c r="D2421" t="s">
        <v>221</v>
      </c>
      <c r="E2421">
        <v>26</v>
      </c>
      <c r="F2421" t="s">
        <v>2703</v>
      </c>
      <c r="G2421">
        <v>2022</v>
      </c>
      <c r="H2421" t="s">
        <v>3158</v>
      </c>
      <c r="I2421" t="s">
        <v>37</v>
      </c>
      <c r="J2421">
        <v>0</v>
      </c>
      <c r="K2421">
        <v>0</v>
      </c>
      <c r="L2421">
        <v>0</v>
      </c>
      <c r="M2421">
        <v>0</v>
      </c>
      <c r="N2421">
        <v>0</v>
      </c>
    </row>
    <row r="2422" spans="1:14" x14ac:dyDescent="0.2">
      <c r="A2422" t="s">
        <v>3159</v>
      </c>
      <c r="B2422" s="1" t="s">
        <v>3156</v>
      </c>
      <c r="C2422" t="s">
        <v>43</v>
      </c>
      <c r="D2422" t="s">
        <v>840</v>
      </c>
      <c r="E2422">
        <v>26</v>
      </c>
      <c r="F2422" t="s">
        <v>2703</v>
      </c>
      <c r="G2422">
        <v>2022</v>
      </c>
      <c r="H2422" t="s">
        <v>246</v>
      </c>
      <c r="I2422" t="s">
        <v>58</v>
      </c>
      <c r="J2422">
        <v>0</v>
      </c>
      <c r="K2422">
        <v>0</v>
      </c>
      <c r="L2422">
        <v>0</v>
      </c>
      <c r="M2422">
        <v>0</v>
      </c>
      <c r="N2422">
        <v>0</v>
      </c>
    </row>
    <row r="2423" spans="1:14" x14ac:dyDescent="0.2">
      <c r="A2423" t="s">
        <v>3160</v>
      </c>
      <c r="B2423" s="1" t="s">
        <v>3156</v>
      </c>
      <c r="C2423" t="s">
        <v>14</v>
      </c>
      <c r="D2423" t="s">
        <v>81</v>
      </c>
      <c r="E2423">
        <v>26</v>
      </c>
      <c r="F2423" t="s">
        <v>2703</v>
      </c>
      <c r="G2423">
        <v>2022</v>
      </c>
      <c r="H2423" t="s">
        <v>31</v>
      </c>
      <c r="I2423" t="s">
        <v>32</v>
      </c>
      <c r="J2423">
        <v>849</v>
      </c>
      <c r="K2423">
        <v>250</v>
      </c>
      <c r="L2423">
        <f t="shared" ref="L2423:L2431" si="610">J2423-K2423</f>
        <v>599</v>
      </c>
      <c r="M2423">
        <v>240</v>
      </c>
      <c r="N2423">
        <f t="shared" ref="N2423:N2431" si="611">L2423-M2423</f>
        <v>359</v>
      </c>
    </row>
    <row r="2424" spans="1:14" x14ac:dyDescent="0.2">
      <c r="A2424" t="s">
        <v>3161</v>
      </c>
      <c r="B2424" s="1" t="s">
        <v>3156</v>
      </c>
      <c r="C2424" t="s">
        <v>14</v>
      </c>
      <c r="D2424" t="s">
        <v>284</v>
      </c>
      <c r="E2424">
        <v>26</v>
      </c>
      <c r="F2424" t="s">
        <v>2703</v>
      </c>
      <c r="G2424">
        <v>2022</v>
      </c>
      <c r="H2424" t="s">
        <v>3162</v>
      </c>
      <c r="I2424" t="s">
        <v>1742</v>
      </c>
      <c r="J2424">
        <v>899</v>
      </c>
      <c r="K2424">
        <v>295</v>
      </c>
      <c r="L2424">
        <f t="shared" si="610"/>
        <v>604</v>
      </c>
      <c r="M2424">
        <v>240</v>
      </c>
      <c r="N2424">
        <f t="shared" si="611"/>
        <v>364</v>
      </c>
    </row>
    <row r="2425" spans="1:14" x14ac:dyDescent="0.2">
      <c r="A2425" t="s">
        <v>3163</v>
      </c>
      <c r="B2425" s="1" t="s">
        <v>3156</v>
      </c>
      <c r="C2425" t="s">
        <v>14</v>
      </c>
      <c r="D2425" t="s">
        <v>133</v>
      </c>
      <c r="E2425">
        <v>26</v>
      </c>
      <c r="F2425" t="s">
        <v>2703</v>
      </c>
      <c r="G2425">
        <v>2022</v>
      </c>
      <c r="H2425" t="s">
        <v>3164</v>
      </c>
      <c r="I2425" t="s">
        <v>32</v>
      </c>
      <c r="J2425">
        <v>799</v>
      </c>
      <c r="K2425">
        <v>205</v>
      </c>
      <c r="L2425">
        <f t="shared" si="610"/>
        <v>594</v>
      </c>
      <c r="M2425">
        <v>240</v>
      </c>
      <c r="N2425">
        <f t="shared" si="611"/>
        <v>354</v>
      </c>
    </row>
    <row r="2426" spans="1:14" x14ac:dyDescent="0.2">
      <c r="A2426" t="s">
        <v>3165</v>
      </c>
      <c r="B2426" s="1" t="s">
        <v>3156</v>
      </c>
      <c r="C2426" t="s">
        <v>14</v>
      </c>
      <c r="D2426" t="s">
        <v>895</v>
      </c>
      <c r="E2426">
        <v>26</v>
      </c>
      <c r="F2426" t="s">
        <v>2703</v>
      </c>
      <c r="G2426">
        <v>2022</v>
      </c>
      <c r="H2426" t="s">
        <v>31</v>
      </c>
      <c r="I2426" t="s">
        <v>32</v>
      </c>
      <c r="J2426">
        <v>849</v>
      </c>
      <c r="K2426">
        <v>250</v>
      </c>
      <c r="L2426">
        <f t="shared" si="610"/>
        <v>599</v>
      </c>
      <c r="M2426">
        <v>240</v>
      </c>
      <c r="N2426">
        <f t="shared" si="611"/>
        <v>359</v>
      </c>
    </row>
    <row r="2427" spans="1:14" x14ac:dyDescent="0.2">
      <c r="A2427" t="s">
        <v>3166</v>
      </c>
      <c r="B2427" s="1" t="s">
        <v>3156</v>
      </c>
      <c r="C2427" t="s">
        <v>14</v>
      </c>
      <c r="D2427" t="s">
        <v>445</v>
      </c>
      <c r="E2427">
        <v>26</v>
      </c>
      <c r="F2427" t="s">
        <v>2703</v>
      </c>
      <c r="G2427">
        <v>2022</v>
      </c>
      <c r="H2427" t="s">
        <v>882</v>
      </c>
      <c r="I2427" t="s">
        <v>883</v>
      </c>
      <c r="J2427">
        <v>899</v>
      </c>
      <c r="K2427">
        <v>295</v>
      </c>
      <c r="L2427">
        <f t="shared" si="610"/>
        <v>604</v>
      </c>
      <c r="M2427">
        <v>240</v>
      </c>
      <c r="N2427">
        <f t="shared" si="611"/>
        <v>364</v>
      </c>
    </row>
    <row r="2428" spans="1:14" x14ac:dyDescent="0.2">
      <c r="A2428" t="s">
        <v>3167</v>
      </c>
      <c r="B2428" s="1" t="s">
        <v>3156</v>
      </c>
      <c r="C2428" t="s">
        <v>14</v>
      </c>
      <c r="D2428" t="s">
        <v>967</v>
      </c>
      <c r="E2428">
        <v>26</v>
      </c>
      <c r="F2428" t="s">
        <v>2703</v>
      </c>
      <c r="G2428">
        <v>2022</v>
      </c>
      <c r="H2428" t="s">
        <v>1121</v>
      </c>
      <c r="I2428" t="s">
        <v>122</v>
      </c>
      <c r="J2428">
        <v>799</v>
      </c>
      <c r="K2428">
        <v>205</v>
      </c>
      <c r="L2428">
        <f t="shared" si="610"/>
        <v>594</v>
      </c>
      <c r="M2428">
        <v>240</v>
      </c>
      <c r="N2428">
        <f t="shared" si="611"/>
        <v>354</v>
      </c>
    </row>
    <row r="2429" spans="1:14" x14ac:dyDescent="0.2">
      <c r="A2429" t="s">
        <v>3168</v>
      </c>
      <c r="B2429" s="1" t="s">
        <v>3156</v>
      </c>
      <c r="C2429" t="s">
        <v>14</v>
      </c>
      <c r="D2429" t="s">
        <v>792</v>
      </c>
      <c r="E2429">
        <v>26</v>
      </c>
      <c r="F2429" t="s">
        <v>2703</v>
      </c>
      <c r="G2429">
        <v>2022</v>
      </c>
      <c r="H2429" t="s">
        <v>84</v>
      </c>
      <c r="I2429" t="s">
        <v>85</v>
      </c>
      <c r="J2429">
        <v>849</v>
      </c>
      <c r="K2429">
        <v>250</v>
      </c>
      <c r="L2429">
        <f t="shared" si="610"/>
        <v>599</v>
      </c>
      <c r="M2429">
        <v>240</v>
      </c>
      <c r="N2429">
        <f t="shared" si="611"/>
        <v>359</v>
      </c>
    </row>
    <row r="2430" spans="1:14" x14ac:dyDescent="0.2">
      <c r="A2430" t="s">
        <v>3169</v>
      </c>
      <c r="B2430" s="1" t="s">
        <v>3156</v>
      </c>
      <c r="C2430" t="s">
        <v>14</v>
      </c>
      <c r="D2430" t="s">
        <v>1508</v>
      </c>
      <c r="E2430">
        <v>26</v>
      </c>
      <c r="F2430" t="s">
        <v>2703</v>
      </c>
      <c r="G2430">
        <v>2022</v>
      </c>
      <c r="H2430" t="s">
        <v>359</v>
      </c>
      <c r="I2430" t="s">
        <v>85</v>
      </c>
      <c r="J2430">
        <v>949.05</v>
      </c>
      <c r="K2430">
        <v>306</v>
      </c>
      <c r="L2430">
        <f t="shared" si="610"/>
        <v>643.04999999999995</v>
      </c>
      <c r="M2430">
        <v>240</v>
      </c>
      <c r="N2430">
        <f t="shared" si="611"/>
        <v>403.04999999999995</v>
      </c>
    </row>
    <row r="2431" spans="1:14" x14ac:dyDescent="0.2">
      <c r="A2431" t="s">
        <v>3170</v>
      </c>
      <c r="B2431" s="1" t="s">
        <v>3156</v>
      </c>
      <c r="C2431" t="s">
        <v>14</v>
      </c>
      <c r="D2431" t="s">
        <v>3171</v>
      </c>
      <c r="E2431">
        <v>26</v>
      </c>
      <c r="F2431" t="s">
        <v>2703</v>
      </c>
      <c r="G2431">
        <v>2022</v>
      </c>
      <c r="H2431" t="s">
        <v>3158</v>
      </c>
      <c r="I2431" t="s">
        <v>37</v>
      </c>
      <c r="J2431">
        <v>849</v>
      </c>
      <c r="K2431">
        <v>250</v>
      </c>
      <c r="L2431">
        <f t="shared" si="610"/>
        <v>599</v>
      </c>
      <c r="M2431">
        <v>240</v>
      </c>
      <c r="N2431">
        <f t="shared" si="611"/>
        <v>359</v>
      </c>
    </row>
    <row r="2432" spans="1:14" x14ac:dyDescent="0.2">
      <c r="A2432" t="s">
        <v>3173</v>
      </c>
      <c r="B2432" s="1" t="s">
        <v>3172</v>
      </c>
      <c r="C2432" t="s">
        <v>43</v>
      </c>
      <c r="D2432" t="s">
        <v>452</v>
      </c>
      <c r="E2432">
        <v>28</v>
      </c>
      <c r="F2432" t="s">
        <v>2703</v>
      </c>
      <c r="G2432">
        <v>2022</v>
      </c>
      <c r="H2432" t="s">
        <v>246</v>
      </c>
      <c r="I2432" t="s">
        <v>58</v>
      </c>
      <c r="J2432">
        <v>0</v>
      </c>
      <c r="K2432">
        <v>0</v>
      </c>
      <c r="L2432">
        <v>0</v>
      </c>
      <c r="M2432">
        <v>0</v>
      </c>
      <c r="N2432">
        <v>0</v>
      </c>
    </row>
    <row r="2433" spans="1:14" x14ac:dyDescent="0.2">
      <c r="A2433" t="s">
        <v>3175</v>
      </c>
      <c r="B2433" s="1" t="s">
        <v>3174</v>
      </c>
      <c r="C2433" t="s">
        <v>14</v>
      </c>
      <c r="D2433" t="s">
        <v>81</v>
      </c>
      <c r="E2433">
        <v>27</v>
      </c>
      <c r="F2433" t="s">
        <v>2703</v>
      </c>
      <c r="G2433">
        <v>2022</v>
      </c>
      <c r="H2433" t="s">
        <v>157</v>
      </c>
      <c r="I2433" t="s">
        <v>97</v>
      </c>
      <c r="J2433">
        <v>849</v>
      </c>
      <c r="K2433">
        <v>250</v>
      </c>
      <c r="L2433">
        <f t="shared" ref="L2433:L2441" si="612">J2433-K2433</f>
        <v>599</v>
      </c>
      <c r="M2433">
        <v>240</v>
      </c>
      <c r="N2433">
        <f t="shared" ref="N2433:N2441" si="613">L2433-M2433</f>
        <v>359</v>
      </c>
    </row>
    <row r="2434" spans="1:14" x14ac:dyDescent="0.2">
      <c r="A2434" t="s">
        <v>3176</v>
      </c>
      <c r="B2434" s="1" t="s">
        <v>3174</v>
      </c>
      <c r="C2434" t="s">
        <v>14</v>
      </c>
      <c r="D2434" t="s">
        <v>1354</v>
      </c>
      <c r="E2434">
        <v>27</v>
      </c>
      <c r="F2434" t="s">
        <v>2703</v>
      </c>
      <c r="G2434">
        <v>2022</v>
      </c>
      <c r="H2434" t="s">
        <v>157</v>
      </c>
      <c r="I2434" t="s">
        <v>97</v>
      </c>
      <c r="J2434">
        <v>799</v>
      </c>
      <c r="K2434">
        <v>205</v>
      </c>
      <c r="L2434">
        <f t="shared" si="612"/>
        <v>594</v>
      </c>
      <c r="M2434">
        <v>240</v>
      </c>
      <c r="N2434">
        <f t="shared" si="613"/>
        <v>354</v>
      </c>
    </row>
    <row r="2435" spans="1:14" x14ac:dyDescent="0.2">
      <c r="A2435" t="s">
        <v>3177</v>
      </c>
      <c r="B2435" s="1" t="s">
        <v>3174</v>
      </c>
      <c r="C2435" t="s">
        <v>14</v>
      </c>
      <c r="D2435" t="s">
        <v>504</v>
      </c>
      <c r="E2435">
        <v>27</v>
      </c>
      <c r="F2435" t="s">
        <v>2703</v>
      </c>
      <c r="G2435">
        <v>2022</v>
      </c>
      <c r="H2435" t="s">
        <v>1633</v>
      </c>
      <c r="I2435" t="s">
        <v>163</v>
      </c>
      <c r="J2435">
        <v>899</v>
      </c>
      <c r="K2435">
        <v>295</v>
      </c>
      <c r="L2435">
        <f t="shared" si="612"/>
        <v>604</v>
      </c>
      <c r="M2435">
        <v>240</v>
      </c>
      <c r="N2435">
        <f t="shared" si="613"/>
        <v>364</v>
      </c>
    </row>
    <row r="2436" spans="1:14" x14ac:dyDescent="0.2">
      <c r="A2436" t="s">
        <v>3178</v>
      </c>
      <c r="B2436" s="1" t="s">
        <v>3174</v>
      </c>
      <c r="C2436" t="s">
        <v>14</v>
      </c>
      <c r="D2436" t="s">
        <v>993</v>
      </c>
      <c r="E2436">
        <v>27</v>
      </c>
      <c r="F2436" t="s">
        <v>2703</v>
      </c>
      <c r="G2436">
        <v>2022</v>
      </c>
      <c r="H2436" t="s">
        <v>3179</v>
      </c>
      <c r="I2436" t="s">
        <v>28</v>
      </c>
      <c r="J2436">
        <v>799</v>
      </c>
      <c r="K2436">
        <v>205</v>
      </c>
      <c r="L2436">
        <f t="shared" si="612"/>
        <v>594</v>
      </c>
      <c r="M2436">
        <v>240</v>
      </c>
      <c r="N2436">
        <f t="shared" si="613"/>
        <v>354</v>
      </c>
    </row>
    <row r="2437" spans="1:14" x14ac:dyDescent="0.2">
      <c r="A2437" t="s">
        <v>3180</v>
      </c>
      <c r="B2437" s="1" t="s">
        <v>3174</v>
      </c>
      <c r="C2437" t="s">
        <v>14</v>
      </c>
      <c r="D2437" t="s">
        <v>308</v>
      </c>
      <c r="E2437">
        <v>27</v>
      </c>
      <c r="F2437" t="s">
        <v>2703</v>
      </c>
      <c r="G2437">
        <v>2022</v>
      </c>
      <c r="H2437" t="s">
        <v>2618</v>
      </c>
      <c r="I2437" t="s">
        <v>2619</v>
      </c>
      <c r="J2437">
        <v>854.05</v>
      </c>
      <c r="K2437">
        <v>270</v>
      </c>
      <c r="L2437">
        <f t="shared" si="612"/>
        <v>584.04999999999995</v>
      </c>
      <c r="M2437">
        <v>240</v>
      </c>
      <c r="N2437">
        <f t="shared" si="613"/>
        <v>344.04999999999995</v>
      </c>
    </row>
    <row r="2438" spans="1:14" x14ac:dyDescent="0.2">
      <c r="A2438" t="s">
        <v>3181</v>
      </c>
      <c r="B2438" s="1" t="s">
        <v>3174</v>
      </c>
      <c r="C2438" t="s">
        <v>14</v>
      </c>
      <c r="D2438" t="s">
        <v>81</v>
      </c>
      <c r="E2438">
        <v>27</v>
      </c>
      <c r="F2438" t="s">
        <v>2703</v>
      </c>
      <c r="G2438">
        <v>2022</v>
      </c>
      <c r="H2438" t="s">
        <v>235</v>
      </c>
      <c r="I2438" t="s">
        <v>62</v>
      </c>
      <c r="J2438">
        <v>849</v>
      </c>
      <c r="K2438">
        <v>250</v>
      </c>
      <c r="L2438">
        <f t="shared" si="612"/>
        <v>599</v>
      </c>
      <c r="M2438">
        <v>240</v>
      </c>
      <c r="N2438">
        <f t="shared" si="613"/>
        <v>359</v>
      </c>
    </row>
    <row r="2439" spans="1:14" x14ac:dyDescent="0.2">
      <c r="A2439" t="s">
        <v>3182</v>
      </c>
      <c r="B2439" s="1" t="s">
        <v>3156</v>
      </c>
      <c r="C2439" t="s">
        <v>14</v>
      </c>
      <c r="D2439" t="s">
        <v>548</v>
      </c>
      <c r="E2439">
        <v>26</v>
      </c>
      <c r="F2439" t="s">
        <v>2703</v>
      </c>
      <c r="G2439">
        <v>2022</v>
      </c>
      <c r="H2439" t="s">
        <v>3097</v>
      </c>
      <c r="I2439" t="s">
        <v>180</v>
      </c>
      <c r="J2439">
        <v>899</v>
      </c>
      <c r="K2439">
        <v>295</v>
      </c>
      <c r="L2439">
        <f t="shared" si="612"/>
        <v>604</v>
      </c>
      <c r="M2439">
        <v>240</v>
      </c>
      <c r="N2439">
        <f t="shared" si="613"/>
        <v>364</v>
      </c>
    </row>
    <row r="2440" spans="1:14" x14ac:dyDescent="0.2">
      <c r="A2440" t="s">
        <v>3183</v>
      </c>
      <c r="B2440" s="1" t="s">
        <v>3174</v>
      </c>
      <c r="C2440" t="s">
        <v>14</v>
      </c>
      <c r="D2440" t="s">
        <v>792</v>
      </c>
      <c r="E2440">
        <v>27</v>
      </c>
      <c r="F2440" t="s">
        <v>2703</v>
      </c>
      <c r="G2440">
        <v>2022</v>
      </c>
      <c r="H2440" t="s">
        <v>134</v>
      </c>
      <c r="I2440" t="s">
        <v>135</v>
      </c>
      <c r="J2440">
        <v>849</v>
      </c>
      <c r="K2440">
        <v>250</v>
      </c>
      <c r="L2440">
        <f t="shared" si="612"/>
        <v>599</v>
      </c>
      <c r="M2440">
        <v>240</v>
      </c>
      <c r="N2440">
        <f t="shared" si="613"/>
        <v>359</v>
      </c>
    </row>
    <row r="2441" spans="1:14" x14ac:dyDescent="0.2">
      <c r="A2441" t="s">
        <v>3184</v>
      </c>
      <c r="B2441" s="1" t="s">
        <v>3174</v>
      </c>
      <c r="C2441" t="s">
        <v>14</v>
      </c>
      <c r="D2441" t="s">
        <v>1076</v>
      </c>
      <c r="E2441">
        <v>27</v>
      </c>
      <c r="F2441" t="s">
        <v>2703</v>
      </c>
      <c r="G2441">
        <v>2022</v>
      </c>
      <c r="H2441" t="s">
        <v>235</v>
      </c>
      <c r="I2441" t="s">
        <v>62</v>
      </c>
      <c r="J2441">
        <v>849</v>
      </c>
      <c r="K2441">
        <v>250</v>
      </c>
      <c r="L2441">
        <f t="shared" si="612"/>
        <v>599</v>
      </c>
      <c r="M2441">
        <v>240</v>
      </c>
      <c r="N2441">
        <f t="shared" si="613"/>
        <v>359</v>
      </c>
    </row>
    <row r="2442" spans="1:14" x14ac:dyDescent="0.2">
      <c r="A2442" t="s">
        <v>3091</v>
      </c>
      <c r="B2442" s="1" t="s">
        <v>3090</v>
      </c>
      <c r="C2442" t="s">
        <v>106</v>
      </c>
      <c r="D2442" t="s">
        <v>81</v>
      </c>
      <c r="E2442">
        <v>21</v>
      </c>
      <c r="F2442" t="s">
        <v>2703</v>
      </c>
      <c r="G2442">
        <v>2022</v>
      </c>
      <c r="H2442" t="s">
        <v>694</v>
      </c>
      <c r="I2442" t="s">
        <v>62</v>
      </c>
      <c r="J2442">
        <v>-806.55</v>
      </c>
      <c r="K2442">
        <v>345</v>
      </c>
      <c r="L2442">
        <f t="shared" ref="L2442:L2445" si="614">J2442+K2442</f>
        <v>-461.54999999999995</v>
      </c>
      <c r="M2442">
        <v>240</v>
      </c>
      <c r="N2442">
        <f t="shared" ref="N2442:N2445" si="615">L2442+M2442</f>
        <v>-221.54999999999995</v>
      </c>
    </row>
    <row r="2443" spans="1:14" x14ac:dyDescent="0.2">
      <c r="A2443" t="s">
        <v>3130</v>
      </c>
      <c r="B2443" s="1" t="s">
        <v>3119</v>
      </c>
      <c r="C2443" t="s">
        <v>106</v>
      </c>
      <c r="D2443" t="s">
        <v>242</v>
      </c>
      <c r="E2443">
        <v>23</v>
      </c>
      <c r="F2443" t="s">
        <v>2703</v>
      </c>
      <c r="G2443">
        <v>2022</v>
      </c>
      <c r="H2443" t="s">
        <v>2156</v>
      </c>
      <c r="I2443" t="s">
        <v>1742</v>
      </c>
      <c r="J2443">
        <v>-899</v>
      </c>
      <c r="K2443">
        <v>375</v>
      </c>
      <c r="L2443">
        <f t="shared" si="614"/>
        <v>-524</v>
      </c>
      <c r="M2443">
        <v>240</v>
      </c>
      <c r="N2443">
        <f t="shared" si="615"/>
        <v>-284</v>
      </c>
    </row>
    <row r="2444" spans="1:14" x14ac:dyDescent="0.2">
      <c r="A2444" t="s">
        <v>2977</v>
      </c>
      <c r="B2444" s="1" t="s">
        <v>2939</v>
      </c>
      <c r="C2444" t="s">
        <v>106</v>
      </c>
      <c r="D2444" t="s">
        <v>881</v>
      </c>
      <c r="E2444">
        <v>14</v>
      </c>
      <c r="F2444" t="s">
        <v>2703</v>
      </c>
      <c r="G2444">
        <v>2022</v>
      </c>
      <c r="H2444" t="s">
        <v>2564</v>
      </c>
      <c r="I2444" t="s">
        <v>62</v>
      </c>
      <c r="J2444">
        <v>-799</v>
      </c>
      <c r="K2444">
        <v>320</v>
      </c>
      <c r="L2444">
        <f t="shared" si="614"/>
        <v>-479</v>
      </c>
      <c r="M2444">
        <v>240</v>
      </c>
      <c r="N2444">
        <f t="shared" si="615"/>
        <v>-239</v>
      </c>
    </row>
    <row r="2445" spans="1:14" x14ac:dyDescent="0.2">
      <c r="A2445" t="s">
        <v>2932</v>
      </c>
      <c r="B2445" s="1" t="s">
        <v>2914</v>
      </c>
      <c r="C2445" t="s">
        <v>106</v>
      </c>
      <c r="D2445" t="s">
        <v>812</v>
      </c>
      <c r="E2445">
        <v>12</v>
      </c>
      <c r="F2445" t="s">
        <v>2703</v>
      </c>
      <c r="G2445">
        <v>2022</v>
      </c>
      <c r="H2445" t="s">
        <v>215</v>
      </c>
      <c r="I2445" t="s">
        <v>135</v>
      </c>
      <c r="J2445">
        <v>-949.05</v>
      </c>
      <c r="K2445">
        <v>395</v>
      </c>
      <c r="L2445">
        <f t="shared" si="614"/>
        <v>-554.04999999999995</v>
      </c>
      <c r="M2445">
        <v>240</v>
      </c>
      <c r="N2445">
        <f t="shared" si="615"/>
        <v>-314.04999999999995</v>
      </c>
    </row>
    <row r="2446" spans="1:14" x14ac:dyDescent="0.2">
      <c r="A2446" t="s">
        <v>3185</v>
      </c>
      <c r="B2446" s="1" t="s">
        <v>3172</v>
      </c>
      <c r="C2446" t="s">
        <v>14</v>
      </c>
      <c r="D2446" t="s">
        <v>3186</v>
      </c>
      <c r="E2446">
        <v>28</v>
      </c>
      <c r="F2446" t="s">
        <v>2703</v>
      </c>
      <c r="G2446">
        <v>2022</v>
      </c>
      <c r="H2446" t="s">
        <v>104</v>
      </c>
      <c r="I2446" t="s">
        <v>62</v>
      </c>
      <c r="J2446">
        <v>849</v>
      </c>
      <c r="K2446">
        <v>250</v>
      </c>
      <c r="L2446">
        <f t="shared" ref="L2446:L2448" si="616">J2446-K2446</f>
        <v>599</v>
      </c>
      <c r="M2446">
        <v>240</v>
      </c>
      <c r="N2446">
        <f t="shared" ref="N2446:N2448" si="617">L2446-M2446</f>
        <v>359</v>
      </c>
    </row>
    <row r="2447" spans="1:14" x14ac:dyDescent="0.2">
      <c r="A2447" t="s">
        <v>3187</v>
      </c>
      <c r="B2447" s="1" t="s">
        <v>3172</v>
      </c>
      <c r="C2447" t="s">
        <v>14</v>
      </c>
      <c r="D2447" t="s">
        <v>923</v>
      </c>
      <c r="E2447">
        <v>28</v>
      </c>
      <c r="F2447" t="s">
        <v>2703</v>
      </c>
      <c r="G2447">
        <v>2022</v>
      </c>
      <c r="H2447" t="s">
        <v>3148</v>
      </c>
      <c r="I2447" t="s">
        <v>62</v>
      </c>
      <c r="J2447">
        <v>849</v>
      </c>
      <c r="K2447">
        <v>250</v>
      </c>
      <c r="L2447">
        <f t="shared" si="616"/>
        <v>599</v>
      </c>
      <c r="M2447">
        <v>240</v>
      </c>
      <c r="N2447">
        <f t="shared" si="617"/>
        <v>359</v>
      </c>
    </row>
    <row r="2448" spans="1:14" x14ac:dyDescent="0.2">
      <c r="A2448" t="s">
        <v>3173</v>
      </c>
      <c r="B2448" s="1" t="s">
        <v>3172</v>
      </c>
      <c r="C2448" t="s">
        <v>14</v>
      </c>
      <c r="D2448" t="s">
        <v>452</v>
      </c>
      <c r="E2448">
        <v>28</v>
      </c>
      <c r="F2448" t="s">
        <v>2703</v>
      </c>
      <c r="G2448">
        <v>2022</v>
      </c>
      <c r="H2448" t="s">
        <v>246</v>
      </c>
      <c r="I2448" t="s">
        <v>58</v>
      </c>
      <c r="J2448">
        <v>759.05</v>
      </c>
      <c r="K2448">
        <v>202</v>
      </c>
      <c r="L2448">
        <f t="shared" si="616"/>
        <v>557.04999999999995</v>
      </c>
      <c r="M2448">
        <v>240</v>
      </c>
      <c r="N2448">
        <f t="shared" si="617"/>
        <v>317.04999999999995</v>
      </c>
    </row>
    <row r="2449" spans="1:14" x14ac:dyDescent="0.2">
      <c r="A2449" t="s">
        <v>3188</v>
      </c>
      <c r="B2449" s="1" t="s">
        <v>3172</v>
      </c>
      <c r="C2449" t="s">
        <v>20</v>
      </c>
      <c r="D2449" t="s">
        <v>2860</v>
      </c>
      <c r="E2449">
        <v>28</v>
      </c>
      <c r="F2449" t="s">
        <v>2703</v>
      </c>
      <c r="G2449">
        <v>2022</v>
      </c>
      <c r="H2449" t="s">
        <v>215</v>
      </c>
      <c r="I2449" t="s">
        <v>135</v>
      </c>
      <c r="J2449">
        <v>0</v>
      </c>
      <c r="K2449">
        <v>0</v>
      </c>
      <c r="L2449">
        <v>0</v>
      </c>
      <c r="M2449">
        <v>0</v>
      </c>
      <c r="N2449">
        <v>0</v>
      </c>
    </row>
    <row r="2450" spans="1:14" x14ac:dyDescent="0.2">
      <c r="A2450" t="s">
        <v>3189</v>
      </c>
      <c r="B2450" s="1" t="s">
        <v>3172</v>
      </c>
      <c r="C2450" t="s">
        <v>14</v>
      </c>
      <c r="D2450" t="s">
        <v>452</v>
      </c>
      <c r="E2450">
        <v>28</v>
      </c>
      <c r="F2450" t="s">
        <v>2703</v>
      </c>
      <c r="G2450">
        <v>2022</v>
      </c>
      <c r="H2450" t="s">
        <v>1807</v>
      </c>
      <c r="I2450" t="s">
        <v>160</v>
      </c>
      <c r="J2450">
        <v>799</v>
      </c>
      <c r="K2450">
        <v>205</v>
      </c>
      <c r="L2450">
        <f t="shared" ref="L2450:L2454" si="618">J2450-K2450</f>
        <v>594</v>
      </c>
      <c r="M2450">
        <v>240</v>
      </c>
      <c r="N2450">
        <f t="shared" ref="N2450:N2454" si="619">L2450-M2450</f>
        <v>354</v>
      </c>
    </row>
    <row r="2451" spans="1:14" x14ac:dyDescent="0.2">
      <c r="A2451" t="s">
        <v>3190</v>
      </c>
      <c r="B2451" s="1" t="s">
        <v>3172</v>
      </c>
      <c r="C2451" t="s">
        <v>14</v>
      </c>
      <c r="D2451" t="s">
        <v>1002</v>
      </c>
      <c r="E2451">
        <v>28</v>
      </c>
      <c r="F2451" t="s">
        <v>2703</v>
      </c>
      <c r="G2451">
        <v>2022</v>
      </c>
      <c r="H2451" t="s">
        <v>2236</v>
      </c>
      <c r="I2451" t="s">
        <v>28</v>
      </c>
      <c r="J2451">
        <v>849</v>
      </c>
      <c r="K2451">
        <v>250</v>
      </c>
      <c r="L2451">
        <f t="shared" si="618"/>
        <v>599</v>
      </c>
      <c r="M2451">
        <v>240</v>
      </c>
      <c r="N2451">
        <f t="shared" si="619"/>
        <v>359</v>
      </c>
    </row>
    <row r="2452" spans="1:14" x14ac:dyDescent="0.2">
      <c r="A2452" t="s">
        <v>3191</v>
      </c>
      <c r="B2452" s="1" t="s">
        <v>3172</v>
      </c>
      <c r="C2452" t="s">
        <v>14</v>
      </c>
      <c r="D2452" t="s">
        <v>1193</v>
      </c>
      <c r="E2452">
        <v>28</v>
      </c>
      <c r="F2452" t="s">
        <v>2703</v>
      </c>
      <c r="G2452">
        <v>2022</v>
      </c>
      <c r="H2452" t="s">
        <v>3192</v>
      </c>
      <c r="I2452" t="s">
        <v>62</v>
      </c>
      <c r="J2452">
        <v>854.05</v>
      </c>
      <c r="K2452">
        <v>270</v>
      </c>
      <c r="L2452">
        <f t="shared" si="618"/>
        <v>584.04999999999995</v>
      </c>
      <c r="M2452">
        <v>240</v>
      </c>
      <c r="N2452">
        <f t="shared" si="619"/>
        <v>344.04999999999995</v>
      </c>
    </row>
    <row r="2453" spans="1:14" x14ac:dyDescent="0.2">
      <c r="A2453" t="s">
        <v>3193</v>
      </c>
      <c r="B2453" s="1" t="s">
        <v>3172</v>
      </c>
      <c r="C2453" t="s">
        <v>14</v>
      </c>
      <c r="D2453" t="s">
        <v>881</v>
      </c>
      <c r="E2453">
        <v>28</v>
      </c>
      <c r="F2453" t="s">
        <v>2703</v>
      </c>
      <c r="G2453">
        <v>2022</v>
      </c>
      <c r="H2453" t="s">
        <v>2564</v>
      </c>
      <c r="I2453" t="s">
        <v>62</v>
      </c>
      <c r="J2453">
        <v>799</v>
      </c>
      <c r="K2453">
        <v>205</v>
      </c>
      <c r="L2453">
        <f t="shared" si="618"/>
        <v>594</v>
      </c>
      <c r="M2453">
        <v>240</v>
      </c>
      <c r="N2453">
        <f t="shared" si="619"/>
        <v>354</v>
      </c>
    </row>
    <row r="2454" spans="1:14" x14ac:dyDescent="0.2">
      <c r="A2454" t="s">
        <v>3194</v>
      </c>
      <c r="B2454" s="1" t="s">
        <v>3172</v>
      </c>
      <c r="C2454" t="s">
        <v>14</v>
      </c>
      <c r="D2454" t="s">
        <v>504</v>
      </c>
      <c r="E2454">
        <v>28</v>
      </c>
      <c r="F2454" t="s">
        <v>2703</v>
      </c>
      <c r="G2454">
        <v>2022</v>
      </c>
      <c r="H2454" t="s">
        <v>157</v>
      </c>
      <c r="I2454" t="s">
        <v>97</v>
      </c>
      <c r="J2454">
        <v>854.05</v>
      </c>
      <c r="K2454">
        <v>270</v>
      </c>
      <c r="L2454">
        <f t="shared" si="618"/>
        <v>584.04999999999995</v>
      </c>
      <c r="M2454">
        <v>240</v>
      </c>
      <c r="N2454">
        <f t="shared" si="619"/>
        <v>344.04999999999995</v>
      </c>
    </row>
    <row r="2455" spans="1:14" x14ac:dyDescent="0.2">
      <c r="A2455" t="s">
        <v>3058</v>
      </c>
      <c r="B2455" s="1" t="s">
        <v>3055</v>
      </c>
      <c r="C2455" t="s">
        <v>106</v>
      </c>
      <c r="D2455" t="s">
        <v>1089</v>
      </c>
      <c r="E2455">
        <v>19</v>
      </c>
      <c r="F2455" t="s">
        <v>2703</v>
      </c>
      <c r="G2455">
        <v>2022</v>
      </c>
      <c r="H2455" t="s">
        <v>668</v>
      </c>
      <c r="I2455" t="s">
        <v>502</v>
      </c>
      <c r="J2455">
        <v>-799</v>
      </c>
      <c r="K2455">
        <v>320</v>
      </c>
      <c r="L2455">
        <f t="shared" ref="L2455:L2456" si="620">J2455+K2455</f>
        <v>-479</v>
      </c>
      <c r="M2455">
        <v>240</v>
      </c>
      <c r="N2455">
        <f t="shared" ref="N2455:N2456" si="621">L2455+M2455</f>
        <v>-239</v>
      </c>
    </row>
    <row r="2456" spans="1:14" x14ac:dyDescent="0.2">
      <c r="A2456" t="s">
        <v>3089</v>
      </c>
      <c r="B2456" s="1" t="s">
        <v>3072</v>
      </c>
      <c r="C2456" t="s">
        <v>106</v>
      </c>
      <c r="D2456" t="s">
        <v>1182</v>
      </c>
      <c r="E2456">
        <v>20</v>
      </c>
      <c r="F2456" t="s">
        <v>2703</v>
      </c>
      <c r="G2456">
        <v>2022</v>
      </c>
      <c r="H2456" t="s">
        <v>2564</v>
      </c>
      <c r="I2456" t="s">
        <v>62</v>
      </c>
      <c r="J2456">
        <v>-799</v>
      </c>
      <c r="K2456">
        <v>320</v>
      </c>
      <c r="L2456">
        <f t="shared" si="620"/>
        <v>-479</v>
      </c>
      <c r="M2456">
        <v>240</v>
      </c>
      <c r="N2456">
        <f t="shared" si="621"/>
        <v>-239</v>
      </c>
    </row>
    <row r="2457" spans="1:14" x14ac:dyDescent="0.2">
      <c r="A2457" t="s">
        <v>3196</v>
      </c>
      <c r="B2457" s="1" t="s">
        <v>3195</v>
      </c>
      <c r="C2457" t="s">
        <v>14</v>
      </c>
      <c r="D2457" t="s">
        <v>308</v>
      </c>
      <c r="E2457">
        <v>29</v>
      </c>
      <c r="F2457" t="s">
        <v>2703</v>
      </c>
      <c r="G2457">
        <v>2022</v>
      </c>
      <c r="H2457" t="s">
        <v>3197</v>
      </c>
      <c r="I2457" t="s">
        <v>62</v>
      </c>
      <c r="J2457">
        <v>899</v>
      </c>
      <c r="K2457">
        <v>295</v>
      </c>
      <c r="L2457">
        <f t="shared" ref="L2457:L2465" si="622">J2457-K2457</f>
        <v>604</v>
      </c>
      <c r="M2457">
        <v>240</v>
      </c>
      <c r="N2457">
        <f t="shared" ref="N2457:N2465" si="623">L2457-M2457</f>
        <v>364</v>
      </c>
    </row>
    <row r="2458" spans="1:14" x14ac:dyDescent="0.2">
      <c r="A2458" t="s">
        <v>3198</v>
      </c>
      <c r="B2458" s="1" t="s">
        <v>3195</v>
      </c>
      <c r="C2458" t="s">
        <v>14</v>
      </c>
      <c r="D2458" t="s">
        <v>573</v>
      </c>
      <c r="E2458">
        <v>29</v>
      </c>
      <c r="F2458" t="s">
        <v>2703</v>
      </c>
      <c r="G2458">
        <v>2022</v>
      </c>
      <c r="H2458" t="s">
        <v>31</v>
      </c>
      <c r="I2458" t="s">
        <v>32</v>
      </c>
      <c r="J2458">
        <v>899</v>
      </c>
      <c r="K2458">
        <v>295</v>
      </c>
      <c r="L2458">
        <f t="shared" si="622"/>
        <v>604</v>
      </c>
      <c r="M2458">
        <v>240</v>
      </c>
      <c r="N2458">
        <f t="shared" si="623"/>
        <v>364</v>
      </c>
    </row>
    <row r="2459" spans="1:14" x14ac:dyDescent="0.2">
      <c r="A2459" t="s">
        <v>3199</v>
      </c>
      <c r="B2459" s="1" t="s">
        <v>3195</v>
      </c>
      <c r="C2459" t="s">
        <v>14</v>
      </c>
      <c r="D2459" t="s">
        <v>379</v>
      </c>
      <c r="E2459">
        <v>29</v>
      </c>
      <c r="F2459" t="s">
        <v>2703</v>
      </c>
      <c r="G2459">
        <v>2022</v>
      </c>
      <c r="H2459" t="s">
        <v>246</v>
      </c>
      <c r="I2459" t="s">
        <v>58</v>
      </c>
      <c r="J2459">
        <v>799</v>
      </c>
      <c r="K2459">
        <v>205</v>
      </c>
      <c r="L2459">
        <f t="shared" si="622"/>
        <v>594</v>
      </c>
      <c r="M2459">
        <v>240</v>
      </c>
      <c r="N2459">
        <f t="shared" si="623"/>
        <v>354</v>
      </c>
    </row>
    <row r="2460" spans="1:14" x14ac:dyDescent="0.2">
      <c r="A2460" t="s">
        <v>3200</v>
      </c>
      <c r="B2460" s="1" t="s">
        <v>3195</v>
      </c>
      <c r="C2460" t="s">
        <v>14</v>
      </c>
      <c r="D2460" t="s">
        <v>81</v>
      </c>
      <c r="E2460">
        <v>29</v>
      </c>
      <c r="F2460" t="s">
        <v>2703</v>
      </c>
      <c r="G2460">
        <v>2022</v>
      </c>
      <c r="H2460" t="s">
        <v>246</v>
      </c>
      <c r="I2460" t="s">
        <v>58</v>
      </c>
      <c r="J2460">
        <v>849</v>
      </c>
      <c r="K2460">
        <v>250</v>
      </c>
      <c r="L2460">
        <f t="shared" si="622"/>
        <v>599</v>
      </c>
      <c r="M2460">
        <v>240</v>
      </c>
      <c r="N2460">
        <f t="shared" si="623"/>
        <v>359</v>
      </c>
    </row>
    <row r="2461" spans="1:14" x14ac:dyDescent="0.2">
      <c r="A2461" t="s">
        <v>3201</v>
      </c>
      <c r="B2461" s="1" t="s">
        <v>3195</v>
      </c>
      <c r="C2461" t="s">
        <v>14</v>
      </c>
      <c r="D2461" t="s">
        <v>448</v>
      </c>
      <c r="E2461">
        <v>29</v>
      </c>
      <c r="F2461" t="s">
        <v>2703</v>
      </c>
      <c r="G2461">
        <v>2022</v>
      </c>
      <c r="H2461" t="s">
        <v>170</v>
      </c>
      <c r="I2461" t="s">
        <v>171</v>
      </c>
      <c r="J2461">
        <v>854.05</v>
      </c>
      <c r="K2461">
        <v>270</v>
      </c>
      <c r="L2461">
        <f t="shared" si="622"/>
        <v>584.04999999999995</v>
      </c>
      <c r="M2461">
        <v>240</v>
      </c>
      <c r="N2461">
        <f t="shared" si="623"/>
        <v>344.04999999999995</v>
      </c>
    </row>
    <row r="2462" spans="1:14" x14ac:dyDescent="0.2">
      <c r="A2462" t="s">
        <v>3202</v>
      </c>
      <c r="B2462" s="1" t="s">
        <v>3195</v>
      </c>
      <c r="C2462" t="s">
        <v>14</v>
      </c>
      <c r="D2462" t="s">
        <v>1193</v>
      </c>
      <c r="E2462">
        <v>29</v>
      </c>
      <c r="F2462" t="s">
        <v>2703</v>
      </c>
      <c r="G2462">
        <v>2022</v>
      </c>
      <c r="H2462" t="s">
        <v>309</v>
      </c>
      <c r="I2462" t="s">
        <v>212</v>
      </c>
      <c r="J2462">
        <v>854.05</v>
      </c>
      <c r="K2462">
        <v>270</v>
      </c>
      <c r="L2462">
        <f t="shared" si="622"/>
        <v>584.04999999999995</v>
      </c>
      <c r="M2462">
        <v>240</v>
      </c>
      <c r="N2462">
        <f t="shared" si="623"/>
        <v>344.04999999999995</v>
      </c>
    </row>
    <row r="2463" spans="1:14" x14ac:dyDescent="0.2">
      <c r="A2463" t="s">
        <v>3203</v>
      </c>
      <c r="B2463" s="1" t="s">
        <v>3195</v>
      </c>
      <c r="C2463" t="s">
        <v>14</v>
      </c>
      <c r="D2463" t="s">
        <v>379</v>
      </c>
      <c r="E2463">
        <v>29</v>
      </c>
      <c r="F2463" t="s">
        <v>2703</v>
      </c>
      <c r="G2463">
        <v>2022</v>
      </c>
      <c r="H2463" t="s">
        <v>3204</v>
      </c>
      <c r="I2463" t="s">
        <v>135</v>
      </c>
      <c r="J2463">
        <v>759.05</v>
      </c>
      <c r="K2463">
        <v>202</v>
      </c>
      <c r="L2463">
        <f t="shared" si="622"/>
        <v>557.04999999999995</v>
      </c>
      <c r="M2463">
        <v>240</v>
      </c>
      <c r="N2463">
        <f t="shared" si="623"/>
        <v>317.04999999999995</v>
      </c>
    </row>
    <row r="2464" spans="1:14" x14ac:dyDescent="0.2">
      <c r="A2464" t="s">
        <v>3205</v>
      </c>
      <c r="B2464" s="1" t="s">
        <v>3195</v>
      </c>
      <c r="C2464" t="s">
        <v>14</v>
      </c>
      <c r="D2464" t="s">
        <v>81</v>
      </c>
      <c r="E2464">
        <v>29</v>
      </c>
      <c r="F2464" t="s">
        <v>2703</v>
      </c>
      <c r="G2464">
        <v>2022</v>
      </c>
      <c r="H2464" t="s">
        <v>3206</v>
      </c>
      <c r="I2464" t="s">
        <v>122</v>
      </c>
      <c r="J2464">
        <v>806.55</v>
      </c>
      <c r="K2464">
        <v>227</v>
      </c>
      <c r="L2464">
        <f t="shared" si="622"/>
        <v>579.54999999999995</v>
      </c>
      <c r="M2464">
        <v>240</v>
      </c>
      <c r="N2464">
        <f t="shared" si="623"/>
        <v>339.54999999999995</v>
      </c>
    </row>
    <row r="2465" spans="1:14" x14ac:dyDescent="0.2">
      <c r="A2465" t="s">
        <v>3207</v>
      </c>
      <c r="B2465" s="1" t="s">
        <v>3195</v>
      </c>
      <c r="C2465" t="s">
        <v>14</v>
      </c>
      <c r="D2465" t="s">
        <v>881</v>
      </c>
      <c r="E2465">
        <v>29</v>
      </c>
      <c r="F2465" t="s">
        <v>2703</v>
      </c>
      <c r="G2465">
        <v>2022</v>
      </c>
      <c r="H2465" t="s">
        <v>2502</v>
      </c>
      <c r="I2465" t="s">
        <v>23</v>
      </c>
      <c r="J2465">
        <v>799</v>
      </c>
      <c r="K2465">
        <v>205</v>
      </c>
      <c r="L2465">
        <f t="shared" si="622"/>
        <v>594</v>
      </c>
      <c r="M2465">
        <v>240</v>
      </c>
      <c r="N2465">
        <f t="shared" si="623"/>
        <v>354</v>
      </c>
    </row>
    <row r="2466" spans="1:14" x14ac:dyDescent="0.2">
      <c r="A2466" t="s">
        <v>3209</v>
      </c>
      <c r="B2466" s="1" t="s">
        <v>3208</v>
      </c>
      <c r="C2466" t="s">
        <v>43</v>
      </c>
      <c r="D2466" t="s">
        <v>792</v>
      </c>
      <c r="E2466">
        <v>30</v>
      </c>
      <c r="F2466" t="s">
        <v>2703</v>
      </c>
      <c r="G2466">
        <v>2022</v>
      </c>
      <c r="H2466" t="s">
        <v>3210</v>
      </c>
      <c r="I2466" t="s">
        <v>58</v>
      </c>
      <c r="J2466">
        <v>0</v>
      </c>
      <c r="K2466">
        <v>0</v>
      </c>
      <c r="L2466">
        <v>0</v>
      </c>
      <c r="M2466">
        <v>0</v>
      </c>
      <c r="N2466">
        <v>0</v>
      </c>
    </row>
    <row r="2467" spans="1:14" x14ac:dyDescent="0.2">
      <c r="A2467" t="s">
        <v>3131</v>
      </c>
      <c r="B2467" s="1" t="s">
        <v>3119</v>
      </c>
      <c r="C2467" t="s">
        <v>106</v>
      </c>
      <c r="D2467" t="s">
        <v>81</v>
      </c>
      <c r="E2467">
        <v>23</v>
      </c>
      <c r="F2467" t="s">
        <v>2703</v>
      </c>
      <c r="G2467">
        <v>2022</v>
      </c>
      <c r="H2467" t="s">
        <v>157</v>
      </c>
      <c r="I2467" t="s">
        <v>97</v>
      </c>
      <c r="J2467">
        <v>-849</v>
      </c>
      <c r="K2467">
        <v>345</v>
      </c>
      <c r="L2467">
        <f>J2467+K2467</f>
        <v>-504</v>
      </c>
      <c r="M2467">
        <v>240</v>
      </c>
      <c r="N2467">
        <f>L2467+M2467</f>
        <v>-264</v>
      </c>
    </row>
    <row r="2468" spans="1:14" x14ac:dyDescent="0.2">
      <c r="A2468" t="s">
        <v>3211</v>
      </c>
      <c r="B2468" s="1" t="s">
        <v>3208</v>
      </c>
      <c r="C2468" t="s">
        <v>43</v>
      </c>
      <c r="D2468" t="s">
        <v>1076</v>
      </c>
      <c r="E2468">
        <v>30</v>
      </c>
      <c r="F2468" t="s">
        <v>2703</v>
      </c>
      <c r="G2468">
        <v>2022</v>
      </c>
      <c r="H2468" t="s">
        <v>3212</v>
      </c>
      <c r="I2468" t="s">
        <v>144</v>
      </c>
      <c r="J2468">
        <v>0</v>
      </c>
      <c r="K2468">
        <v>0</v>
      </c>
      <c r="L2468">
        <v>0</v>
      </c>
      <c r="M2468">
        <v>0</v>
      </c>
      <c r="N2468">
        <v>0</v>
      </c>
    </row>
    <row r="2469" spans="1:14" x14ac:dyDescent="0.2">
      <c r="A2469" t="s">
        <v>3198</v>
      </c>
      <c r="B2469" s="1" t="s">
        <v>3195</v>
      </c>
      <c r="C2469" t="s">
        <v>106</v>
      </c>
      <c r="D2469" t="s">
        <v>573</v>
      </c>
      <c r="E2469">
        <v>29</v>
      </c>
      <c r="F2469" t="s">
        <v>2703</v>
      </c>
      <c r="G2469">
        <v>2022</v>
      </c>
      <c r="H2469" t="s">
        <v>31</v>
      </c>
      <c r="I2469" t="s">
        <v>32</v>
      </c>
      <c r="J2469">
        <v>-899</v>
      </c>
      <c r="K2469">
        <v>375</v>
      </c>
      <c r="L2469">
        <f>J2469+K2469</f>
        <v>-524</v>
      </c>
      <c r="M2469">
        <v>240</v>
      </c>
      <c r="N2469">
        <f>L2469+M2469</f>
        <v>-284</v>
      </c>
    </row>
    <row r="2470" spans="1:14" x14ac:dyDescent="0.2">
      <c r="A2470" t="s">
        <v>3213</v>
      </c>
      <c r="B2470" s="1" t="s">
        <v>3208</v>
      </c>
      <c r="C2470" t="s">
        <v>14</v>
      </c>
      <c r="D2470" t="s">
        <v>2063</v>
      </c>
      <c r="E2470">
        <v>30</v>
      </c>
      <c r="F2470" t="s">
        <v>2703</v>
      </c>
      <c r="G2470">
        <v>2022</v>
      </c>
      <c r="H2470" t="s">
        <v>2564</v>
      </c>
      <c r="I2470" t="s">
        <v>62</v>
      </c>
      <c r="J2470">
        <v>799</v>
      </c>
      <c r="K2470">
        <v>205</v>
      </c>
      <c r="L2470">
        <f t="shared" ref="L2470:L2477" si="624">J2470-K2470</f>
        <v>594</v>
      </c>
      <c r="M2470">
        <v>240</v>
      </c>
      <c r="N2470">
        <f t="shared" ref="N2470:N2477" si="625">L2470-M2470</f>
        <v>354</v>
      </c>
    </row>
    <row r="2471" spans="1:14" x14ac:dyDescent="0.2">
      <c r="A2471" t="s">
        <v>3214</v>
      </c>
      <c r="B2471" s="1" t="s">
        <v>3208</v>
      </c>
      <c r="C2471" t="s">
        <v>14</v>
      </c>
      <c r="D2471" t="s">
        <v>893</v>
      </c>
      <c r="E2471">
        <v>30</v>
      </c>
      <c r="F2471" t="s">
        <v>2703</v>
      </c>
      <c r="G2471">
        <v>2022</v>
      </c>
      <c r="H2471" t="s">
        <v>173</v>
      </c>
      <c r="I2471" t="s">
        <v>62</v>
      </c>
      <c r="J2471">
        <v>849</v>
      </c>
      <c r="K2471">
        <v>250</v>
      </c>
      <c r="L2471">
        <f t="shared" si="624"/>
        <v>599</v>
      </c>
      <c r="M2471">
        <v>240</v>
      </c>
      <c r="N2471">
        <f t="shared" si="625"/>
        <v>359</v>
      </c>
    </row>
    <row r="2472" spans="1:14" x14ac:dyDescent="0.2">
      <c r="A2472" t="s">
        <v>3215</v>
      </c>
      <c r="B2472" s="1" t="s">
        <v>3208</v>
      </c>
      <c r="C2472" t="s">
        <v>14</v>
      </c>
      <c r="D2472" t="s">
        <v>1508</v>
      </c>
      <c r="E2472">
        <v>30</v>
      </c>
      <c r="F2472" t="s">
        <v>2703</v>
      </c>
      <c r="G2472">
        <v>2022</v>
      </c>
      <c r="H2472" t="s">
        <v>1849</v>
      </c>
      <c r="I2472" t="s">
        <v>62</v>
      </c>
      <c r="J2472">
        <v>999</v>
      </c>
      <c r="K2472">
        <v>325</v>
      </c>
      <c r="L2472">
        <f t="shared" si="624"/>
        <v>674</v>
      </c>
      <c r="M2472">
        <v>240</v>
      </c>
      <c r="N2472">
        <f t="shared" si="625"/>
        <v>434</v>
      </c>
    </row>
    <row r="2473" spans="1:14" x14ac:dyDescent="0.2">
      <c r="A2473" t="s">
        <v>3216</v>
      </c>
      <c r="B2473" s="1" t="s">
        <v>3208</v>
      </c>
      <c r="C2473" t="s">
        <v>14</v>
      </c>
      <c r="D2473" t="s">
        <v>809</v>
      </c>
      <c r="E2473">
        <v>30</v>
      </c>
      <c r="F2473" t="s">
        <v>2703</v>
      </c>
      <c r="G2473">
        <v>2022</v>
      </c>
      <c r="H2473" t="s">
        <v>1994</v>
      </c>
      <c r="I2473" t="s">
        <v>28</v>
      </c>
      <c r="J2473">
        <v>999</v>
      </c>
      <c r="K2473">
        <v>325</v>
      </c>
      <c r="L2473">
        <f t="shared" si="624"/>
        <v>674</v>
      </c>
      <c r="M2473">
        <v>240</v>
      </c>
      <c r="N2473">
        <f t="shared" si="625"/>
        <v>434</v>
      </c>
    </row>
    <row r="2474" spans="1:14" x14ac:dyDescent="0.2">
      <c r="A2474" t="s">
        <v>3217</v>
      </c>
      <c r="B2474" s="1" t="s">
        <v>3208</v>
      </c>
      <c r="C2474" t="s">
        <v>14</v>
      </c>
      <c r="D2474" t="s">
        <v>2409</v>
      </c>
      <c r="E2474">
        <v>30</v>
      </c>
      <c r="F2474" t="s">
        <v>2703</v>
      </c>
      <c r="G2474">
        <v>2022</v>
      </c>
      <c r="H2474" t="s">
        <v>31</v>
      </c>
      <c r="I2474" t="s">
        <v>32</v>
      </c>
      <c r="J2474">
        <v>799</v>
      </c>
      <c r="K2474">
        <v>205</v>
      </c>
      <c r="L2474">
        <f t="shared" si="624"/>
        <v>594</v>
      </c>
      <c r="M2474">
        <v>240</v>
      </c>
      <c r="N2474">
        <f t="shared" si="625"/>
        <v>354</v>
      </c>
    </row>
    <row r="2475" spans="1:14" x14ac:dyDescent="0.2">
      <c r="A2475" t="s">
        <v>3211</v>
      </c>
      <c r="B2475" s="1" t="s">
        <v>3208</v>
      </c>
      <c r="C2475" t="s">
        <v>14</v>
      </c>
      <c r="D2475" t="s">
        <v>1076</v>
      </c>
      <c r="E2475">
        <v>30</v>
      </c>
      <c r="F2475" t="s">
        <v>2703</v>
      </c>
      <c r="G2475">
        <v>2022</v>
      </c>
      <c r="H2475" t="s">
        <v>3212</v>
      </c>
      <c r="I2475" t="s">
        <v>144</v>
      </c>
      <c r="J2475">
        <v>849</v>
      </c>
      <c r="K2475">
        <v>250</v>
      </c>
      <c r="L2475">
        <f t="shared" si="624"/>
        <v>599</v>
      </c>
      <c r="M2475">
        <v>240</v>
      </c>
      <c r="N2475">
        <f t="shared" si="625"/>
        <v>359</v>
      </c>
    </row>
    <row r="2476" spans="1:14" x14ac:dyDescent="0.2">
      <c r="A2476" t="s">
        <v>3218</v>
      </c>
      <c r="B2476" s="1" t="s">
        <v>3208</v>
      </c>
      <c r="C2476" t="s">
        <v>14</v>
      </c>
      <c r="D2476" t="s">
        <v>573</v>
      </c>
      <c r="E2476">
        <v>30</v>
      </c>
      <c r="F2476" t="s">
        <v>2703</v>
      </c>
      <c r="G2476">
        <v>2022</v>
      </c>
      <c r="H2476" t="s">
        <v>309</v>
      </c>
      <c r="I2476" t="s">
        <v>212</v>
      </c>
      <c r="J2476">
        <v>854.05</v>
      </c>
      <c r="K2476">
        <v>270</v>
      </c>
      <c r="L2476">
        <f t="shared" si="624"/>
        <v>584.04999999999995</v>
      </c>
      <c r="M2476">
        <v>240</v>
      </c>
      <c r="N2476">
        <f t="shared" si="625"/>
        <v>344.04999999999995</v>
      </c>
    </row>
    <row r="2477" spans="1:14" x14ac:dyDescent="0.2">
      <c r="A2477" t="s">
        <v>3219</v>
      </c>
      <c r="B2477" s="1" t="s">
        <v>3208</v>
      </c>
      <c r="C2477" t="s">
        <v>14</v>
      </c>
      <c r="D2477" t="s">
        <v>379</v>
      </c>
      <c r="E2477">
        <v>30</v>
      </c>
      <c r="F2477" t="s">
        <v>2703</v>
      </c>
      <c r="G2477">
        <v>2022</v>
      </c>
      <c r="H2477" t="s">
        <v>170</v>
      </c>
      <c r="I2477" t="s">
        <v>171</v>
      </c>
      <c r="J2477">
        <v>799</v>
      </c>
      <c r="K2477">
        <v>205</v>
      </c>
      <c r="L2477">
        <f t="shared" si="624"/>
        <v>594</v>
      </c>
      <c r="M2477">
        <v>240</v>
      </c>
      <c r="N2477">
        <f t="shared" si="625"/>
        <v>354</v>
      </c>
    </row>
    <row r="2478" spans="1:14" x14ac:dyDescent="0.2">
      <c r="A2478" t="s">
        <v>3221</v>
      </c>
      <c r="B2478" s="1" t="s">
        <v>3220</v>
      </c>
      <c r="C2478" t="s">
        <v>43</v>
      </c>
      <c r="D2478" t="s">
        <v>81</v>
      </c>
      <c r="E2478">
        <v>31</v>
      </c>
      <c r="F2478" t="s">
        <v>2703</v>
      </c>
      <c r="G2478">
        <v>2022</v>
      </c>
      <c r="H2478" t="s">
        <v>49</v>
      </c>
      <c r="I2478" t="s">
        <v>32</v>
      </c>
      <c r="J2478">
        <v>0</v>
      </c>
      <c r="K2478">
        <v>0</v>
      </c>
      <c r="L2478">
        <v>0</v>
      </c>
      <c r="M2478">
        <v>0</v>
      </c>
      <c r="N2478">
        <v>0</v>
      </c>
    </row>
    <row r="2479" spans="1:14" x14ac:dyDescent="0.2">
      <c r="A2479" t="s">
        <v>3222</v>
      </c>
      <c r="B2479" s="1" t="s">
        <v>3220</v>
      </c>
      <c r="C2479" t="s">
        <v>43</v>
      </c>
      <c r="D2479" t="s">
        <v>169</v>
      </c>
      <c r="E2479">
        <v>31</v>
      </c>
      <c r="F2479" t="s">
        <v>2703</v>
      </c>
      <c r="G2479">
        <v>2022</v>
      </c>
      <c r="H2479" t="s">
        <v>3223</v>
      </c>
      <c r="I2479" t="s">
        <v>58</v>
      </c>
      <c r="J2479">
        <v>0</v>
      </c>
      <c r="K2479">
        <v>0</v>
      </c>
      <c r="L2479">
        <v>0</v>
      </c>
      <c r="M2479">
        <v>0</v>
      </c>
      <c r="N2479">
        <v>0</v>
      </c>
    </row>
    <row r="2480" spans="1:14" x14ac:dyDescent="0.2">
      <c r="A2480" t="s">
        <v>3224</v>
      </c>
      <c r="B2480" s="1" t="s">
        <v>3220</v>
      </c>
      <c r="C2480" t="s">
        <v>14</v>
      </c>
      <c r="D2480" t="s">
        <v>901</v>
      </c>
      <c r="E2480">
        <v>31</v>
      </c>
      <c r="F2480" t="s">
        <v>2703</v>
      </c>
      <c r="G2480">
        <v>2022</v>
      </c>
      <c r="H2480" t="s">
        <v>3225</v>
      </c>
      <c r="I2480" t="s">
        <v>37</v>
      </c>
      <c r="J2480">
        <v>799</v>
      </c>
      <c r="K2480">
        <v>205</v>
      </c>
      <c r="L2480">
        <f>J2480-K2480</f>
        <v>594</v>
      </c>
      <c r="M2480">
        <v>240</v>
      </c>
      <c r="N2480">
        <f>L2480-M2480</f>
        <v>354</v>
      </c>
    </row>
    <row r="2481" spans="1:14" x14ac:dyDescent="0.2">
      <c r="A2481" t="s">
        <v>3226</v>
      </c>
      <c r="B2481" s="1" t="s">
        <v>3220</v>
      </c>
      <c r="C2481" t="s">
        <v>20</v>
      </c>
      <c r="D2481" t="s">
        <v>967</v>
      </c>
      <c r="E2481">
        <v>31</v>
      </c>
      <c r="F2481" t="s">
        <v>2703</v>
      </c>
      <c r="G2481">
        <v>2022</v>
      </c>
      <c r="H2481" t="s">
        <v>517</v>
      </c>
      <c r="I2481" t="s">
        <v>122</v>
      </c>
      <c r="J2481">
        <v>0</v>
      </c>
      <c r="K2481">
        <v>0</v>
      </c>
      <c r="L2481">
        <v>0</v>
      </c>
      <c r="M2481">
        <v>0</v>
      </c>
      <c r="N2481">
        <v>0</v>
      </c>
    </row>
    <row r="2482" spans="1:14" x14ac:dyDescent="0.2">
      <c r="A2482" t="s">
        <v>3227</v>
      </c>
      <c r="B2482" s="1" t="s">
        <v>3220</v>
      </c>
      <c r="C2482" t="s">
        <v>14</v>
      </c>
      <c r="D2482" t="s">
        <v>504</v>
      </c>
      <c r="E2482">
        <v>31</v>
      </c>
      <c r="F2482" t="s">
        <v>2703</v>
      </c>
      <c r="G2482">
        <v>2022</v>
      </c>
      <c r="H2482" t="s">
        <v>3228</v>
      </c>
      <c r="I2482" t="s">
        <v>122</v>
      </c>
      <c r="J2482">
        <v>899</v>
      </c>
      <c r="K2482">
        <v>295</v>
      </c>
      <c r="L2482">
        <f t="shared" ref="L2482:L2487" si="626">J2482-K2482</f>
        <v>604</v>
      </c>
      <c r="M2482">
        <v>240</v>
      </c>
      <c r="N2482">
        <f t="shared" ref="N2482:N2487" si="627">L2482-M2482</f>
        <v>364</v>
      </c>
    </row>
    <row r="2483" spans="1:14" x14ac:dyDescent="0.2">
      <c r="A2483" t="s">
        <v>3229</v>
      </c>
      <c r="B2483" s="1" t="s">
        <v>3220</v>
      </c>
      <c r="C2483" t="s">
        <v>14</v>
      </c>
      <c r="D2483" t="s">
        <v>81</v>
      </c>
      <c r="E2483">
        <v>31</v>
      </c>
      <c r="F2483" t="s">
        <v>2703</v>
      </c>
      <c r="G2483">
        <v>2022</v>
      </c>
      <c r="H2483" t="s">
        <v>309</v>
      </c>
      <c r="I2483" t="s">
        <v>212</v>
      </c>
      <c r="J2483">
        <v>849</v>
      </c>
      <c r="K2483">
        <v>250</v>
      </c>
      <c r="L2483">
        <f t="shared" si="626"/>
        <v>599</v>
      </c>
      <c r="M2483">
        <v>240</v>
      </c>
      <c r="N2483">
        <f t="shared" si="627"/>
        <v>359</v>
      </c>
    </row>
    <row r="2484" spans="1:14" x14ac:dyDescent="0.2">
      <c r="A2484" t="s">
        <v>3230</v>
      </c>
      <c r="B2484" s="1" t="s">
        <v>3220</v>
      </c>
      <c r="C2484" t="s">
        <v>14</v>
      </c>
      <c r="D2484" t="s">
        <v>379</v>
      </c>
      <c r="E2484">
        <v>31</v>
      </c>
      <c r="F2484" t="s">
        <v>2703</v>
      </c>
      <c r="G2484">
        <v>2022</v>
      </c>
      <c r="H2484" t="s">
        <v>157</v>
      </c>
      <c r="I2484" t="s">
        <v>97</v>
      </c>
      <c r="J2484">
        <v>759.05</v>
      </c>
      <c r="K2484">
        <v>202</v>
      </c>
      <c r="L2484">
        <f t="shared" si="626"/>
        <v>557.04999999999995</v>
      </c>
      <c r="M2484">
        <v>240</v>
      </c>
      <c r="N2484">
        <f t="shared" si="627"/>
        <v>317.04999999999995</v>
      </c>
    </row>
    <row r="2485" spans="1:14" x14ac:dyDescent="0.2">
      <c r="A2485" t="s">
        <v>3231</v>
      </c>
      <c r="B2485" s="1" t="s">
        <v>3220</v>
      </c>
      <c r="C2485" t="s">
        <v>14</v>
      </c>
      <c r="D2485" t="s">
        <v>81</v>
      </c>
      <c r="E2485">
        <v>31</v>
      </c>
      <c r="F2485" t="s">
        <v>2703</v>
      </c>
      <c r="G2485">
        <v>2022</v>
      </c>
      <c r="H2485" t="s">
        <v>3232</v>
      </c>
      <c r="I2485" t="s">
        <v>122</v>
      </c>
      <c r="J2485">
        <v>849</v>
      </c>
      <c r="K2485">
        <v>250</v>
      </c>
      <c r="L2485">
        <f t="shared" si="626"/>
        <v>599</v>
      </c>
      <c r="M2485">
        <v>240</v>
      </c>
      <c r="N2485">
        <f t="shared" si="627"/>
        <v>359</v>
      </c>
    </row>
    <row r="2486" spans="1:14" x14ac:dyDescent="0.2">
      <c r="A2486" t="s">
        <v>3233</v>
      </c>
      <c r="B2486" s="1" t="s">
        <v>3220</v>
      </c>
      <c r="C2486" t="s">
        <v>14</v>
      </c>
      <c r="D2486" t="s">
        <v>112</v>
      </c>
      <c r="E2486">
        <v>31</v>
      </c>
      <c r="F2486" t="s">
        <v>2703</v>
      </c>
      <c r="G2486">
        <v>2022</v>
      </c>
      <c r="H2486" t="s">
        <v>235</v>
      </c>
      <c r="I2486" t="s">
        <v>62</v>
      </c>
      <c r="J2486">
        <v>849</v>
      </c>
      <c r="K2486">
        <v>250</v>
      </c>
      <c r="L2486">
        <f t="shared" si="626"/>
        <v>599</v>
      </c>
      <c r="M2486">
        <v>240</v>
      </c>
      <c r="N2486">
        <f t="shared" si="627"/>
        <v>359</v>
      </c>
    </row>
    <row r="2487" spans="1:14" x14ac:dyDescent="0.2">
      <c r="A2487" t="s">
        <v>3234</v>
      </c>
      <c r="B2487" s="1" t="s">
        <v>3220</v>
      </c>
      <c r="C2487" t="s">
        <v>14</v>
      </c>
      <c r="D2487" t="s">
        <v>490</v>
      </c>
      <c r="E2487">
        <v>31</v>
      </c>
      <c r="F2487" t="s">
        <v>2703</v>
      </c>
      <c r="G2487">
        <v>2022</v>
      </c>
      <c r="H2487" t="s">
        <v>549</v>
      </c>
      <c r="I2487" t="s">
        <v>163</v>
      </c>
      <c r="J2487">
        <v>899</v>
      </c>
      <c r="K2487">
        <v>295</v>
      </c>
      <c r="L2487">
        <f t="shared" si="626"/>
        <v>604</v>
      </c>
      <c r="M2487">
        <v>240</v>
      </c>
      <c r="N2487">
        <f t="shared" si="627"/>
        <v>364</v>
      </c>
    </row>
    <row r="2488" spans="1:14" x14ac:dyDescent="0.2">
      <c r="A2488" t="s">
        <v>3235</v>
      </c>
      <c r="B2488" s="1" t="s">
        <v>3220</v>
      </c>
      <c r="C2488" t="s">
        <v>20</v>
      </c>
      <c r="D2488" t="s">
        <v>504</v>
      </c>
      <c r="E2488">
        <v>31</v>
      </c>
      <c r="F2488" t="s">
        <v>2703</v>
      </c>
      <c r="G2488">
        <v>2022</v>
      </c>
      <c r="H2488" t="s">
        <v>1633</v>
      </c>
      <c r="I2488" t="s">
        <v>163</v>
      </c>
      <c r="J2488">
        <v>0</v>
      </c>
      <c r="K2488">
        <v>0</v>
      </c>
      <c r="L2488">
        <v>0</v>
      </c>
      <c r="M2488">
        <v>0</v>
      </c>
      <c r="N2488">
        <v>0</v>
      </c>
    </row>
    <row r="2489" spans="1:14" x14ac:dyDescent="0.2">
      <c r="A2489" t="s">
        <v>3236</v>
      </c>
      <c r="B2489" s="1" t="s">
        <v>3220</v>
      </c>
      <c r="C2489" t="s">
        <v>14</v>
      </c>
      <c r="D2489" t="s">
        <v>819</v>
      </c>
      <c r="E2489">
        <v>31</v>
      </c>
      <c r="F2489" t="s">
        <v>2703</v>
      </c>
      <c r="G2489">
        <v>2022</v>
      </c>
      <c r="H2489" t="s">
        <v>150</v>
      </c>
      <c r="I2489" t="s">
        <v>62</v>
      </c>
      <c r="J2489">
        <v>999</v>
      </c>
      <c r="K2489">
        <v>325</v>
      </c>
      <c r="L2489">
        <f t="shared" ref="L2489:L2497" si="628">J2489-K2489</f>
        <v>674</v>
      </c>
      <c r="M2489">
        <v>240</v>
      </c>
      <c r="N2489">
        <f t="shared" ref="N2489:N2497" si="629">L2489-M2489</f>
        <v>434</v>
      </c>
    </row>
    <row r="2490" spans="1:14" x14ac:dyDescent="0.2">
      <c r="A2490" t="s">
        <v>3237</v>
      </c>
      <c r="B2490" s="1" t="s">
        <v>3220</v>
      </c>
      <c r="C2490" t="s">
        <v>14</v>
      </c>
      <c r="D2490" t="s">
        <v>448</v>
      </c>
      <c r="E2490">
        <v>31</v>
      </c>
      <c r="F2490" t="s">
        <v>2703</v>
      </c>
      <c r="G2490">
        <v>2022</v>
      </c>
      <c r="H2490" t="s">
        <v>3238</v>
      </c>
      <c r="I2490" t="s">
        <v>58</v>
      </c>
      <c r="J2490">
        <v>899</v>
      </c>
      <c r="K2490">
        <v>295</v>
      </c>
      <c r="L2490">
        <f t="shared" si="628"/>
        <v>604</v>
      </c>
      <c r="M2490">
        <v>240</v>
      </c>
      <c r="N2490">
        <f t="shared" si="629"/>
        <v>364</v>
      </c>
    </row>
    <row r="2491" spans="1:14" x14ac:dyDescent="0.2">
      <c r="A2491" t="s">
        <v>3239</v>
      </c>
      <c r="B2491" s="1" t="s">
        <v>3220</v>
      </c>
      <c r="C2491" t="s">
        <v>14</v>
      </c>
      <c r="D2491" t="s">
        <v>573</v>
      </c>
      <c r="E2491">
        <v>31</v>
      </c>
      <c r="F2491" t="s">
        <v>2703</v>
      </c>
      <c r="G2491">
        <v>2022</v>
      </c>
      <c r="H2491" t="s">
        <v>185</v>
      </c>
      <c r="I2491" t="s">
        <v>62</v>
      </c>
      <c r="J2491">
        <v>854.05</v>
      </c>
      <c r="K2491">
        <v>270</v>
      </c>
      <c r="L2491">
        <f t="shared" si="628"/>
        <v>584.04999999999995</v>
      </c>
      <c r="M2491">
        <v>240</v>
      </c>
      <c r="N2491">
        <f t="shared" si="629"/>
        <v>344.04999999999995</v>
      </c>
    </row>
    <row r="2492" spans="1:14" x14ac:dyDescent="0.2">
      <c r="A2492" t="s">
        <v>3240</v>
      </c>
      <c r="B2492" s="1" t="s">
        <v>3220</v>
      </c>
      <c r="C2492" t="s">
        <v>14</v>
      </c>
      <c r="D2492" t="s">
        <v>380</v>
      </c>
      <c r="E2492">
        <v>31</v>
      </c>
      <c r="F2492" t="s">
        <v>2703</v>
      </c>
      <c r="G2492">
        <v>2022</v>
      </c>
      <c r="H2492" t="s">
        <v>3241</v>
      </c>
      <c r="I2492" t="s">
        <v>122</v>
      </c>
      <c r="J2492">
        <v>806.55</v>
      </c>
      <c r="K2492">
        <v>227</v>
      </c>
      <c r="L2492">
        <f t="shared" si="628"/>
        <v>579.54999999999995</v>
      </c>
      <c r="M2492">
        <v>240</v>
      </c>
      <c r="N2492">
        <f t="shared" si="629"/>
        <v>339.54999999999995</v>
      </c>
    </row>
    <row r="2493" spans="1:14" x14ac:dyDescent="0.2">
      <c r="A2493" t="s">
        <v>3242</v>
      </c>
      <c r="B2493" s="1" t="s">
        <v>3220</v>
      </c>
      <c r="C2493" t="s">
        <v>14</v>
      </c>
      <c r="D2493" t="s">
        <v>448</v>
      </c>
      <c r="E2493">
        <v>31</v>
      </c>
      <c r="F2493" t="s">
        <v>2703</v>
      </c>
      <c r="G2493">
        <v>2022</v>
      </c>
      <c r="H2493" t="s">
        <v>538</v>
      </c>
      <c r="I2493" t="s">
        <v>253</v>
      </c>
      <c r="J2493">
        <v>854.05</v>
      </c>
      <c r="K2493">
        <v>270</v>
      </c>
      <c r="L2493">
        <f t="shared" si="628"/>
        <v>584.04999999999995</v>
      </c>
      <c r="M2493">
        <v>240</v>
      </c>
      <c r="N2493">
        <f t="shared" si="629"/>
        <v>344.04999999999995</v>
      </c>
    </row>
    <row r="2494" spans="1:14" x14ac:dyDescent="0.2">
      <c r="A2494" t="s">
        <v>3243</v>
      </c>
      <c r="B2494" s="1" t="s">
        <v>3220</v>
      </c>
      <c r="C2494" t="s">
        <v>14</v>
      </c>
      <c r="D2494" t="s">
        <v>445</v>
      </c>
      <c r="E2494">
        <v>31</v>
      </c>
      <c r="F2494" t="s">
        <v>2703</v>
      </c>
      <c r="G2494">
        <v>2022</v>
      </c>
      <c r="H2494" t="s">
        <v>3244</v>
      </c>
      <c r="I2494" t="s">
        <v>19</v>
      </c>
      <c r="J2494">
        <v>854.05</v>
      </c>
      <c r="K2494">
        <v>270</v>
      </c>
      <c r="L2494">
        <f t="shared" si="628"/>
        <v>584.04999999999995</v>
      </c>
      <c r="M2494">
        <v>240</v>
      </c>
      <c r="N2494">
        <f t="shared" si="629"/>
        <v>344.04999999999995</v>
      </c>
    </row>
    <row r="2495" spans="1:14" x14ac:dyDescent="0.2">
      <c r="A2495" t="s">
        <v>3245</v>
      </c>
      <c r="B2495" s="1" t="s">
        <v>3220</v>
      </c>
      <c r="C2495" t="s">
        <v>14</v>
      </c>
      <c r="D2495" t="s">
        <v>1937</v>
      </c>
      <c r="E2495">
        <v>31</v>
      </c>
      <c r="F2495" t="s">
        <v>2703</v>
      </c>
      <c r="G2495">
        <v>2022</v>
      </c>
      <c r="H2495" t="s">
        <v>193</v>
      </c>
      <c r="I2495" t="s">
        <v>62</v>
      </c>
      <c r="J2495">
        <v>1598</v>
      </c>
      <c r="K2495">
        <v>365</v>
      </c>
      <c r="L2495">
        <f t="shared" si="628"/>
        <v>1233</v>
      </c>
      <c r="M2495">
        <v>240</v>
      </c>
      <c r="N2495">
        <f t="shared" si="629"/>
        <v>993</v>
      </c>
    </row>
    <row r="2496" spans="1:14" x14ac:dyDescent="0.2">
      <c r="A2496" t="s">
        <v>3245</v>
      </c>
      <c r="B2496" s="1" t="s">
        <v>3220</v>
      </c>
      <c r="C2496" t="s">
        <v>14</v>
      </c>
      <c r="D2496" t="s">
        <v>940</v>
      </c>
      <c r="E2496">
        <v>31</v>
      </c>
      <c r="F2496" t="s">
        <v>2703</v>
      </c>
      <c r="G2496">
        <v>2022</v>
      </c>
      <c r="H2496" t="s">
        <v>193</v>
      </c>
      <c r="I2496" t="s">
        <v>62</v>
      </c>
      <c r="J2496">
        <v>1598</v>
      </c>
      <c r="K2496">
        <v>365</v>
      </c>
      <c r="L2496">
        <f t="shared" si="628"/>
        <v>1233</v>
      </c>
      <c r="M2496">
        <v>240</v>
      </c>
      <c r="N2496">
        <f t="shared" si="629"/>
        <v>993</v>
      </c>
    </row>
    <row r="2497" spans="1:14" x14ac:dyDescent="0.2">
      <c r="A2497" t="s">
        <v>3246</v>
      </c>
      <c r="B2497" s="1" t="s">
        <v>3220</v>
      </c>
      <c r="C2497" t="s">
        <v>14</v>
      </c>
      <c r="D2497" t="s">
        <v>133</v>
      </c>
      <c r="E2497">
        <v>31</v>
      </c>
      <c r="F2497" t="s">
        <v>2703</v>
      </c>
      <c r="G2497">
        <v>2022</v>
      </c>
      <c r="H2497" t="s">
        <v>415</v>
      </c>
      <c r="I2497" t="s">
        <v>135</v>
      </c>
      <c r="J2497">
        <v>759.05</v>
      </c>
      <c r="K2497">
        <v>202</v>
      </c>
      <c r="L2497">
        <f t="shared" si="628"/>
        <v>557.04999999999995</v>
      </c>
      <c r="M2497">
        <v>240</v>
      </c>
      <c r="N2497">
        <f t="shared" si="629"/>
        <v>317.04999999999995</v>
      </c>
    </row>
    <row r="2498" spans="1:14" x14ac:dyDescent="0.2">
      <c r="A2498" t="s">
        <v>2450</v>
      </c>
      <c r="B2498" s="1" t="s">
        <v>2430</v>
      </c>
      <c r="C2498" t="s">
        <v>106</v>
      </c>
      <c r="D2498" t="s">
        <v>81</v>
      </c>
      <c r="E2498">
        <v>19</v>
      </c>
      <c r="F2498" t="s">
        <v>2198</v>
      </c>
      <c r="G2498">
        <v>2022</v>
      </c>
      <c r="H2498" t="s">
        <v>1718</v>
      </c>
      <c r="I2498" t="s">
        <v>37</v>
      </c>
      <c r="J2498">
        <v>-806.55</v>
      </c>
      <c r="K2498">
        <v>345</v>
      </c>
      <c r="L2498">
        <f t="shared" ref="L2498:L2552" si="630">J2498+K2498</f>
        <v>-461.54999999999995</v>
      </c>
      <c r="M2498">
        <v>240</v>
      </c>
      <c r="N2498">
        <f t="shared" ref="N2498:N2552" si="631">L2498+M2498</f>
        <v>-221.54999999999995</v>
      </c>
    </row>
    <row r="2499" spans="1:14" x14ac:dyDescent="0.2">
      <c r="A2499" t="s">
        <v>2580</v>
      </c>
      <c r="B2499" s="1" t="s">
        <v>2541</v>
      </c>
      <c r="C2499" t="s">
        <v>106</v>
      </c>
      <c r="D2499" t="s">
        <v>840</v>
      </c>
      <c r="E2499">
        <v>24</v>
      </c>
      <c r="F2499" t="s">
        <v>2198</v>
      </c>
      <c r="G2499">
        <v>2022</v>
      </c>
      <c r="H2499" t="s">
        <v>2581</v>
      </c>
      <c r="I2499" t="s">
        <v>122</v>
      </c>
      <c r="J2499">
        <v>-999</v>
      </c>
      <c r="K2499">
        <v>395</v>
      </c>
      <c r="L2499">
        <f t="shared" si="630"/>
        <v>-604</v>
      </c>
      <c r="M2499">
        <v>240</v>
      </c>
      <c r="N2499">
        <f t="shared" si="631"/>
        <v>-364</v>
      </c>
    </row>
    <row r="2500" spans="1:14" x14ac:dyDescent="0.2">
      <c r="A2500" t="s">
        <v>2624</v>
      </c>
      <c r="B2500" s="1" t="s">
        <v>2604</v>
      </c>
      <c r="C2500" t="s">
        <v>106</v>
      </c>
      <c r="D2500" t="s">
        <v>809</v>
      </c>
      <c r="E2500">
        <v>27</v>
      </c>
      <c r="F2500" t="s">
        <v>2198</v>
      </c>
      <c r="G2500">
        <v>2022</v>
      </c>
      <c r="H2500" t="s">
        <v>263</v>
      </c>
      <c r="I2500" t="s">
        <v>144</v>
      </c>
      <c r="J2500">
        <v>-999</v>
      </c>
      <c r="K2500">
        <v>395</v>
      </c>
      <c r="L2500">
        <f t="shared" si="630"/>
        <v>-604</v>
      </c>
      <c r="M2500">
        <v>240</v>
      </c>
      <c r="N2500">
        <f t="shared" si="631"/>
        <v>-364</v>
      </c>
    </row>
    <row r="2501" spans="1:14" x14ac:dyDescent="0.2">
      <c r="A2501" t="s">
        <v>2549</v>
      </c>
      <c r="B2501" s="1" t="s">
        <v>2506</v>
      </c>
      <c r="C2501" t="s">
        <v>106</v>
      </c>
      <c r="D2501" t="s">
        <v>379</v>
      </c>
      <c r="E2501">
        <v>23</v>
      </c>
      <c r="F2501" t="s">
        <v>2198</v>
      </c>
      <c r="G2501">
        <v>2022</v>
      </c>
      <c r="H2501" t="s">
        <v>2550</v>
      </c>
      <c r="I2501" t="s">
        <v>85</v>
      </c>
      <c r="J2501">
        <v>-799</v>
      </c>
      <c r="K2501">
        <v>320</v>
      </c>
      <c r="L2501">
        <f t="shared" si="630"/>
        <v>-479</v>
      </c>
      <c r="M2501">
        <v>240</v>
      </c>
      <c r="N2501">
        <f t="shared" si="631"/>
        <v>-239</v>
      </c>
    </row>
    <row r="2502" spans="1:14" x14ac:dyDescent="0.2">
      <c r="A2502" t="s">
        <v>2607</v>
      </c>
      <c r="B2502" s="1" t="s">
        <v>2600</v>
      </c>
      <c r="C2502" t="s">
        <v>106</v>
      </c>
      <c r="D2502" t="s">
        <v>2058</v>
      </c>
      <c r="E2502">
        <v>26</v>
      </c>
      <c r="F2502" t="s">
        <v>2198</v>
      </c>
      <c r="G2502">
        <v>2022</v>
      </c>
      <c r="H2502" t="s">
        <v>2602</v>
      </c>
      <c r="I2502" t="s">
        <v>28</v>
      </c>
      <c r="J2502">
        <v>-849</v>
      </c>
      <c r="K2502">
        <v>345</v>
      </c>
      <c r="L2502">
        <f t="shared" si="630"/>
        <v>-504</v>
      </c>
      <c r="M2502">
        <v>240</v>
      </c>
      <c r="N2502">
        <f t="shared" si="631"/>
        <v>-264</v>
      </c>
    </row>
    <row r="2503" spans="1:14" x14ac:dyDescent="0.2">
      <c r="A2503" t="s">
        <v>2669</v>
      </c>
      <c r="B2503" s="1" t="s">
        <v>2666</v>
      </c>
      <c r="C2503" t="s">
        <v>106</v>
      </c>
      <c r="D2503" t="s">
        <v>379</v>
      </c>
      <c r="E2503">
        <v>29</v>
      </c>
      <c r="F2503" t="s">
        <v>2198</v>
      </c>
      <c r="G2503">
        <v>2022</v>
      </c>
      <c r="H2503" t="s">
        <v>157</v>
      </c>
      <c r="I2503" t="s">
        <v>97</v>
      </c>
      <c r="J2503">
        <v>-799</v>
      </c>
      <c r="K2503">
        <v>320</v>
      </c>
      <c r="L2503">
        <f t="shared" si="630"/>
        <v>-479</v>
      </c>
      <c r="M2503">
        <v>240</v>
      </c>
      <c r="N2503">
        <f t="shared" si="631"/>
        <v>-239</v>
      </c>
    </row>
    <row r="2504" spans="1:14" x14ac:dyDescent="0.2">
      <c r="A2504" t="s">
        <v>2489</v>
      </c>
      <c r="B2504" s="1" t="s">
        <v>2471</v>
      </c>
      <c r="C2504" t="s">
        <v>106</v>
      </c>
      <c r="D2504" t="s">
        <v>881</v>
      </c>
      <c r="E2504">
        <v>21</v>
      </c>
      <c r="F2504" t="s">
        <v>2198</v>
      </c>
      <c r="G2504">
        <v>2022</v>
      </c>
      <c r="H2504" t="s">
        <v>272</v>
      </c>
      <c r="I2504" t="s">
        <v>23</v>
      </c>
      <c r="J2504">
        <v>-759.05</v>
      </c>
      <c r="K2504">
        <v>320</v>
      </c>
      <c r="L2504">
        <f t="shared" si="630"/>
        <v>-439.04999999999995</v>
      </c>
      <c r="M2504">
        <v>240</v>
      </c>
      <c r="N2504">
        <f t="shared" si="631"/>
        <v>-199.04999999999995</v>
      </c>
    </row>
    <row r="2505" spans="1:14" x14ac:dyDescent="0.2">
      <c r="A2505" t="s">
        <v>2563</v>
      </c>
      <c r="B2505" s="1" t="s">
        <v>2541</v>
      </c>
      <c r="C2505" t="s">
        <v>106</v>
      </c>
      <c r="D2505" t="s">
        <v>881</v>
      </c>
      <c r="E2505">
        <v>24</v>
      </c>
      <c r="F2505" t="s">
        <v>2198</v>
      </c>
      <c r="G2505">
        <v>2022</v>
      </c>
      <c r="H2505" t="s">
        <v>2564</v>
      </c>
      <c r="I2505" t="s">
        <v>62</v>
      </c>
      <c r="J2505">
        <v>-799</v>
      </c>
      <c r="K2505">
        <v>320</v>
      </c>
      <c r="L2505">
        <f t="shared" si="630"/>
        <v>-479</v>
      </c>
      <c r="M2505">
        <v>240</v>
      </c>
      <c r="N2505">
        <f t="shared" si="631"/>
        <v>-239</v>
      </c>
    </row>
    <row r="2506" spans="1:14" x14ac:dyDescent="0.2">
      <c r="A2506" t="s">
        <v>2636</v>
      </c>
      <c r="B2506" s="1" t="s">
        <v>2604</v>
      </c>
      <c r="C2506" t="s">
        <v>106</v>
      </c>
      <c r="D2506" t="s">
        <v>792</v>
      </c>
      <c r="E2506">
        <v>27</v>
      </c>
      <c r="F2506" t="s">
        <v>2198</v>
      </c>
      <c r="G2506">
        <v>2022</v>
      </c>
      <c r="H2506" t="s">
        <v>2637</v>
      </c>
      <c r="I2506" t="s">
        <v>135</v>
      </c>
      <c r="J2506">
        <v>-849</v>
      </c>
      <c r="K2506">
        <v>345</v>
      </c>
      <c r="L2506">
        <f t="shared" si="630"/>
        <v>-504</v>
      </c>
      <c r="M2506">
        <v>240</v>
      </c>
      <c r="N2506">
        <f t="shared" si="631"/>
        <v>-264</v>
      </c>
    </row>
    <row r="2507" spans="1:14" x14ac:dyDescent="0.2">
      <c r="A2507" t="s">
        <v>2663</v>
      </c>
      <c r="B2507" s="1" t="s">
        <v>2639</v>
      </c>
      <c r="C2507" t="s">
        <v>106</v>
      </c>
      <c r="D2507" t="s">
        <v>81</v>
      </c>
      <c r="E2507">
        <v>28</v>
      </c>
      <c r="F2507" t="s">
        <v>2198</v>
      </c>
      <c r="G2507">
        <v>2022</v>
      </c>
      <c r="H2507" t="s">
        <v>2664</v>
      </c>
      <c r="I2507" t="s">
        <v>23</v>
      </c>
      <c r="J2507">
        <v>-806.55</v>
      </c>
      <c r="K2507">
        <v>345</v>
      </c>
      <c r="L2507">
        <f t="shared" si="630"/>
        <v>-461.54999999999995</v>
      </c>
      <c r="M2507">
        <v>240</v>
      </c>
      <c r="N2507">
        <f t="shared" si="631"/>
        <v>-221.54999999999995</v>
      </c>
    </row>
    <row r="2508" spans="1:14" x14ac:dyDescent="0.2">
      <c r="A2508" t="s">
        <v>2627</v>
      </c>
      <c r="B2508" s="1" t="s">
        <v>2604</v>
      </c>
      <c r="C2508" t="s">
        <v>106</v>
      </c>
      <c r="D2508" t="s">
        <v>809</v>
      </c>
      <c r="E2508">
        <v>27</v>
      </c>
      <c r="F2508" t="s">
        <v>2198</v>
      </c>
      <c r="G2508">
        <v>2022</v>
      </c>
      <c r="H2508" t="s">
        <v>170</v>
      </c>
      <c r="I2508" t="s">
        <v>171</v>
      </c>
      <c r="J2508">
        <v>-949.05</v>
      </c>
      <c r="K2508">
        <v>395</v>
      </c>
      <c r="L2508">
        <f t="shared" si="630"/>
        <v>-554.04999999999995</v>
      </c>
      <c r="M2508">
        <v>240</v>
      </c>
      <c r="N2508">
        <f t="shared" si="631"/>
        <v>-314.04999999999995</v>
      </c>
    </row>
    <row r="2509" spans="1:14" x14ac:dyDescent="0.2">
      <c r="A2509" t="s">
        <v>2625</v>
      </c>
      <c r="B2509" s="1" t="s">
        <v>2604</v>
      </c>
      <c r="C2509" t="s">
        <v>106</v>
      </c>
      <c r="D2509" t="s">
        <v>822</v>
      </c>
      <c r="E2509">
        <v>27</v>
      </c>
      <c r="F2509" t="s">
        <v>2198</v>
      </c>
      <c r="G2509">
        <v>2022</v>
      </c>
      <c r="H2509" t="s">
        <v>157</v>
      </c>
      <c r="I2509" t="s">
        <v>97</v>
      </c>
      <c r="J2509">
        <v>-849</v>
      </c>
      <c r="K2509">
        <v>345</v>
      </c>
      <c r="L2509">
        <f t="shared" si="630"/>
        <v>-504</v>
      </c>
      <c r="M2509">
        <v>240</v>
      </c>
      <c r="N2509">
        <f t="shared" si="631"/>
        <v>-264</v>
      </c>
    </row>
    <row r="2510" spans="1:14" x14ac:dyDescent="0.2">
      <c r="A2510" t="s">
        <v>2582</v>
      </c>
      <c r="B2510" s="1" t="s">
        <v>2541</v>
      </c>
      <c r="C2510" t="s">
        <v>106</v>
      </c>
      <c r="D2510" t="s">
        <v>169</v>
      </c>
      <c r="E2510">
        <v>24</v>
      </c>
      <c r="F2510" t="s">
        <v>2198</v>
      </c>
      <c r="G2510">
        <v>2022</v>
      </c>
      <c r="H2510" t="s">
        <v>1894</v>
      </c>
      <c r="I2510" t="s">
        <v>85</v>
      </c>
      <c r="J2510">
        <v>-759.05</v>
      </c>
      <c r="K2510">
        <v>320</v>
      </c>
      <c r="L2510">
        <f t="shared" si="630"/>
        <v>-439.04999999999995</v>
      </c>
      <c r="M2510">
        <v>240</v>
      </c>
      <c r="N2510">
        <f t="shared" si="631"/>
        <v>-199.04999999999995</v>
      </c>
    </row>
    <row r="2511" spans="1:14" x14ac:dyDescent="0.2">
      <c r="A2511" t="s">
        <v>2621</v>
      </c>
      <c r="B2511" s="1" t="s">
        <v>2604</v>
      </c>
      <c r="C2511" t="s">
        <v>106</v>
      </c>
      <c r="D2511" t="s">
        <v>812</v>
      </c>
      <c r="E2511">
        <v>27</v>
      </c>
      <c r="F2511" t="s">
        <v>2198</v>
      </c>
      <c r="G2511">
        <v>2022</v>
      </c>
      <c r="H2511" t="s">
        <v>2622</v>
      </c>
      <c r="I2511" t="s">
        <v>502</v>
      </c>
      <c r="J2511">
        <v>-999</v>
      </c>
      <c r="K2511">
        <v>395</v>
      </c>
      <c r="L2511">
        <f t="shared" si="630"/>
        <v>-604</v>
      </c>
      <c r="M2511">
        <v>240</v>
      </c>
      <c r="N2511">
        <f t="shared" si="631"/>
        <v>-364</v>
      </c>
    </row>
    <row r="2512" spans="1:14" x14ac:dyDescent="0.2">
      <c r="A2512" t="s">
        <v>2683</v>
      </c>
      <c r="B2512" s="1" t="s">
        <v>2679</v>
      </c>
      <c r="C2512" t="s">
        <v>106</v>
      </c>
      <c r="D2512" t="s">
        <v>81</v>
      </c>
      <c r="E2512">
        <v>30</v>
      </c>
      <c r="F2512" t="s">
        <v>2198</v>
      </c>
      <c r="G2512">
        <v>2022</v>
      </c>
      <c r="H2512" t="s">
        <v>2684</v>
      </c>
      <c r="I2512" t="s">
        <v>23</v>
      </c>
      <c r="J2512">
        <v>-806.55</v>
      </c>
      <c r="K2512">
        <v>345</v>
      </c>
      <c r="L2512">
        <f t="shared" si="630"/>
        <v>-461.54999999999995</v>
      </c>
      <c r="M2512">
        <v>240</v>
      </c>
      <c r="N2512">
        <f t="shared" si="631"/>
        <v>-221.54999999999995</v>
      </c>
    </row>
    <row r="2513" spans="1:14" x14ac:dyDescent="0.2">
      <c r="A2513" t="s">
        <v>2690</v>
      </c>
      <c r="B2513" s="1" t="s">
        <v>2679</v>
      </c>
      <c r="C2513" t="s">
        <v>106</v>
      </c>
      <c r="D2513" t="s">
        <v>452</v>
      </c>
      <c r="E2513">
        <v>30</v>
      </c>
      <c r="F2513" t="s">
        <v>2198</v>
      </c>
      <c r="G2513">
        <v>2022</v>
      </c>
      <c r="H2513" t="s">
        <v>2691</v>
      </c>
      <c r="I2513" t="s">
        <v>85</v>
      </c>
      <c r="J2513">
        <v>-799</v>
      </c>
      <c r="K2513">
        <v>320</v>
      </c>
      <c r="L2513">
        <f t="shared" si="630"/>
        <v>-479</v>
      </c>
      <c r="M2513">
        <v>240</v>
      </c>
      <c r="N2513">
        <f t="shared" si="631"/>
        <v>-239</v>
      </c>
    </row>
    <row r="2514" spans="1:14" x14ac:dyDescent="0.2">
      <c r="A2514" t="s">
        <v>2645</v>
      </c>
      <c r="B2514" s="1" t="s">
        <v>2639</v>
      </c>
      <c r="C2514" t="s">
        <v>106</v>
      </c>
      <c r="D2514" t="s">
        <v>81</v>
      </c>
      <c r="E2514">
        <v>28</v>
      </c>
      <c r="F2514" t="s">
        <v>2198</v>
      </c>
      <c r="G2514">
        <v>2022</v>
      </c>
      <c r="H2514" t="s">
        <v>2646</v>
      </c>
      <c r="I2514" t="s">
        <v>32</v>
      </c>
      <c r="J2514">
        <v>-849</v>
      </c>
      <c r="K2514">
        <v>345</v>
      </c>
      <c r="L2514">
        <f t="shared" si="630"/>
        <v>-504</v>
      </c>
      <c r="M2514">
        <v>240</v>
      </c>
      <c r="N2514">
        <f t="shared" si="631"/>
        <v>-264</v>
      </c>
    </row>
    <row r="2515" spans="1:14" x14ac:dyDescent="0.2">
      <c r="A2515" t="s">
        <v>2446</v>
      </c>
      <c r="B2515" s="1" t="s">
        <v>2430</v>
      </c>
      <c r="C2515" t="s">
        <v>106</v>
      </c>
      <c r="D2515" t="s">
        <v>812</v>
      </c>
      <c r="E2515">
        <v>19</v>
      </c>
      <c r="F2515" t="s">
        <v>2198</v>
      </c>
      <c r="G2515">
        <v>2022</v>
      </c>
      <c r="H2515" t="s">
        <v>2447</v>
      </c>
      <c r="I2515" t="s">
        <v>62</v>
      </c>
      <c r="J2515">
        <v>-999</v>
      </c>
      <c r="K2515">
        <v>395</v>
      </c>
      <c r="L2515">
        <f t="shared" si="630"/>
        <v>-604</v>
      </c>
      <c r="M2515">
        <v>240</v>
      </c>
      <c r="N2515">
        <f t="shared" si="631"/>
        <v>-364</v>
      </c>
    </row>
    <row r="2516" spans="1:14" x14ac:dyDescent="0.2">
      <c r="A2516" t="s">
        <v>2595</v>
      </c>
      <c r="B2516" s="1" t="s">
        <v>2586</v>
      </c>
      <c r="C2516" t="s">
        <v>106</v>
      </c>
      <c r="D2516" t="s">
        <v>895</v>
      </c>
      <c r="E2516">
        <v>25</v>
      </c>
      <c r="F2516" t="s">
        <v>2198</v>
      </c>
      <c r="G2516">
        <v>2022</v>
      </c>
      <c r="H2516" t="s">
        <v>694</v>
      </c>
      <c r="I2516" t="s">
        <v>62</v>
      </c>
      <c r="J2516">
        <v>-849</v>
      </c>
      <c r="K2516">
        <v>345</v>
      </c>
      <c r="L2516">
        <f t="shared" si="630"/>
        <v>-504</v>
      </c>
      <c r="M2516">
        <v>240</v>
      </c>
      <c r="N2516">
        <f t="shared" si="631"/>
        <v>-264</v>
      </c>
    </row>
    <row r="2517" spans="1:14" x14ac:dyDescent="0.2">
      <c r="A2517" t="s">
        <v>2670</v>
      </c>
      <c r="B2517" s="1" t="s">
        <v>2666</v>
      </c>
      <c r="C2517" t="s">
        <v>106</v>
      </c>
      <c r="D2517" t="s">
        <v>1015</v>
      </c>
      <c r="E2517">
        <v>29</v>
      </c>
      <c r="F2517" t="s">
        <v>2198</v>
      </c>
      <c r="G2517">
        <v>2022</v>
      </c>
      <c r="H2517" t="s">
        <v>579</v>
      </c>
      <c r="I2517" t="s">
        <v>62</v>
      </c>
      <c r="J2517">
        <v>-849</v>
      </c>
      <c r="K2517">
        <v>345</v>
      </c>
      <c r="L2517">
        <f t="shared" si="630"/>
        <v>-504</v>
      </c>
      <c r="M2517">
        <v>240</v>
      </c>
      <c r="N2517">
        <f t="shared" si="631"/>
        <v>-264</v>
      </c>
    </row>
    <row r="2518" spans="1:14" x14ac:dyDescent="0.2">
      <c r="A2518" t="s">
        <v>2694</v>
      </c>
      <c r="B2518" s="1" t="s">
        <v>2679</v>
      </c>
      <c r="C2518" t="s">
        <v>106</v>
      </c>
      <c r="D2518" t="s">
        <v>1168</v>
      </c>
      <c r="E2518">
        <v>30</v>
      </c>
      <c r="F2518" t="s">
        <v>2198</v>
      </c>
      <c r="G2518">
        <v>2022</v>
      </c>
      <c r="H2518" t="s">
        <v>157</v>
      </c>
      <c r="I2518" t="s">
        <v>97</v>
      </c>
      <c r="J2518">
        <v>-799</v>
      </c>
      <c r="K2518">
        <v>320</v>
      </c>
      <c r="L2518">
        <f t="shared" si="630"/>
        <v>-479</v>
      </c>
      <c r="M2518">
        <v>240</v>
      </c>
      <c r="N2518">
        <f t="shared" si="631"/>
        <v>-239</v>
      </c>
    </row>
    <row r="2519" spans="1:14" x14ac:dyDescent="0.2">
      <c r="A2519" t="s">
        <v>2490</v>
      </c>
      <c r="B2519" s="1" t="s">
        <v>2471</v>
      </c>
      <c r="C2519" t="s">
        <v>106</v>
      </c>
      <c r="D2519" t="s">
        <v>242</v>
      </c>
      <c r="E2519">
        <v>21</v>
      </c>
      <c r="F2519" t="s">
        <v>2198</v>
      </c>
      <c r="G2519">
        <v>2022</v>
      </c>
      <c r="H2519" t="s">
        <v>2491</v>
      </c>
      <c r="I2519" t="s">
        <v>97</v>
      </c>
      <c r="J2519">
        <v>-899</v>
      </c>
      <c r="K2519">
        <v>375</v>
      </c>
      <c r="L2519">
        <f t="shared" si="630"/>
        <v>-524</v>
      </c>
      <c r="M2519">
        <v>240</v>
      </c>
      <c r="N2519">
        <f t="shared" si="631"/>
        <v>-284</v>
      </c>
    </row>
    <row r="2520" spans="1:14" x14ac:dyDescent="0.2">
      <c r="A2520" t="s">
        <v>2673</v>
      </c>
      <c r="B2520" s="1" t="s">
        <v>2666</v>
      </c>
      <c r="C2520" t="s">
        <v>106</v>
      </c>
      <c r="D2520" t="s">
        <v>504</v>
      </c>
      <c r="E2520">
        <v>29</v>
      </c>
      <c r="F2520" t="s">
        <v>2198</v>
      </c>
      <c r="G2520">
        <v>2022</v>
      </c>
      <c r="H2520" t="s">
        <v>748</v>
      </c>
      <c r="I2520" t="s">
        <v>62</v>
      </c>
      <c r="J2520">
        <v>-854.05</v>
      </c>
      <c r="K2520">
        <v>345</v>
      </c>
      <c r="L2520">
        <f t="shared" si="630"/>
        <v>-509.04999999999995</v>
      </c>
      <c r="M2520">
        <v>240</v>
      </c>
      <c r="N2520">
        <f t="shared" si="631"/>
        <v>-269.04999999999995</v>
      </c>
    </row>
    <row r="2521" spans="1:14" x14ac:dyDescent="0.2">
      <c r="A2521" t="s">
        <v>2414</v>
      </c>
      <c r="B2521" s="1" t="s">
        <v>2404</v>
      </c>
      <c r="C2521" t="s">
        <v>106</v>
      </c>
      <c r="D2521" t="s">
        <v>1448</v>
      </c>
      <c r="E2521">
        <v>17</v>
      </c>
      <c r="F2521" t="s">
        <v>2198</v>
      </c>
      <c r="G2521">
        <v>2022</v>
      </c>
      <c r="H2521" t="s">
        <v>157</v>
      </c>
      <c r="I2521" t="s">
        <v>97</v>
      </c>
      <c r="J2521">
        <v>-849</v>
      </c>
      <c r="K2521">
        <v>345</v>
      </c>
      <c r="L2521">
        <f t="shared" si="630"/>
        <v>-504</v>
      </c>
      <c r="M2521">
        <v>240</v>
      </c>
      <c r="N2521">
        <f t="shared" si="631"/>
        <v>-264</v>
      </c>
    </row>
    <row r="2522" spans="1:14" x14ac:dyDescent="0.2">
      <c r="A2522" t="s">
        <v>2414</v>
      </c>
      <c r="B2522" s="1" t="s">
        <v>2404</v>
      </c>
      <c r="C2522" t="s">
        <v>106</v>
      </c>
      <c r="D2522" t="s">
        <v>1105</v>
      </c>
      <c r="E2522">
        <v>17</v>
      </c>
      <c r="F2522" t="s">
        <v>2198</v>
      </c>
      <c r="G2522">
        <v>2022</v>
      </c>
      <c r="H2522" t="s">
        <v>157</v>
      </c>
      <c r="I2522" t="s">
        <v>97</v>
      </c>
      <c r="J2522">
        <v>-849</v>
      </c>
      <c r="K2522">
        <v>345</v>
      </c>
      <c r="L2522">
        <f t="shared" si="630"/>
        <v>-504</v>
      </c>
      <c r="M2522">
        <v>240</v>
      </c>
      <c r="N2522">
        <f t="shared" si="631"/>
        <v>-264</v>
      </c>
    </row>
    <row r="2523" spans="1:14" x14ac:dyDescent="0.2">
      <c r="A2523" t="s">
        <v>2653</v>
      </c>
      <c r="B2523" s="1" t="s">
        <v>2639</v>
      </c>
      <c r="C2523" t="s">
        <v>106</v>
      </c>
      <c r="D2523" t="s">
        <v>81</v>
      </c>
      <c r="E2523">
        <v>28</v>
      </c>
      <c r="F2523" t="s">
        <v>2198</v>
      </c>
      <c r="G2523">
        <v>2022</v>
      </c>
      <c r="H2523" t="s">
        <v>2654</v>
      </c>
      <c r="I2523" t="s">
        <v>62</v>
      </c>
      <c r="J2523">
        <v>-849</v>
      </c>
      <c r="K2523">
        <v>345</v>
      </c>
      <c r="L2523">
        <f t="shared" si="630"/>
        <v>-504</v>
      </c>
      <c r="M2523">
        <v>240</v>
      </c>
      <c r="N2523">
        <f t="shared" si="631"/>
        <v>-264</v>
      </c>
    </row>
    <row r="2524" spans="1:14" x14ac:dyDescent="0.2">
      <c r="A2524" t="s">
        <v>2655</v>
      </c>
      <c r="B2524" s="1" t="s">
        <v>2639</v>
      </c>
      <c r="C2524" t="s">
        <v>106</v>
      </c>
      <c r="D2524" t="s">
        <v>840</v>
      </c>
      <c r="E2524">
        <v>28</v>
      </c>
      <c r="F2524" t="s">
        <v>2198</v>
      </c>
      <c r="G2524">
        <v>2022</v>
      </c>
      <c r="H2524" t="s">
        <v>2654</v>
      </c>
      <c r="I2524" t="s">
        <v>62</v>
      </c>
      <c r="J2524">
        <v>-999</v>
      </c>
      <c r="K2524">
        <v>395</v>
      </c>
      <c r="L2524">
        <f t="shared" si="630"/>
        <v>-604</v>
      </c>
      <c r="M2524">
        <v>240</v>
      </c>
      <c r="N2524">
        <f t="shared" si="631"/>
        <v>-364</v>
      </c>
    </row>
    <row r="2525" spans="1:14" x14ac:dyDescent="0.2">
      <c r="A2525" t="s">
        <v>2612</v>
      </c>
      <c r="B2525" s="1" t="s">
        <v>2604</v>
      </c>
      <c r="C2525" t="s">
        <v>106</v>
      </c>
      <c r="D2525" t="s">
        <v>840</v>
      </c>
      <c r="E2525">
        <v>27</v>
      </c>
      <c r="F2525" t="s">
        <v>2198</v>
      </c>
      <c r="G2525">
        <v>2022</v>
      </c>
      <c r="H2525" t="s">
        <v>263</v>
      </c>
      <c r="I2525" t="s">
        <v>144</v>
      </c>
      <c r="J2525">
        <v>-949.05</v>
      </c>
      <c r="K2525">
        <v>395</v>
      </c>
      <c r="L2525">
        <f t="shared" si="630"/>
        <v>-554.04999999999995</v>
      </c>
      <c r="M2525">
        <v>240</v>
      </c>
      <c r="N2525">
        <f t="shared" si="631"/>
        <v>-314.04999999999995</v>
      </c>
    </row>
    <row r="2526" spans="1:14" x14ac:dyDescent="0.2">
      <c r="A2526" t="s">
        <v>2665</v>
      </c>
      <c r="B2526" s="1" t="s">
        <v>2639</v>
      </c>
      <c r="C2526" t="s">
        <v>106</v>
      </c>
      <c r="D2526" t="s">
        <v>2152</v>
      </c>
      <c r="E2526">
        <v>28</v>
      </c>
      <c r="F2526" t="s">
        <v>2198</v>
      </c>
      <c r="G2526">
        <v>2022</v>
      </c>
      <c r="H2526" t="s">
        <v>157</v>
      </c>
      <c r="I2526" t="s">
        <v>97</v>
      </c>
      <c r="J2526">
        <v>-759.05</v>
      </c>
      <c r="K2526">
        <v>320</v>
      </c>
      <c r="L2526">
        <f t="shared" si="630"/>
        <v>-439.04999999999995</v>
      </c>
      <c r="M2526">
        <v>240</v>
      </c>
      <c r="N2526">
        <f t="shared" si="631"/>
        <v>-199.04999999999995</v>
      </c>
    </row>
    <row r="2527" spans="1:14" x14ac:dyDescent="0.2">
      <c r="A2527" t="s">
        <v>2578</v>
      </c>
      <c r="B2527" s="1" t="s">
        <v>2506</v>
      </c>
      <c r="C2527" t="s">
        <v>106</v>
      </c>
      <c r="D2527" t="s">
        <v>477</v>
      </c>
      <c r="E2527">
        <v>23</v>
      </c>
      <c r="F2527" t="s">
        <v>2198</v>
      </c>
      <c r="G2527">
        <v>2022</v>
      </c>
      <c r="H2527" t="s">
        <v>2579</v>
      </c>
      <c r="I2527" t="s">
        <v>163</v>
      </c>
      <c r="J2527">
        <v>-899</v>
      </c>
      <c r="K2527">
        <v>375</v>
      </c>
      <c r="L2527">
        <f t="shared" si="630"/>
        <v>-524</v>
      </c>
      <c r="M2527">
        <v>240</v>
      </c>
      <c r="N2527">
        <f t="shared" si="631"/>
        <v>-284</v>
      </c>
    </row>
    <row r="2528" spans="1:14" x14ac:dyDescent="0.2">
      <c r="A2528" t="s">
        <v>2676</v>
      </c>
      <c r="B2528" s="1" t="s">
        <v>2666</v>
      </c>
      <c r="C2528" t="s">
        <v>106</v>
      </c>
      <c r="D2528" t="s">
        <v>895</v>
      </c>
      <c r="E2528">
        <v>29</v>
      </c>
      <c r="F2528" t="s">
        <v>2198</v>
      </c>
      <c r="G2528">
        <v>2022</v>
      </c>
      <c r="H2528" t="s">
        <v>2677</v>
      </c>
      <c r="I2528" t="s">
        <v>28</v>
      </c>
      <c r="J2528">
        <v>-849</v>
      </c>
      <c r="K2528">
        <v>345</v>
      </c>
      <c r="L2528">
        <f t="shared" si="630"/>
        <v>-504</v>
      </c>
      <c r="M2528">
        <v>240</v>
      </c>
      <c r="N2528">
        <f t="shared" si="631"/>
        <v>-264</v>
      </c>
    </row>
    <row r="2529" spans="1:14" x14ac:dyDescent="0.2">
      <c r="A2529" t="s">
        <v>2523</v>
      </c>
      <c r="B2529" s="1" t="s">
        <v>2504</v>
      </c>
      <c r="C2529" t="s">
        <v>106</v>
      </c>
      <c r="D2529" t="s">
        <v>792</v>
      </c>
      <c r="E2529">
        <v>22</v>
      </c>
      <c r="F2529" t="s">
        <v>2198</v>
      </c>
      <c r="G2529">
        <v>2022</v>
      </c>
      <c r="H2529" t="s">
        <v>359</v>
      </c>
      <c r="I2529" t="s">
        <v>85</v>
      </c>
      <c r="J2529">
        <v>-849</v>
      </c>
      <c r="K2529">
        <v>345</v>
      </c>
      <c r="L2529">
        <f t="shared" si="630"/>
        <v>-504</v>
      </c>
      <c r="M2529">
        <v>240</v>
      </c>
      <c r="N2529">
        <f t="shared" si="631"/>
        <v>-264</v>
      </c>
    </row>
    <row r="2530" spans="1:14" x14ac:dyDescent="0.2">
      <c r="A2530" t="s">
        <v>2451</v>
      </c>
      <c r="B2530" s="1" t="s">
        <v>2430</v>
      </c>
      <c r="C2530" t="s">
        <v>106</v>
      </c>
      <c r="D2530" t="s">
        <v>490</v>
      </c>
      <c r="E2530">
        <v>19</v>
      </c>
      <c r="F2530" t="s">
        <v>2198</v>
      </c>
      <c r="G2530">
        <v>2022</v>
      </c>
      <c r="H2530" t="s">
        <v>205</v>
      </c>
      <c r="I2530" t="s">
        <v>23</v>
      </c>
      <c r="J2530">
        <v>-854.05</v>
      </c>
      <c r="K2530">
        <v>345</v>
      </c>
      <c r="L2530">
        <f t="shared" si="630"/>
        <v>-509.04999999999995</v>
      </c>
      <c r="M2530">
        <v>240</v>
      </c>
      <c r="N2530">
        <f t="shared" si="631"/>
        <v>-269.04999999999995</v>
      </c>
    </row>
    <row r="2531" spans="1:14" x14ac:dyDescent="0.2">
      <c r="A2531" t="s">
        <v>2448</v>
      </c>
      <c r="B2531" s="1" t="s">
        <v>2430</v>
      </c>
      <c r="C2531" t="s">
        <v>106</v>
      </c>
      <c r="D2531" t="s">
        <v>819</v>
      </c>
      <c r="E2531">
        <v>19</v>
      </c>
      <c r="F2531" t="s">
        <v>2198</v>
      </c>
      <c r="G2531">
        <v>2022</v>
      </c>
      <c r="H2531" t="s">
        <v>215</v>
      </c>
      <c r="I2531" t="s">
        <v>135</v>
      </c>
      <c r="J2531">
        <v>-949.05</v>
      </c>
      <c r="K2531">
        <v>395</v>
      </c>
      <c r="L2531">
        <f t="shared" si="630"/>
        <v>-554.04999999999995</v>
      </c>
      <c r="M2531">
        <v>240</v>
      </c>
      <c r="N2531">
        <f t="shared" si="631"/>
        <v>-314.04999999999995</v>
      </c>
    </row>
    <row r="2532" spans="1:14" x14ac:dyDescent="0.2">
      <c r="A2532" t="s">
        <v>2686</v>
      </c>
      <c r="B2532" s="1" t="s">
        <v>2666</v>
      </c>
      <c r="C2532" t="s">
        <v>106</v>
      </c>
      <c r="D2532" t="s">
        <v>1937</v>
      </c>
      <c r="E2532">
        <v>29</v>
      </c>
      <c r="F2532" t="s">
        <v>2198</v>
      </c>
      <c r="G2532">
        <v>2022</v>
      </c>
      <c r="H2532" t="s">
        <v>193</v>
      </c>
      <c r="I2532" t="s">
        <v>62</v>
      </c>
      <c r="J2532">
        <v>-799</v>
      </c>
      <c r="K2532">
        <v>320</v>
      </c>
      <c r="L2532">
        <f t="shared" si="630"/>
        <v>-479</v>
      </c>
      <c r="M2532">
        <v>240</v>
      </c>
      <c r="N2532">
        <f t="shared" si="631"/>
        <v>-239</v>
      </c>
    </row>
    <row r="2533" spans="1:14" x14ac:dyDescent="0.2">
      <c r="A2533" t="s">
        <v>2686</v>
      </c>
      <c r="B2533" s="1" t="s">
        <v>2666</v>
      </c>
      <c r="C2533" t="s">
        <v>106</v>
      </c>
      <c r="D2533" t="s">
        <v>940</v>
      </c>
      <c r="E2533">
        <v>29</v>
      </c>
      <c r="F2533" t="s">
        <v>2198</v>
      </c>
      <c r="G2533">
        <v>2022</v>
      </c>
      <c r="H2533" t="s">
        <v>193</v>
      </c>
      <c r="I2533" t="s">
        <v>62</v>
      </c>
      <c r="J2533">
        <v>-799</v>
      </c>
      <c r="K2533">
        <v>320</v>
      </c>
      <c r="L2533">
        <f t="shared" si="630"/>
        <v>-479</v>
      </c>
      <c r="M2533">
        <v>240</v>
      </c>
      <c r="N2533">
        <f t="shared" si="631"/>
        <v>-239</v>
      </c>
    </row>
    <row r="2534" spans="1:14" x14ac:dyDescent="0.2">
      <c r="A2534" t="s">
        <v>3183</v>
      </c>
      <c r="B2534" s="1" t="s">
        <v>3174</v>
      </c>
      <c r="C2534" t="s">
        <v>106</v>
      </c>
      <c r="D2534" t="s">
        <v>792</v>
      </c>
      <c r="E2534">
        <v>27</v>
      </c>
      <c r="F2534" t="s">
        <v>2703</v>
      </c>
      <c r="G2534">
        <v>2022</v>
      </c>
      <c r="H2534" t="s">
        <v>134</v>
      </c>
      <c r="I2534" t="s">
        <v>135</v>
      </c>
      <c r="J2534">
        <v>-849</v>
      </c>
      <c r="K2534">
        <v>345</v>
      </c>
      <c r="L2534">
        <f t="shared" si="630"/>
        <v>-504</v>
      </c>
      <c r="M2534">
        <v>240</v>
      </c>
      <c r="N2534">
        <f t="shared" si="631"/>
        <v>-264</v>
      </c>
    </row>
    <row r="2535" spans="1:14" x14ac:dyDescent="0.2">
      <c r="A2535" t="s">
        <v>3215</v>
      </c>
      <c r="B2535" s="1" t="s">
        <v>3208</v>
      </c>
      <c r="C2535" t="s">
        <v>106</v>
      </c>
      <c r="D2535" t="s">
        <v>1508</v>
      </c>
      <c r="E2535">
        <v>30</v>
      </c>
      <c r="F2535" t="s">
        <v>2703</v>
      </c>
      <c r="G2535">
        <v>2022</v>
      </c>
      <c r="H2535" t="s">
        <v>1849</v>
      </c>
      <c r="I2535" t="s">
        <v>62</v>
      </c>
      <c r="J2535">
        <v>-999</v>
      </c>
      <c r="K2535">
        <v>395</v>
      </c>
      <c r="L2535">
        <f t="shared" si="630"/>
        <v>-604</v>
      </c>
      <c r="M2535">
        <v>240</v>
      </c>
      <c r="N2535">
        <f t="shared" si="631"/>
        <v>-364</v>
      </c>
    </row>
    <row r="2536" spans="1:14" x14ac:dyDescent="0.2">
      <c r="A2536" t="s">
        <v>3074</v>
      </c>
      <c r="B2536" s="1" t="s">
        <v>3072</v>
      </c>
      <c r="C2536" t="s">
        <v>106</v>
      </c>
      <c r="D2536" t="s">
        <v>81</v>
      </c>
      <c r="E2536">
        <v>20</v>
      </c>
      <c r="F2536" t="s">
        <v>2703</v>
      </c>
      <c r="G2536">
        <v>2022</v>
      </c>
      <c r="H2536" t="s">
        <v>3075</v>
      </c>
      <c r="I2536" t="s">
        <v>122</v>
      </c>
      <c r="J2536">
        <v>-806.55</v>
      </c>
      <c r="K2536">
        <v>345</v>
      </c>
      <c r="L2536">
        <f t="shared" si="630"/>
        <v>-461.54999999999995</v>
      </c>
      <c r="M2536">
        <v>240</v>
      </c>
      <c r="N2536">
        <f t="shared" si="631"/>
        <v>-221.54999999999995</v>
      </c>
    </row>
    <row r="2537" spans="1:14" x14ac:dyDescent="0.2">
      <c r="A2537" t="s">
        <v>3193</v>
      </c>
      <c r="B2537" s="1" t="s">
        <v>3172</v>
      </c>
      <c r="C2537" t="s">
        <v>106</v>
      </c>
      <c r="D2537" t="s">
        <v>881</v>
      </c>
      <c r="E2537">
        <v>28</v>
      </c>
      <c r="F2537" t="s">
        <v>2703</v>
      </c>
      <c r="G2537">
        <v>2022</v>
      </c>
      <c r="H2537" t="s">
        <v>2564</v>
      </c>
      <c r="I2537" t="s">
        <v>62</v>
      </c>
      <c r="J2537">
        <v>-799</v>
      </c>
      <c r="K2537">
        <v>320</v>
      </c>
      <c r="L2537">
        <f t="shared" si="630"/>
        <v>-479</v>
      </c>
      <c r="M2537">
        <v>240</v>
      </c>
      <c r="N2537">
        <f t="shared" si="631"/>
        <v>-239</v>
      </c>
    </row>
    <row r="2538" spans="1:14" x14ac:dyDescent="0.2">
      <c r="A2538" t="s">
        <v>3200</v>
      </c>
      <c r="B2538" s="1" t="s">
        <v>3195</v>
      </c>
      <c r="C2538" t="s">
        <v>106</v>
      </c>
      <c r="D2538" t="s">
        <v>81</v>
      </c>
      <c r="E2538">
        <v>29</v>
      </c>
      <c r="F2538" t="s">
        <v>2703</v>
      </c>
      <c r="G2538">
        <v>2022</v>
      </c>
      <c r="H2538" t="s">
        <v>246</v>
      </c>
      <c r="I2538" t="s">
        <v>58</v>
      </c>
      <c r="J2538">
        <v>-849</v>
      </c>
      <c r="K2538">
        <v>345</v>
      </c>
      <c r="L2538">
        <f t="shared" si="630"/>
        <v>-504</v>
      </c>
      <c r="M2538">
        <v>240</v>
      </c>
      <c r="N2538">
        <f t="shared" si="631"/>
        <v>-264</v>
      </c>
    </row>
    <row r="2539" spans="1:14" x14ac:dyDescent="0.2">
      <c r="A2539" t="s">
        <v>3213</v>
      </c>
      <c r="B2539" s="1" t="s">
        <v>3208</v>
      </c>
      <c r="C2539" t="s">
        <v>106</v>
      </c>
      <c r="D2539" t="s">
        <v>2063</v>
      </c>
      <c r="E2539">
        <v>30</v>
      </c>
      <c r="F2539" t="s">
        <v>2703</v>
      </c>
      <c r="G2539">
        <v>2022</v>
      </c>
      <c r="H2539" t="s">
        <v>2564</v>
      </c>
      <c r="I2539" t="s">
        <v>62</v>
      </c>
      <c r="J2539">
        <v>-799</v>
      </c>
      <c r="K2539">
        <v>320</v>
      </c>
      <c r="L2539">
        <f t="shared" si="630"/>
        <v>-479</v>
      </c>
      <c r="M2539">
        <v>240</v>
      </c>
      <c r="N2539">
        <f t="shared" si="631"/>
        <v>-239</v>
      </c>
    </row>
    <row r="2540" spans="1:14" x14ac:dyDescent="0.2">
      <c r="A2540" t="s">
        <v>3229</v>
      </c>
      <c r="B2540" s="1" t="s">
        <v>3220</v>
      </c>
      <c r="C2540" t="s">
        <v>106</v>
      </c>
      <c r="D2540" t="s">
        <v>81</v>
      </c>
      <c r="E2540">
        <v>31</v>
      </c>
      <c r="F2540" t="s">
        <v>2703</v>
      </c>
      <c r="G2540">
        <v>2022</v>
      </c>
      <c r="H2540" t="s">
        <v>309</v>
      </c>
      <c r="I2540" t="s">
        <v>212</v>
      </c>
      <c r="J2540">
        <v>-849</v>
      </c>
      <c r="K2540">
        <v>345</v>
      </c>
      <c r="L2540">
        <f t="shared" si="630"/>
        <v>-504</v>
      </c>
      <c r="M2540">
        <v>240</v>
      </c>
      <c r="N2540">
        <f t="shared" si="631"/>
        <v>-264</v>
      </c>
    </row>
    <row r="2541" spans="1:14" x14ac:dyDescent="0.2">
      <c r="A2541" t="s">
        <v>3240</v>
      </c>
      <c r="B2541" s="1" t="s">
        <v>3220</v>
      </c>
      <c r="C2541" t="s">
        <v>106</v>
      </c>
      <c r="D2541" t="s">
        <v>380</v>
      </c>
      <c r="E2541">
        <v>31</v>
      </c>
      <c r="F2541" t="s">
        <v>2703</v>
      </c>
      <c r="G2541">
        <v>2022</v>
      </c>
      <c r="H2541" t="s">
        <v>3241</v>
      </c>
      <c r="I2541" t="s">
        <v>122</v>
      </c>
      <c r="J2541">
        <v>-806.55</v>
      </c>
      <c r="K2541">
        <v>345</v>
      </c>
      <c r="L2541">
        <f t="shared" si="630"/>
        <v>-461.54999999999995</v>
      </c>
      <c r="M2541">
        <v>240</v>
      </c>
      <c r="N2541">
        <f t="shared" si="631"/>
        <v>-221.54999999999995</v>
      </c>
    </row>
    <row r="2542" spans="1:14" x14ac:dyDescent="0.2">
      <c r="A2542" t="s">
        <v>2798</v>
      </c>
      <c r="B2542" s="1" t="s">
        <v>2773</v>
      </c>
      <c r="C2542" t="s">
        <v>106</v>
      </c>
      <c r="D2542" t="s">
        <v>573</v>
      </c>
      <c r="E2542">
        <v>6</v>
      </c>
      <c r="F2542" t="s">
        <v>2703</v>
      </c>
      <c r="G2542">
        <v>2022</v>
      </c>
      <c r="H2542" t="s">
        <v>246</v>
      </c>
      <c r="I2542" t="s">
        <v>58</v>
      </c>
      <c r="J2542">
        <v>-876.52</v>
      </c>
      <c r="K2542">
        <v>345</v>
      </c>
      <c r="L2542">
        <f t="shared" si="630"/>
        <v>-531.52</v>
      </c>
      <c r="M2542">
        <v>240</v>
      </c>
      <c r="N2542">
        <f t="shared" si="631"/>
        <v>-291.52</v>
      </c>
    </row>
    <row r="2543" spans="1:14" x14ac:dyDescent="0.2">
      <c r="A2543" t="s">
        <v>3233</v>
      </c>
      <c r="B2543" s="1" t="s">
        <v>3220</v>
      </c>
      <c r="C2543" t="s">
        <v>106</v>
      </c>
      <c r="D2543" t="s">
        <v>112</v>
      </c>
      <c r="E2543">
        <v>31</v>
      </c>
      <c r="F2543" t="s">
        <v>2703</v>
      </c>
      <c r="G2543">
        <v>2022</v>
      </c>
      <c r="H2543" t="s">
        <v>235</v>
      </c>
      <c r="I2543" t="s">
        <v>62</v>
      </c>
      <c r="J2543">
        <v>-849</v>
      </c>
      <c r="K2543">
        <v>345</v>
      </c>
      <c r="L2543">
        <f t="shared" si="630"/>
        <v>-504</v>
      </c>
      <c r="M2543">
        <v>240</v>
      </c>
      <c r="N2543">
        <f t="shared" si="631"/>
        <v>-264</v>
      </c>
    </row>
    <row r="2544" spans="1:14" x14ac:dyDescent="0.2">
      <c r="A2544" t="s">
        <v>3118</v>
      </c>
      <c r="B2544" s="1" t="s">
        <v>3115</v>
      </c>
      <c r="C2544" t="s">
        <v>106</v>
      </c>
      <c r="D2544" t="s">
        <v>819</v>
      </c>
      <c r="E2544">
        <v>24</v>
      </c>
      <c r="F2544" t="s">
        <v>2703</v>
      </c>
      <c r="G2544">
        <v>2022</v>
      </c>
      <c r="H2544" t="s">
        <v>579</v>
      </c>
      <c r="I2544" t="s">
        <v>62</v>
      </c>
      <c r="J2544">
        <v>-999</v>
      </c>
      <c r="K2544">
        <v>395</v>
      </c>
      <c r="L2544">
        <f t="shared" si="630"/>
        <v>-604</v>
      </c>
      <c r="M2544">
        <v>240</v>
      </c>
      <c r="N2544">
        <f t="shared" si="631"/>
        <v>-364</v>
      </c>
    </row>
    <row r="2545" spans="1:14" x14ac:dyDescent="0.2">
      <c r="A2545" t="s">
        <v>3118</v>
      </c>
      <c r="B2545" s="1" t="s">
        <v>3115</v>
      </c>
      <c r="C2545" t="s">
        <v>106</v>
      </c>
      <c r="D2545" t="s">
        <v>907</v>
      </c>
      <c r="E2545">
        <v>24</v>
      </c>
      <c r="F2545" t="s">
        <v>2703</v>
      </c>
      <c r="G2545">
        <v>2022</v>
      </c>
      <c r="H2545" t="s">
        <v>579</v>
      </c>
      <c r="I2545" t="s">
        <v>62</v>
      </c>
      <c r="J2545">
        <v>-849</v>
      </c>
      <c r="K2545">
        <v>345</v>
      </c>
      <c r="L2545">
        <f t="shared" si="630"/>
        <v>-504</v>
      </c>
      <c r="M2545">
        <v>240</v>
      </c>
      <c r="N2545">
        <f t="shared" si="631"/>
        <v>-264</v>
      </c>
    </row>
    <row r="2546" spans="1:14" x14ac:dyDescent="0.2">
      <c r="A2546" t="s">
        <v>2992</v>
      </c>
      <c r="B2546" s="1" t="s">
        <v>2987</v>
      </c>
      <c r="C2546" t="s">
        <v>106</v>
      </c>
      <c r="D2546" t="s">
        <v>452</v>
      </c>
      <c r="E2546">
        <v>15</v>
      </c>
      <c r="F2546" t="s">
        <v>2703</v>
      </c>
      <c r="G2546">
        <v>2022</v>
      </c>
      <c r="H2546" t="s">
        <v>215</v>
      </c>
      <c r="I2546" t="s">
        <v>135</v>
      </c>
      <c r="J2546">
        <v>-759.05</v>
      </c>
      <c r="K2546">
        <v>320</v>
      </c>
      <c r="L2546">
        <f t="shared" si="630"/>
        <v>-439.04999999999995</v>
      </c>
      <c r="M2546">
        <v>240</v>
      </c>
      <c r="N2546">
        <f t="shared" si="631"/>
        <v>-199.04999999999995</v>
      </c>
    </row>
    <row r="2547" spans="1:14" x14ac:dyDescent="0.2">
      <c r="A2547" t="s">
        <v>3079</v>
      </c>
      <c r="B2547" s="1" t="s">
        <v>3072</v>
      </c>
      <c r="C2547" t="s">
        <v>106</v>
      </c>
      <c r="D2547" t="s">
        <v>573</v>
      </c>
      <c r="E2547">
        <v>20</v>
      </c>
      <c r="F2547" t="s">
        <v>2703</v>
      </c>
      <c r="G2547">
        <v>2022</v>
      </c>
      <c r="H2547" t="s">
        <v>246</v>
      </c>
      <c r="I2547" t="s">
        <v>58</v>
      </c>
      <c r="J2547">
        <v>-1775.52</v>
      </c>
      <c r="K2547">
        <v>495</v>
      </c>
      <c r="L2547">
        <f t="shared" si="630"/>
        <v>-1280.52</v>
      </c>
      <c r="M2547">
        <v>240</v>
      </c>
      <c r="N2547">
        <f t="shared" si="631"/>
        <v>-1040.52</v>
      </c>
    </row>
    <row r="2548" spans="1:14" x14ac:dyDescent="0.2">
      <c r="A2548" t="s">
        <v>2770</v>
      </c>
      <c r="B2548" s="1" t="s">
        <v>2756</v>
      </c>
      <c r="C2548" t="s">
        <v>106</v>
      </c>
      <c r="D2548" t="s">
        <v>242</v>
      </c>
      <c r="E2548">
        <v>5</v>
      </c>
      <c r="F2548" t="s">
        <v>2703</v>
      </c>
      <c r="G2548">
        <v>2022</v>
      </c>
      <c r="H2548" t="s">
        <v>2491</v>
      </c>
      <c r="I2548" t="s">
        <v>97</v>
      </c>
      <c r="J2548">
        <v>-899</v>
      </c>
      <c r="K2548">
        <v>375</v>
      </c>
      <c r="L2548">
        <f t="shared" si="630"/>
        <v>-524</v>
      </c>
      <c r="M2548">
        <v>240</v>
      </c>
      <c r="N2548">
        <f t="shared" si="631"/>
        <v>-284</v>
      </c>
    </row>
    <row r="2549" spans="1:14" x14ac:dyDescent="0.2">
      <c r="A2549" t="s">
        <v>2956</v>
      </c>
      <c r="B2549" s="1" t="s">
        <v>2936</v>
      </c>
      <c r="C2549" t="s">
        <v>106</v>
      </c>
      <c r="D2549" t="s">
        <v>2657</v>
      </c>
      <c r="E2549">
        <v>13</v>
      </c>
      <c r="F2549" t="s">
        <v>2703</v>
      </c>
      <c r="G2549">
        <v>2022</v>
      </c>
      <c r="H2549" t="s">
        <v>157</v>
      </c>
      <c r="I2549" t="s">
        <v>97</v>
      </c>
      <c r="J2549">
        <v>-799</v>
      </c>
      <c r="K2549">
        <v>320</v>
      </c>
      <c r="L2549">
        <f t="shared" si="630"/>
        <v>-479</v>
      </c>
      <c r="M2549">
        <v>240</v>
      </c>
      <c r="N2549">
        <f t="shared" si="631"/>
        <v>-239</v>
      </c>
    </row>
    <row r="2550" spans="1:14" x14ac:dyDescent="0.2">
      <c r="A2550" t="s">
        <v>2806</v>
      </c>
      <c r="B2550" s="1" t="s">
        <v>2773</v>
      </c>
      <c r="C2550" t="s">
        <v>106</v>
      </c>
      <c r="D2550" t="s">
        <v>786</v>
      </c>
      <c r="E2550">
        <v>6</v>
      </c>
      <c r="F2550" t="s">
        <v>2703</v>
      </c>
      <c r="G2550">
        <v>2022</v>
      </c>
      <c r="H2550" t="s">
        <v>157</v>
      </c>
      <c r="I2550" t="s">
        <v>97</v>
      </c>
      <c r="J2550">
        <v>-799</v>
      </c>
      <c r="K2550">
        <v>320</v>
      </c>
      <c r="L2550">
        <f t="shared" si="630"/>
        <v>-479</v>
      </c>
      <c r="M2550">
        <v>240</v>
      </c>
      <c r="N2550">
        <f t="shared" si="631"/>
        <v>-239</v>
      </c>
    </row>
    <row r="2551" spans="1:14" x14ac:dyDescent="0.2">
      <c r="A2551" t="s">
        <v>3239</v>
      </c>
      <c r="B2551" s="1" t="s">
        <v>3220</v>
      </c>
      <c r="C2551" t="s">
        <v>106</v>
      </c>
      <c r="D2551" t="s">
        <v>573</v>
      </c>
      <c r="E2551">
        <v>31</v>
      </c>
      <c r="F2551" t="s">
        <v>2703</v>
      </c>
      <c r="G2551">
        <v>2022</v>
      </c>
      <c r="H2551" t="s">
        <v>185</v>
      </c>
      <c r="I2551" t="s">
        <v>62</v>
      </c>
      <c r="J2551">
        <v>-854.05</v>
      </c>
      <c r="K2551">
        <v>345</v>
      </c>
      <c r="L2551">
        <f t="shared" si="630"/>
        <v>-509.04999999999995</v>
      </c>
      <c r="M2551">
        <v>240</v>
      </c>
      <c r="N2551">
        <f t="shared" si="631"/>
        <v>-269.04999999999995</v>
      </c>
    </row>
    <row r="2552" spans="1:14" x14ac:dyDescent="0.2">
      <c r="A2552" t="s">
        <v>3203</v>
      </c>
      <c r="B2552" s="1" t="s">
        <v>3195</v>
      </c>
      <c r="C2552" t="s">
        <v>106</v>
      </c>
      <c r="D2552" t="s">
        <v>379</v>
      </c>
      <c r="E2552">
        <v>29</v>
      </c>
      <c r="F2552" t="s">
        <v>2703</v>
      </c>
      <c r="G2552">
        <v>2022</v>
      </c>
      <c r="H2552" t="s">
        <v>3204</v>
      </c>
      <c r="I2552" t="s">
        <v>135</v>
      </c>
      <c r="J2552">
        <v>-759.05</v>
      </c>
      <c r="K2552">
        <v>320</v>
      </c>
      <c r="L2552">
        <f t="shared" si="630"/>
        <v>-439.04999999999995</v>
      </c>
      <c r="M2552">
        <v>240</v>
      </c>
      <c r="N2552">
        <f t="shared" si="631"/>
        <v>-199.04999999999995</v>
      </c>
    </row>
    <row r="2553" spans="1:14" x14ac:dyDescent="0.2">
      <c r="A2553" t="s">
        <v>3248</v>
      </c>
      <c r="B2553" s="1" t="s">
        <v>3247</v>
      </c>
      <c r="C2553" t="s">
        <v>14</v>
      </c>
      <c r="D2553" t="s">
        <v>881</v>
      </c>
      <c r="E2553">
        <v>1</v>
      </c>
      <c r="F2553" t="s">
        <v>3249</v>
      </c>
      <c r="G2553">
        <v>2023</v>
      </c>
      <c r="H2553" t="s">
        <v>796</v>
      </c>
      <c r="I2553" t="s">
        <v>58</v>
      </c>
      <c r="J2553">
        <v>799</v>
      </c>
      <c r="K2553">
        <v>205</v>
      </c>
      <c r="L2553">
        <f t="shared" ref="L2553:L2562" si="632">J2553-K2553</f>
        <v>594</v>
      </c>
      <c r="M2553">
        <v>240</v>
      </c>
      <c r="N2553">
        <f t="shared" ref="N2553:N2562" si="633">L2553-M2553</f>
        <v>354</v>
      </c>
    </row>
    <row r="2554" spans="1:14" x14ac:dyDescent="0.2">
      <c r="A2554" t="s">
        <v>3250</v>
      </c>
      <c r="B2554" s="1" t="s">
        <v>3247</v>
      </c>
      <c r="C2554" t="s">
        <v>14</v>
      </c>
      <c r="D2554" t="s">
        <v>504</v>
      </c>
      <c r="E2554">
        <v>1</v>
      </c>
      <c r="F2554" t="s">
        <v>3249</v>
      </c>
      <c r="G2554">
        <v>2023</v>
      </c>
      <c r="H2554" t="s">
        <v>104</v>
      </c>
      <c r="I2554" t="s">
        <v>62</v>
      </c>
      <c r="J2554">
        <v>899</v>
      </c>
      <c r="K2554">
        <v>295</v>
      </c>
      <c r="L2554">
        <f t="shared" si="632"/>
        <v>604</v>
      </c>
      <c r="M2554">
        <v>240</v>
      </c>
      <c r="N2554">
        <f t="shared" si="633"/>
        <v>364</v>
      </c>
    </row>
    <row r="2555" spans="1:14" x14ac:dyDescent="0.2">
      <c r="A2555" t="s">
        <v>3251</v>
      </c>
      <c r="B2555" s="1" t="s">
        <v>3247</v>
      </c>
      <c r="C2555" t="s">
        <v>14</v>
      </c>
      <c r="D2555" t="s">
        <v>957</v>
      </c>
      <c r="E2555">
        <v>1</v>
      </c>
      <c r="F2555" t="s">
        <v>3249</v>
      </c>
      <c r="G2555">
        <v>2023</v>
      </c>
      <c r="H2555" t="s">
        <v>84</v>
      </c>
      <c r="I2555" t="s">
        <v>85</v>
      </c>
      <c r="J2555">
        <v>799</v>
      </c>
      <c r="K2555">
        <v>205</v>
      </c>
      <c r="L2555">
        <f t="shared" si="632"/>
        <v>594</v>
      </c>
      <c r="M2555">
        <v>240</v>
      </c>
      <c r="N2555">
        <f t="shared" si="633"/>
        <v>354</v>
      </c>
    </row>
    <row r="2556" spans="1:14" x14ac:dyDescent="0.2">
      <c r="A2556" t="s">
        <v>3252</v>
      </c>
      <c r="B2556" s="1" t="s">
        <v>3247</v>
      </c>
      <c r="C2556" t="s">
        <v>14</v>
      </c>
      <c r="D2556" t="s">
        <v>548</v>
      </c>
      <c r="E2556">
        <v>1</v>
      </c>
      <c r="F2556" t="s">
        <v>3249</v>
      </c>
      <c r="G2556">
        <v>2023</v>
      </c>
      <c r="H2556" t="s">
        <v>170</v>
      </c>
      <c r="I2556" t="s">
        <v>171</v>
      </c>
      <c r="J2556">
        <v>899</v>
      </c>
      <c r="K2556">
        <v>295</v>
      </c>
      <c r="L2556">
        <f t="shared" si="632"/>
        <v>604</v>
      </c>
      <c r="M2556">
        <v>240</v>
      </c>
      <c r="N2556">
        <f t="shared" si="633"/>
        <v>364</v>
      </c>
    </row>
    <row r="2557" spans="1:14" x14ac:dyDescent="0.2">
      <c r="A2557" t="s">
        <v>3253</v>
      </c>
      <c r="B2557" s="1" t="s">
        <v>3247</v>
      </c>
      <c r="C2557" t="s">
        <v>14</v>
      </c>
      <c r="D2557" t="s">
        <v>840</v>
      </c>
      <c r="E2557">
        <v>1</v>
      </c>
      <c r="F2557" t="s">
        <v>3249</v>
      </c>
      <c r="G2557">
        <v>2023</v>
      </c>
      <c r="H2557" t="s">
        <v>604</v>
      </c>
      <c r="I2557" t="s">
        <v>85</v>
      </c>
      <c r="J2557">
        <v>999</v>
      </c>
      <c r="K2557">
        <v>325</v>
      </c>
      <c r="L2557">
        <f t="shared" si="632"/>
        <v>674</v>
      </c>
      <c r="M2557">
        <v>240</v>
      </c>
      <c r="N2557">
        <f t="shared" si="633"/>
        <v>434</v>
      </c>
    </row>
    <row r="2558" spans="1:14" x14ac:dyDescent="0.2">
      <c r="A2558" t="s">
        <v>3254</v>
      </c>
      <c r="B2558" s="1" t="s">
        <v>3247</v>
      </c>
      <c r="C2558" t="s">
        <v>14</v>
      </c>
      <c r="D2558" t="s">
        <v>81</v>
      </c>
      <c r="E2558">
        <v>1</v>
      </c>
      <c r="F2558" t="s">
        <v>3249</v>
      </c>
      <c r="G2558">
        <v>2023</v>
      </c>
      <c r="H2558" t="s">
        <v>171</v>
      </c>
      <c r="I2558" t="s">
        <v>171</v>
      </c>
      <c r="J2558">
        <v>849</v>
      </c>
      <c r="K2558">
        <v>250</v>
      </c>
      <c r="L2558">
        <f t="shared" si="632"/>
        <v>599</v>
      </c>
      <c r="M2558">
        <v>240</v>
      </c>
      <c r="N2558">
        <f t="shared" si="633"/>
        <v>359</v>
      </c>
    </row>
    <row r="2559" spans="1:14" x14ac:dyDescent="0.2">
      <c r="A2559" t="s">
        <v>3255</v>
      </c>
      <c r="B2559" s="1" t="s">
        <v>3247</v>
      </c>
      <c r="C2559" t="s">
        <v>14</v>
      </c>
      <c r="D2559" t="s">
        <v>1937</v>
      </c>
      <c r="E2559">
        <v>1</v>
      </c>
      <c r="F2559" t="s">
        <v>3249</v>
      </c>
      <c r="G2559">
        <v>2023</v>
      </c>
      <c r="H2559" t="s">
        <v>314</v>
      </c>
      <c r="I2559" t="s">
        <v>58</v>
      </c>
      <c r="J2559">
        <v>799</v>
      </c>
      <c r="K2559">
        <v>205</v>
      </c>
      <c r="L2559">
        <f t="shared" si="632"/>
        <v>594</v>
      </c>
      <c r="M2559">
        <v>240</v>
      </c>
      <c r="N2559">
        <f t="shared" si="633"/>
        <v>354</v>
      </c>
    </row>
    <row r="2560" spans="1:14" x14ac:dyDescent="0.2">
      <c r="A2560" t="s">
        <v>3256</v>
      </c>
      <c r="B2560" s="1" t="s">
        <v>3247</v>
      </c>
      <c r="C2560" t="s">
        <v>14</v>
      </c>
      <c r="D2560" t="s">
        <v>840</v>
      </c>
      <c r="E2560">
        <v>1</v>
      </c>
      <c r="F2560" t="s">
        <v>3249</v>
      </c>
      <c r="G2560">
        <v>2023</v>
      </c>
      <c r="H2560" t="s">
        <v>549</v>
      </c>
      <c r="I2560" t="s">
        <v>163</v>
      </c>
      <c r="J2560">
        <v>999</v>
      </c>
      <c r="K2560">
        <v>325</v>
      </c>
      <c r="L2560">
        <f t="shared" si="632"/>
        <v>674</v>
      </c>
      <c r="M2560">
        <v>240</v>
      </c>
      <c r="N2560">
        <f t="shared" si="633"/>
        <v>434</v>
      </c>
    </row>
    <row r="2561" spans="1:14" x14ac:dyDescent="0.2">
      <c r="A2561" t="s">
        <v>3257</v>
      </c>
      <c r="B2561" s="1" t="s">
        <v>3247</v>
      </c>
      <c r="C2561" t="s">
        <v>14</v>
      </c>
      <c r="D2561" t="s">
        <v>573</v>
      </c>
      <c r="E2561">
        <v>1</v>
      </c>
      <c r="F2561" t="s">
        <v>3249</v>
      </c>
      <c r="G2561">
        <v>2023</v>
      </c>
      <c r="H2561" t="s">
        <v>208</v>
      </c>
      <c r="I2561" t="s">
        <v>97</v>
      </c>
      <c r="J2561">
        <v>899</v>
      </c>
      <c r="K2561">
        <v>295</v>
      </c>
      <c r="L2561">
        <f t="shared" si="632"/>
        <v>604</v>
      </c>
      <c r="M2561">
        <v>240</v>
      </c>
      <c r="N2561">
        <f t="shared" si="633"/>
        <v>364</v>
      </c>
    </row>
    <row r="2562" spans="1:14" x14ac:dyDescent="0.2">
      <c r="A2562" t="s">
        <v>3258</v>
      </c>
      <c r="B2562" s="1" t="s">
        <v>3247</v>
      </c>
      <c r="C2562" t="s">
        <v>14</v>
      </c>
      <c r="D2562" t="s">
        <v>840</v>
      </c>
      <c r="E2562">
        <v>1</v>
      </c>
      <c r="F2562" t="s">
        <v>3249</v>
      </c>
      <c r="G2562">
        <v>2023</v>
      </c>
      <c r="H2562" t="s">
        <v>314</v>
      </c>
      <c r="I2562" t="s">
        <v>58</v>
      </c>
      <c r="J2562">
        <v>999</v>
      </c>
      <c r="K2562">
        <v>325</v>
      </c>
      <c r="L2562">
        <f t="shared" si="632"/>
        <v>674</v>
      </c>
      <c r="M2562">
        <v>240</v>
      </c>
      <c r="N2562">
        <f t="shared" si="633"/>
        <v>434</v>
      </c>
    </row>
    <row r="2563" spans="1:14" x14ac:dyDescent="0.2">
      <c r="A2563" t="s">
        <v>3260</v>
      </c>
      <c r="B2563" s="1" t="s">
        <v>3259</v>
      </c>
      <c r="C2563" t="s">
        <v>43</v>
      </c>
      <c r="D2563" t="s">
        <v>1508</v>
      </c>
      <c r="E2563">
        <v>2</v>
      </c>
      <c r="F2563" t="s">
        <v>3249</v>
      </c>
      <c r="G2563">
        <v>2023</v>
      </c>
      <c r="H2563" t="s">
        <v>538</v>
      </c>
      <c r="I2563" t="s">
        <v>253</v>
      </c>
      <c r="J2563">
        <v>0</v>
      </c>
      <c r="K2563">
        <v>0</v>
      </c>
      <c r="L2563">
        <v>0</v>
      </c>
      <c r="M2563">
        <v>0</v>
      </c>
      <c r="N2563">
        <v>0</v>
      </c>
    </row>
    <row r="2564" spans="1:14" x14ac:dyDescent="0.2">
      <c r="A2564" t="s">
        <v>3261</v>
      </c>
      <c r="B2564" s="1" t="s">
        <v>3259</v>
      </c>
      <c r="C2564" t="s">
        <v>14</v>
      </c>
      <c r="D2564" t="s">
        <v>81</v>
      </c>
      <c r="E2564">
        <v>2</v>
      </c>
      <c r="F2564" t="s">
        <v>3249</v>
      </c>
      <c r="G2564">
        <v>2023</v>
      </c>
      <c r="H2564" t="s">
        <v>1112</v>
      </c>
      <c r="I2564" t="s">
        <v>23</v>
      </c>
      <c r="J2564">
        <v>849</v>
      </c>
      <c r="K2564">
        <v>250</v>
      </c>
      <c r="L2564">
        <f t="shared" ref="L2564:L2578" si="634">J2564-K2564</f>
        <v>599</v>
      </c>
      <c r="M2564">
        <v>240</v>
      </c>
      <c r="N2564">
        <f t="shared" ref="N2564:N2578" si="635">L2564-M2564</f>
        <v>359</v>
      </c>
    </row>
    <row r="2565" spans="1:14" x14ac:dyDescent="0.2">
      <c r="A2565" t="s">
        <v>3262</v>
      </c>
      <c r="B2565" s="1" t="s">
        <v>3259</v>
      </c>
      <c r="C2565" t="s">
        <v>14</v>
      </c>
      <c r="D2565" t="s">
        <v>907</v>
      </c>
      <c r="E2565">
        <v>2</v>
      </c>
      <c r="F2565" t="s">
        <v>3249</v>
      </c>
      <c r="G2565">
        <v>2023</v>
      </c>
      <c r="H2565" t="s">
        <v>235</v>
      </c>
      <c r="I2565" t="s">
        <v>62</v>
      </c>
      <c r="J2565">
        <v>849</v>
      </c>
      <c r="K2565">
        <v>250</v>
      </c>
      <c r="L2565">
        <f t="shared" si="634"/>
        <v>599</v>
      </c>
      <c r="M2565">
        <v>240</v>
      </c>
      <c r="N2565">
        <f t="shared" si="635"/>
        <v>359</v>
      </c>
    </row>
    <row r="2566" spans="1:14" x14ac:dyDescent="0.2">
      <c r="A2566" t="s">
        <v>3263</v>
      </c>
      <c r="B2566" s="1" t="s">
        <v>3259</v>
      </c>
      <c r="C2566" t="s">
        <v>14</v>
      </c>
      <c r="D2566" t="s">
        <v>452</v>
      </c>
      <c r="E2566">
        <v>2</v>
      </c>
      <c r="F2566" t="s">
        <v>3249</v>
      </c>
      <c r="G2566">
        <v>2023</v>
      </c>
      <c r="H2566" t="s">
        <v>3264</v>
      </c>
      <c r="I2566" t="s">
        <v>135</v>
      </c>
      <c r="J2566">
        <v>799</v>
      </c>
      <c r="K2566">
        <v>205</v>
      </c>
      <c r="L2566">
        <f t="shared" si="634"/>
        <v>594</v>
      </c>
      <c r="M2566">
        <v>240</v>
      </c>
      <c r="N2566">
        <f t="shared" si="635"/>
        <v>354</v>
      </c>
    </row>
    <row r="2567" spans="1:14" x14ac:dyDescent="0.2">
      <c r="A2567" t="s">
        <v>3265</v>
      </c>
      <c r="B2567" s="1" t="s">
        <v>3247</v>
      </c>
      <c r="C2567" t="s">
        <v>14</v>
      </c>
      <c r="D2567" t="s">
        <v>548</v>
      </c>
      <c r="E2567">
        <v>1</v>
      </c>
      <c r="F2567" t="s">
        <v>3249</v>
      </c>
      <c r="G2567">
        <v>2023</v>
      </c>
      <c r="H2567" t="s">
        <v>173</v>
      </c>
      <c r="I2567" t="s">
        <v>62</v>
      </c>
      <c r="J2567">
        <v>899</v>
      </c>
      <c r="K2567">
        <v>295</v>
      </c>
      <c r="L2567">
        <f t="shared" si="634"/>
        <v>604</v>
      </c>
      <c r="M2567">
        <v>240</v>
      </c>
      <c r="N2567">
        <f t="shared" si="635"/>
        <v>364</v>
      </c>
    </row>
    <row r="2568" spans="1:14" x14ac:dyDescent="0.2">
      <c r="A2568" t="s">
        <v>3266</v>
      </c>
      <c r="B2568" s="1" t="s">
        <v>3259</v>
      </c>
      <c r="C2568" t="s">
        <v>14</v>
      </c>
      <c r="D2568" t="s">
        <v>923</v>
      </c>
      <c r="E2568">
        <v>2</v>
      </c>
      <c r="F2568" t="s">
        <v>3249</v>
      </c>
      <c r="G2568">
        <v>2023</v>
      </c>
      <c r="H2568" t="s">
        <v>2388</v>
      </c>
      <c r="I2568" t="s">
        <v>144</v>
      </c>
      <c r="J2568">
        <v>849</v>
      </c>
      <c r="K2568">
        <v>250</v>
      </c>
      <c r="L2568">
        <f t="shared" si="634"/>
        <v>599</v>
      </c>
      <c r="M2568">
        <v>240</v>
      </c>
      <c r="N2568">
        <f t="shared" si="635"/>
        <v>359</v>
      </c>
    </row>
    <row r="2569" spans="1:14" x14ac:dyDescent="0.2">
      <c r="A2569" t="s">
        <v>3267</v>
      </c>
      <c r="B2569" s="1" t="s">
        <v>3259</v>
      </c>
      <c r="C2569" t="s">
        <v>14</v>
      </c>
      <c r="D2569" t="s">
        <v>993</v>
      </c>
      <c r="E2569">
        <v>2</v>
      </c>
      <c r="F2569" t="s">
        <v>3249</v>
      </c>
      <c r="G2569">
        <v>2023</v>
      </c>
      <c r="H2569" t="s">
        <v>170</v>
      </c>
      <c r="I2569" t="s">
        <v>171</v>
      </c>
      <c r="J2569">
        <v>799</v>
      </c>
      <c r="K2569">
        <v>205</v>
      </c>
      <c r="L2569">
        <f t="shared" si="634"/>
        <v>594</v>
      </c>
      <c r="M2569">
        <v>240</v>
      </c>
      <c r="N2569">
        <f t="shared" si="635"/>
        <v>354</v>
      </c>
    </row>
    <row r="2570" spans="1:14" x14ac:dyDescent="0.2">
      <c r="A2570" t="s">
        <v>3268</v>
      </c>
      <c r="B2570" s="1" t="s">
        <v>3259</v>
      </c>
      <c r="C2570" t="s">
        <v>14</v>
      </c>
      <c r="D2570" t="s">
        <v>1511</v>
      </c>
      <c r="E2570">
        <v>2</v>
      </c>
      <c r="F2570" t="s">
        <v>3249</v>
      </c>
      <c r="G2570">
        <v>2023</v>
      </c>
      <c r="H2570" t="s">
        <v>415</v>
      </c>
      <c r="I2570" t="s">
        <v>135</v>
      </c>
      <c r="J2570">
        <v>799</v>
      </c>
      <c r="K2570">
        <v>205</v>
      </c>
      <c r="L2570">
        <f t="shared" si="634"/>
        <v>594</v>
      </c>
      <c r="M2570">
        <v>240</v>
      </c>
      <c r="N2570">
        <f t="shared" si="635"/>
        <v>354</v>
      </c>
    </row>
    <row r="2571" spans="1:14" x14ac:dyDescent="0.2">
      <c r="A2571" t="s">
        <v>3269</v>
      </c>
      <c r="B2571" s="1" t="s">
        <v>3259</v>
      </c>
      <c r="C2571" t="s">
        <v>14</v>
      </c>
      <c r="D2571" t="s">
        <v>477</v>
      </c>
      <c r="E2571">
        <v>2</v>
      </c>
      <c r="F2571" t="s">
        <v>3249</v>
      </c>
      <c r="G2571">
        <v>2023</v>
      </c>
      <c r="H2571" t="s">
        <v>22</v>
      </c>
      <c r="I2571" t="s">
        <v>23</v>
      </c>
      <c r="J2571">
        <v>899</v>
      </c>
      <c r="K2571">
        <v>295</v>
      </c>
      <c r="L2571">
        <f t="shared" si="634"/>
        <v>604</v>
      </c>
      <c r="M2571">
        <v>240</v>
      </c>
      <c r="N2571">
        <f t="shared" si="635"/>
        <v>364</v>
      </c>
    </row>
    <row r="2572" spans="1:14" x14ac:dyDescent="0.2">
      <c r="A2572" t="s">
        <v>3260</v>
      </c>
      <c r="B2572" s="1" t="s">
        <v>3259</v>
      </c>
      <c r="C2572" t="s">
        <v>14</v>
      </c>
      <c r="D2572" t="s">
        <v>1508</v>
      </c>
      <c r="E2572">
        <v>2</v>
      </c>
      <c r="F2572" t="s">
        <v>3249</v>
      </c>
      <c r="G2572">
        <v>2023</v>
      </c>
      <c r="H2572" t="s">
        <v>538</v>
      </c>
      <c r="I2572" t="s">
        <v>253</v>
      </c>
      <c r="J2572">
        <v>999</v>
      </c>
      <c r="K2572">
        <v>325</v>
      </c>
      <c r="L2572">
        <f t="shared" si="634"/>
        <v>674</v>
      </c>
      <c r="M2572">
        <v>240</v>
      </c>
      <c r="N2572">
        <f t="shared" si="635"/>
        <v>434</v>
      </c>
    </row>
    <row r="2573" spans="1:14" x14ac:dyDescent="0.2">
      <c r="A2573" t="s">
        <v>3270</v>
      </c>
      <c r="B2573" s="1" t="s">
        <v>3259</v>
      </c>
      <c r="C2573" t="s">
        <v>14</v>
      </c>
      <c r="D2573" t="s">
        <v>1486</v>
      </c>
      <c r="E2573">
        <v>2</v>
      </c>
      <c r="F2573" t="s">
        <v>3249</v>
      </c>
      <c r="G2573">
        <v>2023</v>
      </c>
      <c r="H2573" t="s">
        <v>84</v>
      </c>
      <c r="I2573" t="s">
        <v>85</v>
      </c>
      <c r="J2573">
        <v>999</v>
      </c>
      <c r="K2573">
        <v>325</v>
      </c>
      <c r="L2573">
        <f t="shared" si="634"/>
        <v>674</v>
      </c>
      <c r="M2573">
        <v>240</v>
      </c>
      <c r="N2573">
        <f t="shared" si="635"/>
        <v>434</v>
      </c>
    </row>
    <row r="2574" spans="1:14" x14ac:dyDescent="0.2">
      <c r="A2574" t="s">
        <v>3271</v>
      </c>
      <c r="B2574" s="1" t="s">
        <v>3259</v>
      </c>
      <c r="C2574" t="s">
        <v>14</v>
      </c>
      <c r="D2574" t="s">
        <v>3272</v>
      </c>
      <c r="E2574">
        <v>2</v>
      </c>
      <c r="F2574" t="s">
        <v>3249</v>
      </c>
      <c r="G2574">
        <v>2023</v>
      </c>
      <c r="H2574" t="s">
        <v>3273</v>
      </c>
      <c r="I2574" t="s">
        <v>62</v>
      </c>
      <c r="J2574">
        <v>799</v>
      </c>
      <c r="K2574">
        <v>205</v>
      </c>
      <c r="L2574">
        <f t="shared" si="634"/>
        <v>594</v>
      </c>
      <c r="M2574">
        <v>240</v>
      </c>
      <c r="N2574">
        <f t="shared" si="635"/>
        <v>354</v>
      </c>
    </row>
    <row r="2575" spans="1:14" x14ac:dyDescent="0.2">
      <c r="A2575" t="s">
        <v>3274</v>
      </c>
      <c r="B2575" s="1" t="s">
        <v>3259</v>
      </c>
      <c r="C2575" t="s">
        <v>14</v>
      </c>
      <c r="D2575" t="s">
        <v>1015</v>
      </c>
      <c r="E2575">
        <v>2</v>
      </c>
      <c r="F2575" t="s">
        <v>3249</v>
      </c>
      <c r="G2575">
        <v>2023</v>
      </c>
      <c r="H2575" t="s">
        <v>84</v>
      </c>
      <c r="I2575" t="s">
        <v>85</v>
      </c>
      <c r="J2575">
        <v>849</v>
      </c>
      <c r="K2575">
        <v>250</v>
      </c>
      <c r="L2575">
        <f t="shared" si="634"/>
        <v>599</v>
      </c>
      <c r="M2575">
        <v>240</v>
      </c>
      <c r="N2575">
        <f t="shared" si="635"/>
        <v>359</v>
      </c>
    </row>
    <row r="2576" spans="1:14" x14ac:dyDescent="0.2">
      <c r="A2576" t="s">
        <v>3275</v>
      </c>
      <c r="B2576" s="1" t="s">
        <v>3259</v>
      </c>
      <c r="C2576" t="s">
        <v>14</v>
      </c>
      <c r="D2576" t="s">
        <v>133</v>
      </c>
      <c r="E2576">
        <v>2</v>
      </c>
      <c r="F2576" t="s">
        <v>3249</v>
      </c>
      <c r="G2576">
        <v>2023</v>
      </c>
      <c r="H2576" t="s">
        <v>176</v>
      </c>
      <c r="I2576" t="s">
        <v>23</v>
      </c>
      <c r="J2576">
        <v>799</v>
      </c>
      <c r="K2576">
        <v>205</v>
      </c>
      <c r="L2576">
        <f t="shared" si="634"/>
        <v>594</v>
      </c>
      <c r="M2576">
        <v>240</v>
      </c>
      <c r="N2576">
        <f t="shared" si="635"/>
        <v>354</v>
      </c>
    </row>
    <row r="2577" spans="1:14" x14ac:dyDescent="0.2">
      <c r="A2577" t="s">
        <v>3276</v>
      </c>
      <c r="B2577" s="1" t="s">
        <v>3259</v>
      </c>
      <c r="C2577" t="s">
        <v>14</v>
      </c>
      <c r="D2577" t="s">
        <v>81</v>
      </c>
      <c r="E2577">
        <v>2</v>
      </c>
      <c r="F2577" t="s">
        <v>3249</v>
      </c>
      <c r="G2577">
        <v>2023</v>
      </c>
      <c r="H2577" t="s">
        <v>3277</v>
      </c>
      <c r="I2577" t="s">
        <v>85</v>
      </c>
      <c r="J2577">
        <v>849</v>
      </c>
      <c r="K2577">
        <v>250</v>
      </c>
      <c r="L2577">
        <f t="shared" si="634"/>
        <v>599</v>
      </c>
      <c r="M2577">
        <v>240</v>
      </c>
      <c r="N2577">
        <f t="shared" si="635"/>
        <v>359</v>
      </c>
    </row>
    <row r="2578" spans="1:14" x14ac:dyDescent="0.2">
      <c r="A2578" t="s">
        <v>3278</v>
      </c>
      <c r="B2578" s="1" t="s">
        <v>3247</v>
      </c>
      <c r="C2578" t="s">
        <v>14</v>
      </c>
      <c r="D2578" t="s">
        <v>477</v>
      </c>
      <c r="E2578">
        <v>1</v>
      </c>
      <c r="F2578" t="s">
        <v>3249</v>
      </c>
      <c r="G2578">
        <v>2023</v>
      </c>
      <c r="H2578" t="s">
        <v>3279</v>
      </c>
      <c r="I2578" t="s">
        <v>135</v>
      </c>
      <c r="J2578">
        <v>899</v>
      </c>
      <c r="K2578">
        <v>295</v>
      </c>
      <c r="L2578">
        <f t="shared" si="634"/>
        <v>604</v>
      </c>
      <c r="M2578">
        <v>240</v>
      </c>
      <c r="N2578">
        <f t="shared" si="635"/>
        <v>364</v>
      </c>
    </row>
    <row r="2579" spans="1:14" x14ac:dyDescent="0.2">
      <c r="A2579" t="s">
        <v>3281</v>
      </c>
      <c r="B2579" s="1" t="s">
        <v>3280</v>
      </c>
      <c r="C2579" t="s">
        <v>43</v>
      </c>
      <c r="D2579" t="s">
        <v>504</v>
      </c>
      <c r="E2579">
        <v>3</v>
      </c>
      <c r="F2579" t="s">
        <v>3249</v>
      </c>
      <c r="G2579">
        <v>2023</v>
      </c>
      <c r="H2579" t="s">
        <v>3282</v>
      </c>
      <c r="I2579" t="s">
        <v>32</v>
      </c>
      <c r="J2579">
        <v>0</v>
      </c>
      <c r="K2579">
        <v>0</v>
      </c>
      <c r="L2579">
        <v>0</v>
      </c>
      <c r="M2579">
        <v>0</v>
      </c>
      <c r="N2579">
        <v>0</v>
      </c>
    </row>
    <row r="2580" spans="1:14" x14ac:dyDescent="0.2">
      <c r="A2580" t="s">
        <v>3283</v>
      </c>
      <c r="B2580" s="1" t="s">
        <v>3280</v>
      </c>
      <c r="C2580" t="s">
        <v>14</v>
      </c>
      <c r="D2580" t="s">
        <v>81</v>
      </c>
      <c r="E2580">
        <v>3</v>
      </c>
      <c r="F2580" t="s">
        <v>3249</v>
      </c>
      <c r="G2580">
        <v>2023</v>
      </c>
      <c r="H2580" t="s">
        <v>2768</v>
      </c>
      <c r="I2580" t="s">
        <v>58</v>
      </c>
      <c r="J2580">
        <v>849</v>
      </c>
      <c r="K2580">
        <v>250</v>
      </c>
      <c r="L2580">
        <f t="shared" ref="L2580:L2585" si="636">J2580-K2580</f>
        <v>599</v>
      </c>
      <c r="M2580">
        <v>240</v>
      </c>
      <c r="N2580">
        <f t="shared" ref="N2580:N2585" si="637">L2580-M2580</f>
        <v>359</v>
      </c>
    </row>
    <row r="2581" spans="1:14" x14ac:dyDescent="0.2">
      <c r="A2581" t="s">
        <v>3284</v>
      </c>
      <c r="B2581" s="1" t="s">
        <v>3280</v>
      </c>
      <c r="C2581" t="s">
        <v>14</v>
      </c>
      <c r="D2581" t="s">
        <v>1338</v>
      </c>
      <c r="E2581">
        <v>3</v>
      </c>
      <c r="F2581" t="s">
        <v>3249</v>
      </c>
      <c r="G2581">
        <v>2023</v>
      </c>
      <c r="H2581" t="s">
        <v>49</v>
      </c>
      <c r="I2581" t="s">
        <v>32</v>
      </c>
      <c r="J2581">
        <v>799</v>
      </c>
      <c r="K2581">
        <v>205</v>
      </c>
      <c r="L2581">
        <f t="shared" si="636"/>
        <v>594</v>
      </c>
      <c r="M2581">
        <v>240</v>
      </c>
      <c r="N2581">
        <f t="shared" si="637"/>
        <v>354</v>
      </c>
    </row>
    <row r="2582" spans="1:14" x14ac:dyDescent="0.2">
      <c r="A2582" t="s">
        <v>3285</v>
      </c>
      <c r="B2582" s="1" t="s">
        <v>3280</v>
      </c>
      <c r="C2582" t="s">
        <v>14</v>
      </c>
      <c r="D2582" t="s">
        <v>308</v>
      </c>
      <c r="E2582">
        <v>3</v>
      </c>
      <c r="F2582" t="s">
        <v>3249</v>
      </c>
      <c r="G2582">
        <v>2023</v>
      </c>
      <c r="H2582" t="s">
        <v>435</v>
      </c>
      <c r="I2582" t="s">
        <v>58</v>
      </c>
      <c r="J2582">
        <v>899</v>
      </c>
      <c r="K2582">
        <v>295</v>
      </c>
      <c r="L2582">
        <f t="shared" si="636"/>
        <v>604</v>
      </c>
      <c r="M2582">
        <v>240</v>
      </c>
      <c r="N2582">
        <f t="shared" si="637"/>
        <v>364</v>
      </c>
    </row>
    <row r="2583" spans="1:14" x14ac:dyDescent="0.2">
      <c r="A2583" t="s">
        <v>3286</v>
      </c>
      <c r="B2583" s="1" t="s">
        <v>3280</v>
      </c>
      <c r="C2583" t="s">
        <v>14</v>
      </c>
      <c r="D2583" t="s">
        <v>548</v>
      </c>
      <c r="E2583">
        <v>3</v>
      </c>
      <c r="F2583" t="s">
        <v>3249</v>
      </c>
      <c r="G2583">
        <v>2023</v>
      </c>
      <c r="H2583" t="s">
        <v>3287</v>
      </c>
      <c r="I2583" t="s">
        <v>250</v>
      </c>
      <c r="J2583">
        <v>899</v>
      </c>
      <c r="K2583">
        <v>295</v>
      </c>
      <c r="L2583">
        <f t="shared" si="636"/>
        <v>604</v>
      </c>
      <c r="M2583">
        <v>240</v>
      </c>
      <c r="N2583">
        <f t="shared" si="637"/>
        <v>364</v>
      </c>
    </row>
    <row r="2584" spans="1:14" x14ac:dyDescent="0.2">
      <c r="A2584" t="s">
        <v>3288</v>
      </c>
      <c r="B2584" s="1" t="s">
        <v>3280</v>
      </c>
      <c r="C2584" t="s">
        <v>14</v>
      </c>
      <c r="D2584" t="s">
        <v>881</v>
      </c>
      <c r="E2584">
        <v>3</v>
      </c>
      <c r="F2584" t="s">
        <v>3249</v>
      </c>
      <c r="G2584">
        <v>2023</v>
      </c>
      <c r="H2584" t="s">
        <v>2564</v>
      </c>
      <c r="I2584" t="s">
        <v>62</v>
      </c>
      <c r="J2584">
        <v>799</v>
      </c>
      <c r="K2584">
        <v>205</v>
      </c>
      <c r="L2584">
        <f t="shared" si="636"/>
        <v>594</v>
      </c>
      <c r="M2584">
        <v>240</v>
      </c>
      <c r="N2584">
        <f t="shared" si="637"/>
        <v>354</v>
      </c>
    </row>
    <row r="2585" spans="1:14" x14ac:dyDescent="0.2">
      <c r="A2585" t="s">
        <v>3289</v>
      </c>
      <c r="B2585" s="1" t="s">
        <v>3280</v>
      </c>
      <c r="C2585" t="s">
        <v>14</v>
      </c>
      <c r="D2585" t="s">
        <v>3290</v>
      </c>
      <c r="E2585">
        <v>3</v>
      </c>
      <c r="F2585" t="s">
        <v>3249</v>
      </c>
      <c r="G2585">
        <v>2023</v>
      </c>
      <c r="H2585" t="s">
        <v>157</v>
      </c>
      <c r="I2585" t="s">
        <v>97</v>
      </c>
      <c r="J2585">
        <v>799</v>
      </c>
      <c r="K2585">
        <v>205</v>
      </c>
      <c r="L2585">
        <f t="shared" si="636"/>
        <v>594</v>
      </c>
      <c r="M2585">
        <v>240</v>
      </c>
      <c r="N2585">
        <f t="shared" si="637"/>
        <v>354</v>
      </c>
    </row>
    <row r="2586" spans="1:14" x14ac:dyDescent="0.2">
      <c r="A2586" t="s">
        <v>3291</v>
      </c>
      <c r="B2586" s="1" t="s">
        <v>3280</v>
      </c>
      <c r="C2586" t="s">
        <v>20</v>
      </c>
      <c r="D2586" t="s">
        <v>117</v>
      </c>
      <c r="E2586">
        <v>3</v>
      </c>
      <c r="F2586" t="s">
        <v>3249</v>
      </c>
      <c r="G2586">
        <v>2023</v>
      </c>
      <c r="H2586" t="s">
        <v>173</v>
      </c>
      <c r="I2586" t="s">
        <v>62</v>
      </c>
      <c r="J2586">
        <v>0</v>
      </c>
      <c r="K2586">
        <v>0</v>
      </c>
      <c r="L2586">
        <v>0</v>
      </c>
      <c r="M2586">
        <v>0</v>
      </c>
      <c r="N2586">
        <v>0</v>
      </c>
    </row>
    <row r="2587" spans="1:14" x14ac:dyDescent="0.2">
      <c r="A2587" t="s">
        <v>3281</v>
      </c>
      <c r="B2587" s="1" t="s">
        <v>3280</v>
      </c>
      <c r="C2587" t="s">
        <v>14</v>
      </c>
      <c r="D2587" t="s">
        <v>504</v>
      </c>
      <c r="E2587">
        <v>3</v>
      </c>
      <c r="F2587" t="s">
        <v>3249</v>
      </c>
      <c r="G2587">
        <v>2023</v>
      </c>
      <c r="H2587" t="s">
        <v>3282</v>
      </c>
      <c r="I2587" t="s">
        <v>32</v>
      </c>
      <c r="J2587">
        <v>899</v>
      </c>
      <c r="K2587">
        <v>295</v>
      </c>
      <c r="L2587">
        <f>J2587-K2587</f>
        <v>604</v>
      </c>
      <c r="M2587">
        <v>240</v>
      </c>
      <c r="N2587">
        <f>L2587-M2587</f>
        <v>364</v>
      </c>
    </row>
    <row r="2588" spans="1:14" x14ac:dyDescent="0.2">
      <c r="A2588" t="s">
        <v>3256</v>
      </c>
      <c r="B2588" s="1" t="s">
        <v>3247</v>
      </c>
      <c r="C2588" t="s">
        <v>106</v>
      </c>
      <c r="D2588" t="s">
        <v>840</v>
      </c>
      <c r="E2588">
        <v>1</v>
      </c>
      <c r="F2588" t="s">
        <v>3249</v>
      </c>
      <c r="G2588">
        <v>2023</v>
      </c>
      <c r="H2588" t="s">
        <v>549</v>
      </c>
      <c r="I2588" t="s">
        <v>163</v>
      </c>
      <c r="J2588">
        <v>-999</v>
      </c>
      <c r="K2588">
        <v>395</v>
      </c>
      <c r="L2588">
        <f>J2588+K2588</f>
        <v>-604</v>
      </c>
      <c r="M2588">
        <v>240</v>
      </c>
      <c r="N2588">
        <f>L2588+M2588</f>
        <v>-364</v>
      </c>
    </row>
    <row r="2589" spans="1:14" x14ac:dyDescent="0.2">
      <c r="A2589" t="s">
        <v>3293</v>
      </c>
      <c r="B2589" s="1" t="s">
        <v>3292</v>
      </c>
      <c r="C2589" t="s">
        <v>14</v>
      </c>
      <c r="D2589" t="s">
        <v>133</v>
      </c>
      <c r="E2589">
        <v>4</v>
      </c>
      <c r="F2589" t="s">
        <v>3249</v>
      </c>
      <c r="G2589">
        <v>2023</v>
      </c>
      <c r="H2589" t="s">
        <v>91</v>
      </c>
      <c r="I2589" t="s">
        <v>23</v>
      </c>
      <c r="J2589">
        <v>799</v>
      </c>
      <c r="K2589">
        <v>205</v>
      </c>
      <c r="L2589">
        <f t="shared" ref="L2589:L2598" si="638">J2589-K2589</f>
        <v>594</v>
      </c>
      <c r="M2589">
        <v>240</v>
      </c>
      <c r="N2589">
        <f t="shared" ref="N2589:N2598" si="639">L2589-M2589</f>
        <v>354</v>
      </c>
    </row>
    <row r="2590" spans="1:14" x14ac:dyDescent="0.2">
      <c r="A2590" t="s">
        <v>3294</v>
      </c>
      <c r="B2590" s="1" t="s">
        <v>3292</v>
      </c>
      <c r="C2590" t="s">
        <v>14</v>
      </c>
      <c r="D2590" t="s">
        <v>792</v>
      </c>
      <c r="E2590">
        <v>4</v>
      </c>
      <c r="F2590" t="s">
        <v>3249</v>
      </c>
      <c r="G2590">
        <v>2023</v>
      </c>
      <c r="H2590" t="s">
        <v>775</v>
      </c>
      <c r="I2590" t="s">
        <v>502</v>
      </c>
      <c r="J2590">
        <v>849</v>
      </c>
      <c r="K2590">
        <v>250</v>
      </c>
      <c r="L2590">
        <f t="shared" si="638"/>
        <v>599</v>
      </c>
      <c r="M2590">
        <v>240</v>
      </c>
      <c r="N2590">
        <f t="shared" si="639"/>
        <v>359</v>
      </c>
    </row>
    <row r="2591" spans="1:14" x14ac:dyDescent="0.2">
      <c r="A2591" t="s">
        <v>3295</v>
      </c>
      <c r="B2591" s="1" t="s">
        <v>3292</v>
      </c>
      <c r="C2591" t="s">
        <v>14</v>
      </c>
      <c r="D2591" t="s">
        <v>169</v>
      </c>
      <c r="E2591">
        <v>4</v>
      </c>
      <c r="F2591" t="s">
        <v>3249</v>
      </c>
      <c r="G2591">
        <v>2023</v>
      </c>
      <c r="H2591" t="s">
        <v>3296</v>
      </c>
      <c r="I2591" t="s">
        <v>97</v>
      </c>
      <c r="J2591">
        <v>799</v>
      </c>
      <c r="K2591">
        <v>205</v>
      </c>
      <c r="L2591">
        <f t="shared" si="638"/>
        <v>594</v>
      </c>
      <c r="M2591">
        <v>240</v>
      </c>
      <c r="N2591">
        <f t="shared" si="639"/>
        <v>354</v>
      </c>
    </row>
    <row r="2592" spans="1:14" x14ac:dyDescent="0.2">
      <c r="A2592" t="s">
        <v>3297</v>
      </c>
      <c r="B2592" s="1" t="s">
        <v>3292</v>
      </c>
      <c r="C2592" t="s">
        <v>14</v>
      </c>
      <c r="D2592" t="s">
        <v>1486</v>
      </c>
      <c r="E2592">
        <v>4</v>
      </c>
      <c r="F2592" t="s">
        <v>3249</v>
      </c>
      <c r="G2592">
        <v>2023</v>
      </c>
      <c r="H2592" t="s">
        <v>604</v>
      </c>
      <c r="I2592" t="s">
        <v>85</v>
      </c>
      <c r="J2592">
        <v>999</v>
      </c>
      <c r="K2592">
        <v>325</v>
      </c>
      <c r="L2592">
        <f t="shared" si="638"/>
        <v>674</v>
      </c>
      <c r="M2592">
        <v>240</v>
      </c>
      <c r="N2592">
        <f t="shared" si="639"/>
        <v>434</v>
      </c>
    </row>
    <row r="2593" spans="1:14" x14ac:dyDescent="0.2">
      <c r="A2593" t="s">
        <v>3298</v>
      </c>
      <c r="B2593" s="1" t="s">
        <v>3292</v>
      </c>
      <c r="C2593" t="s">
        <v>14</v>
      </c>
      <c r="D2593" t="s">
        <v>1193</v>
      </c>
      <c r="E2593">
        <v>4</v>
      </c>
      <c r="F2593" t="s">
        <v>3249</v>
      </c>
      <c r="G2593">
        <v>2023</v>
      </c>
      <c r="H2593" t="s">
        <v>3299</v>
      </c>
      <c r="I2593" t="s">
        <v>122</v>
      </c>
      <c r="J2593">
        <v>899</v>
      </c>
      <c r="K2593">
        <v>295</v>
      </c>
      <c r="L2593">
        <f t="shared" si="638"/>
        <v>604</v>
      </c>
      <c r="M2593">
        <v>240</v>
      </c>
      <c r="N2593">
        <f t="shared" si="639"/>
        <v>364</v>
      </c>
    </row>
    <row r="2594" spans="1:14" x14ac:dyDescent="0.2">
      <c r="A2594" t="s">
        <v>3300</v>
      </c>
      <c r="B2594" s="1" t="s">
        <v>3292</v>
      </c>
      <c r="C2594" t="s">
        <v>14</v>
      </c>
      <c r="D2594" t="s">
        <v>380</v>
      </c>
      <c r="E2594">
        <v>4</v>
      </c>
      <c r="F2594" t="s">
        <v>3249</v>
      </c>
      <c r="G2594">
        <v>2023</v>
      </c>
      <c r="H2594" t="s">
        <v>2997</v>
      </c>
      <c r="I2594" t="s">
        <v>23</v>
      </c>
      <c r="J2594">
        <v>849</v>
      </c>
      <c r="K2594">
        <v>250</v>
      </c>
      <c r="L2594">
        <f t="shared" si="638"/>
        <v>599</v>
      </c>
      <c r="M2594">
        <v>240</v>
      </c>
      <c r="N2594">
        <f t="shared" si="639"/>
        <v>359</v>
      </c>
    </row>
    <row r="2595" spans="1:14" x14ac:dyDescent="0.2">
      <c r="A2595" t="s">
        <v>3301</v>
      </c>
      <c r="B2595" s="1" t="s">
        <v>3292</v>
      </c>
      <c r="C2595" t="s">
        <v>14</v>
      </c>
      <c r="D2595" t="s">
        <v>504</v>
      </c>
      <c r="E2595">
        <v>4</v>
      </c>
      <c r="F2595" t="s">
        <v>3249</v>
      </c>
      <c r="G2595">
        <v>2023</v>
      </c>
      <c r="H2595" t="s">
        <v>1152</v>
      </c>
      <c r="I2595" t="s">
        <v>376</v>
      </c>
      <c r="J2595">
        <v>899</v>
      </c>
      <c r="K2595">
        <v>295</v>
      </c>
      <c r="L2595">
        <f t="shared" si="638"/>
        <v>604</v>
      </c>
      <c r="M2595">
        <v>240</v>
      </c>
      <c r="N2595">
        <f t="shared" si="639"/>
        <v>364</v>
      </c>
    </row>
    <row r="2596" spans="1:14" x14ac:dyDescent="0.2">
      <c r="A2596" t="s">
        <v>3302</v>
      </c>
      <c r="B2596" s="1" t="s">
        <v>3292</v>
      </c>
      <c r="C2596" t="s">
        <v>14</v>
      </c>
      <c r="D2596" t="s">
        <v>308</v>
      </c>
      <c r="E2596">
        <v>4</v>
      </c>
      <c r="F2596" t="s">
        <v>3249</v>
      </c>
      <c r="G2596">
        <v>2023</v>
      </c>
      <c r="H2596" t="s">
        <v>49</v>
      </c>
      <c r="I2596" t="s">
        <v>32</v>
      </c>
      <c r="J2596">
        <v>899</v>
      </c>
      <c r="K2596">
        <v>295</v>
      </c>
      <c r="L2596">
        <f t="shared" si="638"/>
        <v>604</v>
      </c>
      <c r="M2596">
        <v>240</v>
      </c>
      <c r="N2596">
        <f t="shared" si="639"/>
        <v>364</v>
      </c>
    </row>
    <row r="2597" spans="1:14" x14ac:dyDescent="0.2">
      <c r="A2597" t="s">
        <v>3303</v>
      </c>
      <c r="B2597" s="1" t="s">
        <v>3292</v>
      </c>
      <c r="C2597" t="s">
        <v>14</v>
      </c>
      <c r="D2597" t="s">
        <v>452</v>
      </c>
      <c r="E2597">
        <v>4</v>
      </c>
      <c r="F2597" t="s">
        <v>3249</v>
      </c>
      <c r="G2597">
        <v>2023</v>
      </c>
      <c r="H2597" t="s">
        <v>3304</v>
      </c>
      <c r="I2597" t="s">
        <v>2619</v>
      </c>
      <c r="J2597">
        <v>799</v>
      </c>
      <c r="K2597">
        <v>205</v>
      </c>
      <c r="L2597">
        <f t="shared" si="638"/>
        <v>594</v>
      </c>
      <c r="M2597">
        <v>240</v>
      </c>
      <c r="N2597">
        <f t="shared" si="639"/>
        <v>354</v>
      </c>
    </row>
    <row r="2598" spans="1:14" x14ac:dyDescent="0.2">
      <c r="A2598" t="s">
        <v>3305</v>
      </c>
      <c r="B2598" s="1" t="s">
        <v>3292</v>
      </c>
      <c r="C2598" t="s">
        <v>14</v>
      </c>
      <c r="D2598" t="s">
        <v>242</v>
      </c>
      <c r="E2598">
        <v>4</v>
      </c>
      <c r="F2598" t="s">
        <v>3249</v>
      </c>
      <c r="G2598">
        <v>2023</v>
      </c>
      <c r="H2598" t="s">
        <v>3306</v>
      </c>
      <c r="I2598" t="s">
        <v>62</v>
      </c>
      <c r="J2598">
        <v>899</v>
      </c>
      <c r="K2598">
        <v>295</v>
      </c>
      <c r="L2598">
        <f t="shared" si="638"/>
        <v>604</v>
      </c>
      <c r="M2598">
        <v>240</v>
      </c>
      <c r="N2598">
        <f t="shared" si="639"/>
        <v>364</v>
      </c>
    </row>
    <row r="2599" spans="1:14" x14ac:dyDescent="0.2">
      <c r="A2599" t="s">
        <v>3308</v>
      </c>
      <c r="B2599" s="1" t="s">
        <v>3307</v>
      </c>
      <c r="C2599" t="s">
        <v>43</v>
      </c>
      <c r="D2599" t="s">
        <v>1556</v>
      </c>
      <c r="E2599">
        <v>6</v>
      </c>
      <c r="F2599" t="s">
        <v>3249</v>
      </c>
      <c r="G2599">
        <v>2023</v>
      </c>
      <c r="H2599" t="s">
        <v>162</v>
      </c>
      <c r="I2599" t="s">
        <v>163</v>
      </c>
      <c r="J2599">
        <v>0</v>
      </c>
      <c r="K2599">
        <v>0</v>
      </c>
      <c r="L2599">
        <v>0</v>
      </c>
      <c r="M2599">
        <v>0</v>
      </c>
      <c r="N2599">
        <v>0</v>
      </c>
    </row>
    <row r="2600" spans="1:14" x14ac:dyDescent="0.2">
      <c r="A2600" t="s">
        <v>3308</v>
      </c>
      <c r="B2600" s="1" t="s">
        <v>3307</v>
      </c>
      <c r="C2600" t="s">
        <v>43</v>
      </c>
      <c r="D2600" t="s">
        <v>504</v>
      </c>
      <c r="E2600">
        <v>6</v>
      </c>
      <c r="F2600" t="s">
        <v>3249</v>
      </c>
      <c r="G2600">
        <v>2023</v>
      </c>
      <c r="H2600" t="s">
        <v>162</v>
      </c>
      <c r="I2600" t="s">
        <v>163</v>
      </c>
      <c r="J2600">
        <v>0</v>
      </c>
      <c r="K2600">
        <v>0</v>
      </c>
      <c r="L2600">
        <v>0</v>
      </c>
      <c r="M2600">
        <v>0</v>
      </c>
      <c r="N2600">
        <v>0</v>
      </c>
    </row>
    <row r="2601" spans="1:14" x14ac:dyDescent="0.2">
      <c r="A2601" t="s">
        <v>3310</v>
      </c>
      <c r="B2601" s="1" t="s">
        <v>3309</v>
      </c>
      <c r="C2601" t="s">
        <v>14</v>
      </c>
      <c r="D2601" t="s">
        <v>840</v>
      </c>
      <c r="E2601">
        <v>5</v>
      </c>
      <c r="F2601" t="s">
        <v>3249</v>
      </c>
      <c r="G2601">
        <v>2023</v>
      </c>
      <c r="H2601" t="s">
        <v>2049</v>
      </c>
      <c r="I2601" t="s">
        <v>85</v>
      </c>
      <c r="J2601">
        <v>999</v>
      </c>
      <c r="K2601">
        <v>325</v>
      </c>
      <c r="L2601">
        <f t="shared" ref="L2601:L2610" si="640">J2601-K2601</f>
        <v>674</v>
      </c>
      <c r="M2601">
        <v>240</v>
      </c>
      <c r="N2601">
        <f t="shared" ref="N2601:N2610" si="641">L2601-M2601</f>
        <v>434</v>
      </c>
    </row>
    <row r="2602" spans="1:14" x14ac:dyDescent="0.2">
      <c r="A2602" t="s">
        <v>3311</v>
      </c>
      <c r="B2602" s="1" t="s">
        <v>3309</v>
      </c>
      <c r="C2602" t="s">
        <v>14</v>
      </c>
      <c r="D2602" t="s">
        <v>81</v>
      </c>
      <c r="E2602">
        <v>5</v>
      </c>
      <c r="F2602" t="s">
        <v>3249</v>
      </c>
      <c r="G2602">
        <v>2023</v>
      </c>
      <c r="H2602" t="s">
        <v>246</v>
      </c>
      <c r="I2602" t="s">
        <v>58</v>
      </c>
      <c r="J2602">
        <v>849</v>
      </c>
      <c r="K2602">
        <v>250</v>
      </c>
      <c r="L2602">
        <f t="shared" si="640"/>
        <v>599</v>
      </c>
      <c r="M2602">
        <v>240</v>
      </c>
      <c r="N2602">
        <f t="shared" si="641"/>
        <v>359</v>
      </c>
    </row>
    <row r="2603" spans="1:14" x14ac:dyDescent="0.2">
      <c r="A2603" t="s">
        <v>3312</v>
      </c>
      <c r="B2603" s="1" t="s">
        <v>3309</v>
      </c>
      <c r="C2603" t="s">
        <v>14</v>
      </c>
      <c r="D2603" t="s">
        <v>1937</v>
      </c>
      <c r="E2603">
        <v>5</v>
      </c>
      <c r="F2603" t="s">
        <v>3249</v>
      </c>
      <c r="G2603">
        <v>2023</v>
      </c>
      <c r="H2603" t="s">
        <v>3313</v>
      </c>
      <c r="I2603" t="s">
        <v>32</v>
      </c>
      <c r="J2603">
        <v>799</v>
      </c>
      <c r="K2603">
        <v>205</v>
      </c>
      <c r="L2603">
        <f t="shared" si="640"/>
        <v>594</v>
      </c>
      <c r="M2603">
        <v>240</v>
      </c>
      <c r="N2603">
        <f t="shared" si="641"/>
        <v>354</v>
      </c>
    </row>
    <row r="2604" spans="1:14" x14ac:dyDescent="0.2">
      <c r="A2604" t="s">
        <v>3314</v>
      </c>
      <c r="B2604" s="1" t="s">
        <v>3309</v>
      </c>
      <c r="C2604" t="s">
        <v>14</v>
      </c>
      <c r="D2604" t="s">
        <v>445</v>
      </c>
      <c r="E2604">
        <v>5</v>
      </c>
      <c r="F2604" t="s">
        <v>3249</v>
      </c>
      <c r="G2604">
        <v>2023</v>
      </c>
      <c r="H2604" t="s">
        <v>309</v>
      </c>
      <c r="I2604" t="s">
        <v>212</v>
      </c>
      <c r="J2604">
        <v>899</v>
      </c>
      <c r="K2604">
        <v>295</v>
      </c>
      <c r="L2604">
        <f t="shared" si="640"/>
        <v>604</v>
      </c>
      <c r="M2604">
        <v>240</v>
      </c>
      <c r="N2604">
        <f t="shared" si="641"/>
        <v>364</v>
      </c>
    </row>
    <row r="2605" spans="1:14" x14ac:dyDescent="0.2">
      <c r="A2605" t="s">
        <v>3315</v>
      </c>
      <c r="B2605" s="1" t="s">
        <v>3309</v>
      </c>
      <c r="C2605" t="s">
        <v>14</v>
      </c>
      <c r="D2605" t="s">
        <v>1076</v>
      </c>
      <c r="E2605">
        <v>5</v>
      </c>
      <c r="F2605" t="s">
        <v>3249</v>
      </c>
      <c r="G2605">
        <v>2023</v>
      </c>
      <c r="H2605" t="s">
        <v>3316</v>
      </c>
      <c r="I2605" t="s">
        <v>85</v>
      </c>
      <c r="J2605">
        <v>849</v>
      </c>
      <c r="K2605">
        <v>250</v>
      </c>
      <c r="L2605">
        <f t="shared" si="640"/>
        <v>599</v>
      </c>
      <c r="M2605">
        <v>240</v>
      </c>
      <c r="N2605">
        <f t="shared" si="641"/>
        <v>359</v>
      </c>
    </row>
    <row r="2606" spans="1:14" x14ac:dyDescent="0.2">
      <c r="A2606" t="s">
        <v>3317</v>
      </c>
      <c r="B2606" s="1" t="s">
        <v>3309</v>
      </c>
      <c r="C2606" t="s">
        <v>14</v>
      </c>
      <c r="D2606" t="s">
        <v>840</v>
      </c>
      <c r="E2606">
        <v>5</v>
      </c>
      <c r="F2606" t="s">
        <v>3249</v>
      </c>
      <c r="G2606">
        <v>2023</v>
      </c>
      <c r="H2606" t="s">
        <v>3313</v>
      </c>
      <c r="I2606" t="s">
        <v>32</v>
      </c>
      <c r="J2606">
        <v>999</v>
      </c>
      <c r="K2606">
        <v>325</v>
      </c>
      <c r="L2606">
        <f t="shared" si="640"/>
        <v>674</v>
      </c>
      <c r="M2606">
        <v>240</v>
      </c>
      <c r="N2606">
        <f t="shared" si="641"/>
        <v>434</v>
      </c>
    </row>
    <row r="2607" spans="1:14" x14ac:dyDescent="0.2">
      <c r="A2607" t="s">
        <v>3318</v>
      </c>
      <c r="B2607" s="1" t="s">
        <v>3309</v>
      </c>
      <c r="C2607" t="s">
        <v>14</v>
      </c>
      <c r="D2607" t="s">
        <v>940</v>
      </c>
      <c r="E2607">
        <v>5</v>
      </c>
      <c r="F2607" t="s">
        <v>3249</v>
      </c>
      <c r="G2607">
        <v>2023</v>
      </c>
      <c r="H2607" t="s">
        <v>3319</v>
      </c>
      <c r="I2607" t="s">
        <v>32</v>
      </c>
      <c r="J2607">
        <v>799</v>
      </c>
      <c r="K2607">
        <v>205</v>
      </c>
      <c r="L2607">
        <f t="shared" si="640"/>
        <v>594</v>
      </c>
      <c r="M2607">
        <v>240</v>
      </c>
      <c r="N2607">
        <f t="shared" si="641"/>
        <v>354</v>
      </c>
    </row>
    <row r="2608" spans="1:14" x14ac:dyDescent="0.2">
      <c r="A2608" t="s">
        <v>3320</v>
      </c>
      <c r="B2608" s="1" t="s">
        <v>3309</v>
      </c>
      <c r="C2608" t="s">
        <v>14</v>
      </c>
      <c r="D2608" t="s">
        <v>452</v>
      </c>
      <c r="E2608">
        <v>5</v>
      </c>
      <c r="F2608" t="s">
        <v>3249</v>
      </c>
      <c r="G2608">
        <v>2023</v>
      </c>
      <c r="H2608" t="s">
        <v>61</v>
      </c>
      <c r="I2608" t="s">
        <v>62</v>
      </c>
      <c r="J2608">
        <v>799</v>
      </c>
      <c r="K2608">
        <v>205</v>
      </c>
      <c r="L2608">
        <f t="shared" si="640"/>
        <v>594</v>
      </c>
      <c r="M2608">
        <v>240</v>
      </c>
      <c r="N2608">
        <f t="shared" si="641"/>
        <v>354</v>
      </c>
    </row>
    <row r="2609" spans="1:14" x14ac:dyDescent="0.2">
      <c r="A2609" t="s">
        <v>3321</v>
      </c>
      <c r="B2609" s="1" t="s">
        <v>3309</v>
      </c>
      <c r="C2609" t="s">
        <v>14</v>
      </c>
      <c r="D2609" t="s">
        <v>3322</v>
      </c>
      <c r="E2609">
        <v>5</v>
      </c>
      <c r="F2609" t="s">
        <v>3249</v>
      </c>
      <c r="G2609">
        <v>2023</v>
      </c>
      <c r="H2609" t="s">
        <v>71</v>
      </c>
      <c r="I2609" t="s">
        <v>62</v>
      </c>
      <c r="J2609">
        <v>849</v>
      </c>
      <c r="K2609">
        <v>250</v>
      </c>
      <c r="L2609">
        <f t="shared" si="640"/>
        <v>599</v>
      </c>
      <c r="M2609">
        <v>240</v>
      </c>
      <c r="N2609">
        <f t="shared" si="641"/>
        <v>359</v>
      </c>
    </row>
    <row r="2610" spans="1:14" x14ac:dyDescent="0.2">
      <c r="A2610" t="s">
        <v>3323</v>
      </c>
      <c r="B2610" s="1" t="s">
        <v>3309</v>
      </c>
      <c r="C2610" t="s">
        <v>14</v>
      </c>
      <c r="D2610" t="s">
        <v>1212</v>
      </c>
      <c r="E2610">
        <v>5</v>
      </c>
      <c r="F2610" t="s">
        <v>3249</v>
      </c>
      <c r="G2610">
        <v>2023</v>
      </c>
      <c r="H2610" t="s">
        <v>398</v>
      </c>
      <c r="I2610" t="s">
        <v>399</v>
      </c>
      <c r="J2610">
        <v>799</v>
      </c>
      <c r="K2610">
        <v>205</v>
      </c>
      <c r="L2610">
        <f t="shared" si="640"/>
        <v>594</v>
      </c>
      <c r="M2610">
        <v>240</v>
      </c>
      <c r="N2610">
        <f t="shared" si="641"/>
        <v>354</v>
      </c>
    </row>
    <row r="2611" spans="1:14" x14ac:dyDescent="0.2">
      <c r="A2611" t="s">
        <v>3325</v>
      </c>
      <c r="B2611" s="1" t="s">
        <v>3324</v>
      </c>
      <c r="C2611" t="s">
        <v>43</v>
      </c>
      <c r="D2611" t="s">
        <v>242</v>
      </c>
      <c r="E2611">
        <v>7</v>
      </c>
      <c r="F2611" t="s">
        <v>3249</v>
      </c>
      <c r="G2611">
        <v>2023</v>
      </c>
      <c r="H2611" t="s">
        <v>2491</v>
      </c>
      <c r="I2611" t="s">
        <v>97</v>
      </c>
      <c r="J2611">
        <v>0</v>
      </c>
      <c r="K2611">
        <v>0</v>
      </c>
      <c r="L2611">
        <v>0</v>
      </c>
      <c r="M2611">
        <v>0</v>
      </c>
      <c r="N2611">
        <v>0</v>
      </c>
    </row>
    <row r="2612" spans="1:14" x14ac:dyDescent="0.2">
      <c r="A2612" t="s">
        <v>3260</v>
      </c>
      <c r="B2612" s="1" t="s">
        <v>3259</v>
      </c>
      <c r="C2612" t="s">
        <v>106</v>
      </c>
      <c r="D2612" t="s">
        <v>1508</v>
      </c>
      <c r="E2612">
        <v>2</v>
      </c>
      <c r="F2612" t="s">
        <v>3249</v>
      </c>
      <c r="G2612">
        <v>2023</v>
      </c>
      <c r="H2612" t="s">
        <v>538</v>
      </c>
      <c r="I2612" t="s">
        <v>253</v>
      </c>
      <c r="J2612">
        <v>-999</v>
      </c>
      <c r="K2612">
        <v>395</v>
      </c>
      <c r="L2612">
        <f>J2612+K2612</f>
        <v>-604</v>
      </c>
      <c r="M2612">
        <v>240</v>
      </c>
      <c r="N2612">
        <f>L2612+M2612</f>
        <v>-364</v>
      </c>
    </row>
    <row r="2613" spans="1:14" x14ac:dyDescent="0.2">
      <c r="A2613" t="s">
        <v>3326</v>
      </c>
      <c r="B2613" s="1" t="s">
        <v>3307</v>
      </c>
      <c r="C2613" t="s">
        <v>14</v>
      </c>
      <c r="D2613" t="s">
        <v>573</v>
      </c>
      <c r="E2613">
        <v>6</v>
      </c>
      <c r="F2613" t="s">
        <v>3249</v>
      </c>
      <c r="G2613">
        <v>2023</v>
      </c>
      <c r="H2613" t="s">
        <v>1137</v>
      </c>
      <c r="I2613" t="s">
        <v>58</v>
      </c>
      <c r="J2613">
        <v>899</v>
      </c>
      <c r="K2613">
        <v>295</v>
      </c>
      <c r="L2613">
        <f t="shared" ref="L2613:L2616" si="642">J2613-K2613</f>
        <v>604</v>
      </c>
      <c r="M2613">
        <v>240</v>
      </c>
      <c r="N2613">
        <f t="shared" ref="N2613:N2616" si="643">L2613-M2613</f>
        <v>364</v>
      </c>
    </row>
    <row r="2614" spans="1:14" x14ac:dyDescent="0.2">
      <c r="A2614" t="s">
        <v>3327</v>
      </c>
      <c r="B2614" s="1" t="s">
        <v>3307</v>
      </c>
      <c r="C2614" t="s">
        <v>14</v>
      </c>
      <c r="D2614" t="s">
        <v>1486</v>
      </c>
      <c r="E2614">
        <v>6</v>
      </c>
      <c r="F2614" t="s">
        <v>3249</v>
      </c>
      <c r="G2614">
        <v>2023</v>
      </c>
      <c r="H2614" t="s">
        <v>3328</v>
      </c>
      <c r="I2614" t="s">
        <v>28</v>
      </c>
      <c r="J2614">
        <v>999</v>
      </c>
      <c r="K2614">
        <v>325</v>
      </c>
      <c r="L2614">
        <f t="shared" si="642"/>
        <v>674</v>
      </c>
      <c r="M2614">
        <v>240</v>
      </c>
      <c r="N2614">
        <f t="shared" si="643"/>
        <v>434</v>
      </c>
    </row>
    <row r="2615" spans="1:14" x14ac:dyDescent="0.2">
      <c r="A2615" t="s">
        <v>3329</v>
      </c>
      <c r="B2615" s="1" t="s">
        <v>3307</v>
      </c>
      <c r="C2615" t="s">
        <v>14</v>
      </c>
      <c r="D2615" t="s">
        <v>573</v>
      </c>
      <c r="E2615">
        <v>6</v>
      </c>
      <c r="F2615" t="s">
        <v>3249</v>
      </c>
      <c r="G2615">
        <v>2023</v>
      </c>
      <c r="H2615" t="s">
        <v>2032</v>
      </c>
      <c r="I2615" t="s">
        <v>58</v>
      </c>
      <c r="J2615">
        <v>899</v>
      </c>
      <c r="K2615">
        <v>295</v>
      </c>
      <c r="L2615">
        <f t="shared" si="642"/>
        <v>604</v>
      </c>
      <c r="M2615">
        <v>240</v>
      </c>
      <c r="N2615">
        <f t="shared" si="643"/>
        <v>364</v>
      </c>
    </row>
    <row r="2616" spans="1:14" x14ac:dyDescent="0.2">
      <c r="A2616" t="s">
        <v>3330</v>
      </c>
      <c r="B2616" s="1" t="s">
        <v>3307</v>
      </c>
      <c r="C2616" t="s">
        <v>14</v>
      </c>
      <c r="D2616" t="s">
        <v>380</v>
      </c>
      <c r="E2616">
        <v>6</v>
      </c>
      <c r="F2616" t="s">
        <v>3249</v>
      </c>
      <c r="G2616">
        <v>2023</v>
      </c>
      <c r="H2616" t="s">
        <v>246</v>
      </c>
      <c r="I2616" t="s">
        <v>58</v>
      </c>
      <c r="J2616">
        <v>849</v>
      </c>
      <c r="K2616">
        <v>250</v>
      </c>
      <c r="L2616">
        <f t="shared" si="642"/>
        <v>599</v>
      </c>
      <c r="M2616">
        <v>240</v>
      </c>
      <c r="N2616">
        <f t="shared" si="643"/>
        <v>359</v>
      </c>
    </row>
    <row r="2617" spans="1:14" x14ac:dyDescent="0.2">
      <c r="A2617" t="s">
        <v>3331</v>
      </c>
      <c r="B2617" s="1" t="s">
        <v>3307</v>
      </c>
      <c r="C2617" t="s">
        <v>20</v>
      </c>
      <c r="D2617" t="s">
        <v>812</v>
      </c>
      <c r="E2617">
        <v>6</v>
      </c>
      <c r="F2617" t="s">
        <v>3249</v>
      </c>
      <c r="G2617">
        <v>2023</v>
      </c>
      <c r="H2617" t="s">
        <v>185</v>
      </c>
      <c r="I2617" t="s">
        <v>62</v>
      </c>
      <c r="J2617">
        <v>0</v>
      </c>
      <c r="K2617">
        <v>0</v>
      </c>
      <c r="L2617">
        <v>0</v>
      </c>
      <c r="M2617">
        <v>0</v>
      </c>
      <c r="N2617">
        <v>0</v>
      </c>
    </row>
    <row r="2618" spans="1:14" x14ac:dyDescent="0.2">
      <c r="A2618" t="s">
        <v>3332</v>
      </c>
      <c r="B2618" s="1" t="s">
        <v>3307</v>
      </c>
      <c r="C2618" t="s">
        <v>14</v>
      </c>
      <c r="D2618" t="s">
        <v>2142</v>
      </c>
      <c r="E2618">
        <v>6</v>
      </c>
      <c r="F2618" t="s">
        <v>3249</v>
      </c>
      <c r="G2618">
        <v>2023</v>
      </c>
      <c r="H2618" t="s">
        <v>474</v>
      </c>
      <c r="I2618" t="s">
        <v>62</v>
      </c>
      <c r="J2618">
        <v>849</v>
      </c>
      <c r="K2618">
        <v>250</v>
      </c>
      <c r="L2618">
        <f>J2618-K2618</f>
        <v>599</v>
      </c>
      <c r="M2618">
        <v>240</v>
      </c>
      <c r="N2618">
        <f>L2618-M2618</f>
        <v>359</v>
      </c>
    </row>
    <row r="2619" spans="1:14" x14ac:dyDescent="0.2">
      <c r="A2619" t="s">
        <v>3333</v>
      </c>
      <c r="B2619" s="1" t="s">
        <v>3307</v>
      </c>
      <c r="C2619" t="s">
        <v>20</v>
      </c>
      <c r="D2619" t="s">
        <v>1809</v>
      </c>
      <c r="E2619">
        <v>6</v>
      </c>
      <c r="F2619" t="s">
        <v>3249</v>
      </c>
      <c r="G2619">
        <v>2023</v>
      </c>
      <c r="H2619" t="s">
        <v>415</v>
      </c>
      <c r="I2619" t="s">
        <v>135</v>
      </c>
      <c r="J2619">
        <v>0</v>
      </c>
      <c r="K2619">
        <v>0</v>
      </c>
      <c r="L2619">
        <v>0</v>
      </c>
      <c r="M2619">
        <v>0</v>
      </c>
      <c r="N2619">
        <v>0</v>
      </c>
    </row>
    <row r="2620" spans="1:14" x14ac:dyDescent="0.2">
      <c r="A2620" t="s">
        <v>3334</v>
      </c>
      <c r="B2620" s="1" t="s">
        <v>3307</v>
      </c>
      <c r="C2620" t="s">
        <v>14</v>
      </c>
      <c r="D2620" t="s">
        <v>81</v>
      </c>
      <c r="E2620">
        <v>6</v>
      </c>
      <c r="F2620" t="s">
        <v>3249</v>
      </c>
      <c r="G2620">
        <v>2023</v>
      </c>
      <c r="H2620" t="s">
        <v>246</v>
      </c>
      <c r="I2620" t="s">
        <v>58</v>
      </c>
      <c r="J2620">
        <v>849</v>
      </c>
      <c r="K2620">
        <v>250</v>
      </c>
      <c r="L2620">
        <f t="shared" ref="L2620:L2629" si="644">J2620-K2620</f>
        <v>599</v>
      </c>
      <c r="M2620">
        <v>240</v>
      </c>
      <c r="N2620">
        <f t="shared" ref="N2620:N2629" si="645">L2620-M2620</f>
        <v>359</v>
      </c>
    </row>
    <row r="2621" spans="1:14" x14ac:dyDescent="0.2">
      <c r="A2621" t="s">
        <v>3335</v>
      </c>
      <c r="B2621" s="1" t="s">
        <v>3307</v>
      </c>
      <c r="C2621" t="s">
        <v>14</v>
      </c>
      <c r="D2621" t="s">
        <v>242</v>
      </c>
      <c r="E2621">
        <v>6</v>
      </c>
      <c r="F2621" t="s">
        <v>3249</v>
      </c>
      <c r="G2621">
        <v>2023</v>
      </c>
      <c r="H2621" t="s">
        <v>1230</v>
      </c>
      <c r="I2621" t="s">
        <v>28</v>
      </c>
      <c r="J2621">
        <v>899</v>
      </c>
      <c r="K2621">
        <v>295</v>
      </c>
      <c r="L2621">
        <f t="shared" si="644"/>
        <v>604</v>
      </c>
      <c r="M2621">
        <v>240</v>
      </c>
      <c r="N2621">
        <f t="shared" si="645"/>
        <v>364</v>
      </c>
    </row>
    <row r="2622" spans="1:14" x14ac:dyDescent="0.2">
      <c r="A2622" t="s">
        <v>3336</v>
      </c>
      <c r="B2622" s="1" t="s">
        <v>3307</v>
      </c>
      <c r="C2622" t="s">
        <v>14</v>
      </c>
      <c r="D2622" t="s">
        <v>490</v>
      </c>
      <c r="E2622">
        <v>6</v>
      </c>
      <c r="F2622" t="s">
        <v>3249</v>
      </c>
      <c r="G2622">
        <v>2023</v>
      </c>
      <c r="H2622" t="s">
        <v>3337</v>
      </c>
      <c r="I2622" t="s">
        <v>212</v>
      </c>
      <c r="J2622">
        <v>899</v>
      </c>
      <c r="K2622">
        <v>295</v>
      </c>
      <c r="L2622">
        <f t="shared" si="644"/>
        <v>604</v>
      </c>
      <c r="M2622">
        <v>240</v>
      </c>
      <c r="N2622">
        <f t="shared" si="645"/>
        <v>364</v>
      </c>
    </row>
    <row r="2623" spans="1:14" x14ac:dyDescent="0.2">
      <c r="A2623" t="s">
        <v>3338</v>
      </c>
      <c r="B2623" s="1" t="s">
        <v>3307</v>
      </c>
      <c r="C2623" t="s">
        <v>14</v>
      </c>
      <c r="D2623" t="s">
        <v>1233</v>
      </c>
      <c r="E2623">
        <v>6</v>
      </c>
      <c r="F2623" t="s">
        <v>3249</v>
      </c>
      <c r="G2623">
        <v>2023</v>
      </c>
      <c r="H2623" t="s">
        <v>1876</v>
      </c>
      <c r="I2623" t="s">
        <v>250</v>
      </c>
      <c r="J2623">
        <v>799</v>
      </c>
      <c r="K2623">
        <v>205</v>
      </c>
      <c r="L2623">
        <f t="shared" si="644"/>
        <v>594</v>
      </c>
      <c r="M2623">
        <v>240</v>
      </c>
      <c r="N2623">
        <f t="shared" si="645"/>
        <v>354</v>
      </c>
    </row>
    <row r="2624" spans="1:14" x14ac:dyDescent="0.2">
      <c r="A2624" t="s">
        <v>3339</v>
      </c>
      <c r="B2624" s="1" t="s">
        <v>3307</v>
      </c>
      <c r="C2624" t="s">
        <v>14</v>
      </c>
      <c r="D2624" t="s">
        <v>133</v>
      </c>
      <c r="E2624">
        <v>6</v>
      </c>
      <c r="F2624" t="s">
        <v>3249</v>
      </c>
      <c r="G2624">
        <v>2023</v>
      </c>
      <c r="H2624" t="s">
        <v>71</v>
      </c>
      <c r="I2624" t="s">
        <v>62</v>
      </c>
      <c r="J2624">
        <v>799</v>
      </c>
      <c r="K2624">
        <v>205</v>
      </c>
      <c r="L2624">
        <f t="shared" si="644"/>
        <v>594</v>
      </c>
      <c r="M2624">
        <v>240</v>
      </c>
      <c r="N2624">
        <f t="shared" si="645"/>
        <v>354</v>
      </c>
    </row>
    <row r="2625" spans="1:14" x14ac:dyDescent="0.2">
      <c r="A2625" t="s">
        <v>3308</v>
      </c>
      <c r="B2625" s="1" t="s">
        <v>3307</v>
      </c>
      <c r="C2625" t="s">
        <v>14</v>
      </c>
      <c r="D2625" t="s">
        <v>504</v>
      </c>
      <c r="E2625">
        <v>6</v>
      </c>
      <c r="F2625" t="s">
        <v>3249</v>
      </c>
      <c r="G2625">
        <v>2023</v>
      </c>
      <c r="H2625" t="s">
        <v>162</v>
      </c>
      <c r="I2625" t="s">
        <v>163</v>
      </c>
      <c r="J2625">
        <v>899</v>
      </c>
      <c r="K2625">
        <v>295</v>
      </c>
      <c r="L2625">
        <f t="shared" si="644"/>
        <v>604</v>
      </c>
      <c r="M2625">
        <v>240</v>
      </c>
      <c r="N2625">
        <f t="shared" si="645"/>
        <v>364</v>
      </c>
    </row>
    <row r="2626" spans="1:14" x14ac:dyDescent="0.2">
      <c r="A2626" t="s">
        <v>3308</v>
      </c>
      <c r="B2626" s="1" t="s">
        <v>3307</v>
      </c>
      <c r="C2626" t="s">
        <v>14</v>
      </c>
      <c r="D2626" t="s">
        <v>1556</v>
      </c>
      <c r="E2626">
        <v>6</v>
      </c>
      <c r="F2626" t="s">
        <v>3249</v>
      </c>
      <c r="G2626">
        <v>2023</v>
      </c>
      <c r="H2626" t="s">
        <v>162</v>
      </c>
      <c r="I2626" t="s">
        <v>163</v>
      </c>
      <c r="J2626">
        <v>899</v>
      </c>
      <c r="K2626">
        <v>295</v>
      </c>
      <c r="L2626">
        <f t="shared" si="644"/>
        <v>604</v>
      </c>
      <c r="M2626">
        <v>240</v>
      </c>
      <c r="N2626">
        <f t="shared" si="645"/>
        <v>364</v>
      </c>
    </row>
    <row r="2627" spans="1:14" x14ac:dyDescent="0.2">
      <c r="A2627" t="s">
        <v>3340</v>
      </c>
      <c r="B2627" s="1" t="s">
        <v>3307</v>
      </c>
      <c r="C2627" t="s">
        <v>14</v>
      </c>
      <c r="D2627" t="s">
        <v>895</v>
      </c>
      <c r="E2627">
        <v>6</v>
      </c>
      <c r="F2627" t="s">
        <v>3249</v>
      </c>
      <c r="G2627">
        <v>2023</v>
      </c>
      <c r="H2627" t="s">
        <v>46</v>
      </c>
      <c r="I2627" t="s">
        <v>23</v>
      </c>
      <c r="J2627">
        <v>849</v>
      </c>
      <c r="K2627">
        <v>250</v>
      </c>
      <c r="L2627">
        <f t="shared" si="644"/>
        <v>599</v>
      </c>
      <c r="M2627">
        <v>240</v>
      </c>
      <c r="N2627">
        <f t="shared" si="645"/>
        <v>359</v>
      </c>
    </row>
    <row r="2628" spans="1:14" x14ac:dyDescent="0.2">
      <c r="A2628" t="s">
        <v>3341</v>
      </c>
      <c r="B2628" s="1" t="s">
        <v>3307</v>
      </c>
      <c r="C2628" t="s">
        <v>14</v>
      </c>
      <c r="D2628" t="s">
        <v>993</v>
      </c>
      <c r="E2628">
        <v>6</v>
      </c>
      <c r="F2628" t="s">
        <v>3249</v>
      </c>
      <c r="G2628">
        <v>2023</v>
      </c>
      <c r="H2628" t="s">
        <v>3135</v>
      </c>
      <c r="I2628" t="s">
        <v>135</v>
      </c>
      <c r="J2628">
        <v>799</v>
      </c>
      <c r="K2628">
        <v>205</v>
      </c>
      <c r="L2628">
        <f t="shared" si="644"/>
        <v>594</v>
      </c>
      <c r="M2628">
        <v>240</v>
      </c>
      <c r="N2628">
        <f t="shared" si="645"/>
        <v>354</v>
      </c>
    </row>
    <row r="2629" spans="1:14" x14ac:dyDescent="0.2">
      <c r="A2629" t="s">
        <v>3342</v>
      </c>
      <c r="B2629" s="1" t="s">
        <v>3307</v>
      </c>
      <c r="C2629" t="s">
        <v>14</v>
      </c>
      <c r="D2629" t="s">
        <v>133</v>
      </c>
      <c r="E2629">
        <v>6</v>
      </c>
      <c r="F2629" t="s">
        <v>3249</v>
      </c>
      <c r="G2629">
        <v>2023</v>
      </c>
      <c r="H2629" t="s">
        <v>249</v>
      </c>
      <c r="I2629" t="s">
        <v>250</v>
      </c>
      <c r="J2629">
        <v>799</v>
      </c>
      <c r="K2629">
        <v>205</v>
      </c>
      <c r="L2629">
        <f t="shared" si="644"/>
        <v>594</v>
      </c>
      <c r="M2629">
        <v>240</v>
      </c>
      <c r="N2629">
        <f t="shared" si="645"/>
        <v>354</v>
      </c>
    </row>
    <row r="2630" spans="1:14" x14ac:dyDescent="0.2">
      <c r="A2630" t="s">
        <v>3258</v>
      </c>
      <c r="B2630" s="1" t="s">
        <v>3247</v>
      </c>
      <c r="C2630" t="s">
        <v>106</v>
      </c>
      <c r="D2630" t="s">
        <v>840</v>
      </c>
      <c r="E2630">
        <v>1</v>
      </c>
      <c r="F2630" t="s">
        <v>3249</v>
      </c>
      <c r="G2630">
        <v>2023</v>
      </c>
      <c r="H2630" t="s">
        <v>314</v>
      </c>
      <c r="I2630" t="s">
        <v>58</v>
      </c>
      <c r="J2630">
        <v>-999</v>
      </c>
      <c r="K2630">
        <v>395</v>
      </c>
      <c r="L2630">
        <f>J2630+K2630</f>
        <v>-604</v>
      </c>
      <c r="M2630">
        <v>240</v>
      </c>
      <c r="N2630">
        <f>L2630+M2630</f>
        <v>-364</v>
      </c>
    </row>
    <row r="2631" spans="1:14" x14ac:dyDescent="0.2">
      <c r="A2631" t="s">
        <v>3343</v>
      </c>
      <c r="B2631" s="1" t="s">
        <v>3324</v>
      </c>
      <c r="C2631" t="s">
        <v>43</v>
      </c>
      <c r="D2631" t="s">
        <v>420</v>
      </c>
      <c r="E2631">
        <v>7</v>
      </c>
      <c r="F2631" t="s">
        <v>3249</v>
      </c>
      <c r="G2631">
        <v>2023</v>
      </c>
      <c r="H2631" t="s">
        <v>3344</v>
      </c>
      <c r="I2631" t="s">
        <v>62</v>
      </c>
      <c r="J2631">
        <v>0</v>
      </c>
      <c r="K2631">
        <v>0</v>
      </c>
      <c r="L2631">
        <v>0</v>
      </c>
      <c r="M2631">
        <v>0</v>
      </c>
      <c r="N2631">
        <v>0</v>
      </c>
    </row>
    <row r="2632" spans="1:14" x14ac:dyDescent="0.2">
      <c r="A2632" t="s">
        <v>3346</v>
      </c>
      <c r="B2632" s="1" t="s">
        <v>3345</v>
      </c>
      <c r="C2632" t="s">
        <v>43</v>
      </c>
      <c r="D2632" t="s">
        <v>940</v>
      </c>
      <c r="E2632">
        <v>8</v>
      </c>
      <c r="F2632" t="s">
        <v>3249</v>
      </c>
      <c r="G2632">
        <v>2023</v>
      </c>
      <c r="H2632" t="s">
        <v>235</v>
      </c>
      <c r="I2632" t="s">
        <v>62</v>
      </c>
      <c r="J2632">
        <v>0</v>
      </c>
      <c r="K2632">
        <v>0</v>
      </c>
      <c r="L2632">
        <v>0</v>
      </c>
      <c r="M2632">
        <v>0</v>
      </c>
      <c r="N2632">
        <v>0</v>
      </c>
    </row>
    <row r="2633" spans="1:14" x14ac:dyDescent="0.2">
      <c r="A2633" t="s">
        <v>3332</v>
      </c>
      <c r="B2633" s="1" t="s">
        <v>3307</v>
      </c>
      <c r="C2633" t="s">
        <v>106</v>
      </c>
      <c r="D2633" t="s">
        <v>2142</v>
      </c>
      <c r="E2633">
        <v>6</v>
      </c>
      <c r="F2633" t="s">
        <v>3249</v>
      </c>
      <c r="G2633">
        <v>2023</v>
      </c>
      <c r="H2633" t="s">
        <v>474</v>
      </c>
      <c r="I2633" t="s">
        <v>62</v>
      </c>
      <c r="J2633">
        <v>-849</v>
      </c>
      <c r="K2633">
        <v>345</v>
      </c>
      <c r="L2633">
        <f t="shared" ref="L2633:L2634" si="646">J2633+K2633</f>
        <v>-504</v>
      </c>
      <c r="M2633">
        <v>240</v>
      </c>
      <c r="N2633">
        <f t="shared" ref="N2633:N2634" si="647">L2633+M2633</f>
        <v>-264</v>
      </c>
    </row>
    <row r="2634" spans="1:14" x14ac:dyDescent="0.2">
      <c r="A2634" t="s">
        <v>3335</v>
      </c>
      <c r="B2634" s="1" t="s">
        <v>3307</v>
      </c>
      <c r="C2634" t="s">
        <v>106</v>
      </c>
      <c r="D2634" t="s">
        <v>242</v>
      </c>
      <c r="E2634">
        <v>6</v>
      </c>
      <c r="F2634" t="s">
        <v>3249</v>
      </c>
      <c r="G2634">
        <v>2023</v>
      </c>
      <c r="H2634" t="s">
        <v>1230</v>
      </c>
      <c r="I2634" t="s">
        <v>28</v>
      </c>
      <c r="J2634">
        <v>-899</v>
      </c>
      <c r="K2634">
        <v>375</v>
      </c>
      <c r="L2634">
        <f t="shared" si="646"/>
        <v>-524</v>
      </c>
      <c r="M2634">
        <v>240</v>
      </c>
      <c r="N2634">
        <f t="shared" si="647"/>
        <v>-284</v>
      </c>
    </row>
    <row r="2635" spans="1:14" x14ac:dyDescent="0.2">
      <c r="A2635" t="s">
        <v>3347</v>
      </c>
      <c r="B2635" s="1" t="s">
        <v>3345</v>
      </c>
      <c r="C2635" t="s">
        <v>43</v>
      </c>
      <c r="D2635" t="s">
        <v>957</v>
      </c>
      <c r="E2635">
        <v>8</v>
      </c>
      <c r="F2635" t="s">
        <v>3249</v>
      </c>
      <c r="G2635">
        <v>2023</v>
      </c>
      <c r="H2635" t="s">
        <v>1152</v>
      </c>
      <c r="I2635" t="s">
        <v>376</v>
      </c>
      <c r="J2635">
        <v>0</v>
      </c>
      <c r="K2635">
        <v>0</v>
      </c>
      <c r="L2635">
        <v>0</v>
      </c>
      <c r="M2635">
        <v>0</v>
      </c>
      <c r="N2635">
        <v>0</v>
      </c>
    </row>
    <row r="2636" spans="1:14" x14ac:dyDescent="0.2">
      <c r="A2636" t="s">
        <v>3348</v>
      </c>
      <c r="B2636" s="1" t="s">
        <v>3345</v>
      </c>
      <c r="C2636" t="s">
        <v>43</v>
      </c>
      <c r="D2636" t="s">
        <v>573</v>
      </c>
      <c r="E2636">
        <v>8</v>
      </c>
      <c r="F2636" t="s">
        <v>3249</v>
      </c>
      <c r="G2636">
        <v>2023</v>
      </c>
      <c r="H2636" t="s">
        <v>49</v>
      </c>
      <c r="I2636" t="s">
        <v>32</v>
      </c>
      <c r="J2636">
        <v>0</v>
      </c>
      <c r="K2636">
        <v>0</v>
      </c>
      <c r="L2636">
        <v>0</v>
      </c>
      <c r="M2636">
        <v>0</v>
      </c>
      <c r="N2636">
        <v>0</v>
      </c>
    </row>
    <row r="2637" spans="1:14" x14ac:dyDescent="0.2">
      <c r="A2637" t="s">
        <v>3278</v>
      </c>
      <c r="B2637" s="1" t="s">
        <v>3247</v>
      </c>
      <c r="C2637" t="s">
        <v>106</v>
      </c>
      <c r="D2637" t="s">
        <v>477</v>
      </c>
      <c r="E2637">
        <v>1</v>
      </c>
      <c r="F2637" t="s">
        <v>3249</v>
      </c>
      <c r="G2637">
        <v>2023</v>
      </c>
      <c r="H2637" t="s">
        <v>3279</v>
      </c>
      <c r="I2637" t="s">
        <v>135</v>
      </c>
      <c r="J2637">
        <v>-899</v>
      </c>
      <c r="K2637">
        <v>375</v>
      </c>
      <c r="L2637">
        <f>J2637+K2637</f>
        <v>-524</v>
      </c>
      <c r="M2637">
        <v>240</v>
      </c>
      <c r="N2637">
        <f>L2637+M2637</f>
        <v>-284</v>
      </c>
    </row>
    <row r="2638" spans="1:14" x14ac:dyDescent="0.2">
      <c r="A2638" t="s">
        <v>3349</v>
      </c>
      <c r="B2638" s="1" t="s">
        <v>3324</v>
      </c>
      <c r="C2638" t="s">
        <v>14</v>
      </c>
      <c r="D2638" t="s">
        <v>1556</v>
      </c>
      <c r="E2638">
        <v>7</v>
      </c>
      <c r="F2638" t="s">
        <v>3249</v>
      </c>
      <c r="G2638">
        <v>2023</v>
      </c>
      <c r="H2638" t="s">
        <v>2997</v>
      </c>
      <c r="I2638" t="s">
        <v>23</v>
      </c>
      <c r="J2638">
        <v>899</v>
      </c>
      <c r="K2638">
        <v>295</v>
      </c>
      <c r="L2638">
        <f t="shared" ref="L2638:L2649" si="648">J2638-K2638</f>
        <v>604</v>
      </c>
      <c r="M2638">
        <v>240</v>
      </c>
      <c r="N2638">
        <f t="shared" ref="N2638:N2649" si="649">L2638-M2638</f>
        <v>364</v>
      </c>
    </row>
    <row r="2639" spans="1:14" x14ac:dyDescent="0.2">
      <c r="A2639" t="s">
        <v>3350</v>
      </c>
      <c r="B2639" s="1" t="s">
        <v>3324</v>
      </c>
      <c r="C2639" t="s">
        <v>14</v>
      </c>
      <c r="D2639" t="s">
        <v>809</v>
      </c>
      <c r="E2639">
        <v>7</v>
      </c>
      <c r="F2639" t="s">
        <v>3249</v>
      </c>
      <c r="G2639">
        <v>2023</v>
      </c>
      <c r="H2639" t="s">
        <v>246</v>
      </c>
      <c r="I2639" t="s">
        <v>58</v>
      </c>
      <c r="J2639">
        <v>999</v>
      </c>
      <c r="K2639">
        <v>325</v>
      </c>
      <c r="L2639">
        <f t="shared" si="648"/>
        <v>674</v>
      </c>
      <c r="M2639">
        <v>240</v>
      </c>
      <c r="N2639">
        <f t="shared" si="649"/>
        <v>434</v>
      </c>
    </row>
    <row r="2640" spans="1:14" x14ac:dyDescent="0.2">
      <c r="A2640" t="s">
        <v>3351</v>
      </c>
      <c r="B2640" s="1" t="s">
        <v>3345</v>
      </c>
      <c r="C2640" t="s">
        <v>14</v>
      </c>
      <c r="D2640" t="s">
        <v>117</v>
      </c>
      <c r="E2640">
        <v>8</v>
      </c>
      <c r="F2640" t="s">
        <v>3249</v>
      </c>
      <c r="G2640">
        <v>2023</v>
      </c>
      <c r="H2640" t="s">
        <v>1048</v>
      </c>
      <c r="I2640" t="s">
        <v>28</v>
      </c>
      <c r="J2640">
        <v>899</v>
      </c>
      <c r="K2640">
        <v>295</v>
      </c>
      <c r="L2640">
        <f t="shared" si="648"/>
        <v>604</v>
      </c>
      <c r="M2640">
        <v>240</v>
      </c>
      <c r="N2640">
        <f t="shared" si="649"/>
        <v>364</v>
      </c>
    </row>
    <row r="2641" spans="1:14" x14ac:dyDescent="0.2">
      <c r="A2641" t="s">
        <v>3343</v>
      </c>
      <c r="B2641" s="1" t="s">
        <v>3324</v>
      </c>
      <c r="C2641" t="s">
        <v>14</v>
      </c>
      <c r="D2641" t="s">
        <v>420</v>
      </c>
      <c r="E2641">
        <v>7</v>
      </c>
      <c r="F2641" t="s">
        <v>3249</v>
      </c>
      <c r="G2641">
        <v>2023</v>
      </c>
      <c r="H2641" t="s">
        <v>3344</v>
      </c>
      <c r="I2641" t="s">
        <v>62</v>
      </c>
      <c r="J2641">
        <v>899</v>
      </c>
      <c r="K2641">
        <v>295</v>
      </c>
      <c r="L2641">
        <f t="shared" si="648"/>
        <v>604</v>
      </c>
      <c r="M2641">
        <v>240</v>
      </c>
      <c r="N2641">
        <f t="shared" si="649"/>
        <v>364</v>
      </c>
    </row>
    <row r="2642" spans="1:14" x14ac:dyDescent="0.2">
      <c r="A2642" t="s">
        <v>3352</v>
      </c>
      <c r="B2642" s="1" t="s">
        <v>3324</v>
      </c>
      <c r="C2642" t="s">
        <v>14</v>
      </c>
      <c r="D2642" t="s">
        <v>3353</v>
      </c>
      <c r="E2642">
        <v>7</v>
      </c>
      <c r="F2642" t="s">
        <v>3249</v>
      </c>
      <c r="G2642">
        <v>2023</v>
      </c>
      <c r="H2642" t="s">
        <v>796</v>
      </c>
      <c r="I2642" t="s">
        <v>58</v>
      </c>
      <c r="J2642">
        <v>799</v>
      </c>
      <c r="K2642">
        <v>205</v>
      </c>
      <c r="L2642">
        <f t="shared" si="648"/>
        <v>594</v>
      </c>
      <c r="M2642">
        <v>240</v>
      </c>
      <c r="N2642">
        <f t="shared" si="649"/>
        <v>354</v>
      </c>
    </row>
    <row r="2643" spans="1:14" x14ac:dyDescent="0.2">
      <c r="A2643" t="s">
        <v>3354</v>
      </c>
      <c r="B2643" s="1" t="s">
        <v>3324</v>
      </c>
      <c r="C2643" t="s">
        <v>14</v>
      </c>
      <c r="D2643" t="s">
        <v>308</v>
      </c>
      <c r="E2643">
        <v>7</v>
      </c>
      <c r="F2643" t="s">
        <v>3249</v>
      </c>
      <c r="G2643">
        <v>2023</v>
      </c>
      <c r="H2643" t="s">
        <v>1082</v>
      </c>
      <c r="I2643" t="s">
        <v>502</v>
      </c>
      <c r="J2643">
        <v>899</v>
      </c>
      <c r="K2643">
        <v>295</v>
      </c>
      <c r="L2643">
        <f t="shared" si="648"/>
        <v>604</v>
      </c>
      <c r="M2643">
        <v>240</v>
      </c>
      <c r="N2643">
        <f t="shared" si="649"/>
        <v>364</v>
      </c>
    </row>
    <row r="2644" spans="1:14" x14ac:dyDescent="0.2">
      <c r="A2644" t="s">
        <v>3355</v>
      </c>
      <c r="B2644" s="1" t="s">
        <v>3324</v>
      </c>
      <c r="C2644" t="s">
        <v>14</v>
      </c>
      <c r="D2644" t="s">
        <v>940</v>
      </c>
      <c r="E2644">
        <v>7</v>
      </c>
      <c r="F2644" t="s">
        <v>3249</v>
      </c>
      <c r="G2644">
        <v>2023</v>
      </c>
      <c r="H2644" t="s">
        <v>965</v>
      </c>
      <c r="I2644" t="s">
        <v>122</v>
      </c>
      <c r="J2644">
        <v>799</v>
      </c>
      <c r="K2644">
        <v>205</v>
      </c>
      <c r="L2644">
        <f t="shared" si="648"/>
        <v>594</v>
      </c>
      <c r="M2644">
        <v>240</v>
      </c>
      <c r="N2644">
        <f t="shared" si="649"/>
        <v>354</v>
      </c>
    </row>
    <row r="2645" spans="1:14" x14ac:dyDescent="0.2">
      <c r="A2645" t="s">
        <v>3356</v>
      </c>
      <c r="B2645" s="1" t="s">
        <v>3324</v>
      </c>
      <c r="C2645" t="s">
        <v>14</v>
      </c>
      <c r="D2645" t="s">
        <v>1105</v>
      </c>
      <c r="E2645">
        <v>7</v>
      </c>
      <c r="F2645" t="s">
        <v>3249</v>
      </c>
      <c r="G2645">
        <v>2023</v>
      </c>
      <c r="H2645" t="s">
        <v>1733</v>
      </c>
      <c r="I2645" t="s">
        <v>23</v>
      </c>
      <c r="J2645">
        <v>849</v>
      </c>
      <c r="K2645">
        <v>250</v>
      </c>
      <c r="L2645">
        <f t="shared" si="648"/>
        <v>599</v>
      </c>
      <c r="M2645">
        <v>240</v>
      </c>
      <c r="N2645">
        <f t="shared" si="649"/>
        <v>359</v>
      </c>
    </row>
    <row r="2646" spans="1:14" x14ac:dyDescent="0.2">
      <c r="A2646" t="s">
        <v>3357</v>
      </c>
      <c r="B2646" s="1" t="s">
        <v>3345</v>
      </c>
      <c r="C2646" t="s">
        <v>14</v>
      </c>
      <c r="D2646" t="s">
        <v>242</v>
      </c>
      <c r="E2646">
        <v>8</v>
      </c>
      <c r="F2646" t="s">
        <v>3249</v>
      </c>
      <c r="G2646">
        <v>2023</v>
      </c>
      <c r="H2646" t="s">
        <v>84</v>
      </c>
      <c r="I2646" t="s">
        <v>85</v>
      </c>
      <c r="J2646">
        <v>899</v>
      </c>
      <c r="K2646">
        <v>295</v>
      </c>
      <c r="L2646">
        <f t="shared" si="648"/>
        <v>604</v>
      </c>
      <c r="M2646">
        <v>240</v>
      </c>
      <c r="N2646">
        <f t="shared" si="649"/>
        <v>364</v>
      </c>
    </row>
    <row r="2647" spans="1:14" x14ac:dyDescent="0.2">
      <c r="A2647" t="s">
        <v>3358</v>
      </c>
      <c r="B2647" s="1" t="s">
        <v>3324</v>
      </c>
      <c r="C2647" t="s">
        <v>14</v>
      </c>
      <c r="D2647" t="s">
        <v>445</v>
      </c>
      <c r="E2647">
        <v>7</v>
      </c>
      <c r="F2647" t="s">
        <v>3249</v>
      </c>
      <c r="G2647">
        <v>2023</v>
      </c>
      <c r="H2647" t="s">
        <v>838</v>
      </c>
      <c r="I2647" t="s">
        <v>253</v>
      </c>
      <c r="J2647">
        <v>899</v>
      </c>
      <c r="K2647">
        <v>295</v>
      </c>
      <c r="L2647">
        <f t="shared" si="648"/>
        <v>604</v>
      </c>
      <c r="M2647">
        <v>240</v>
      </c>
      <c r="N2647">
        <f t="shared" si="649"/>
        <v>364</v>
      </c>
    </row>
    <row r="2648" spans="1:14" x14ac:dyDescent="0.2">
      <c r="A2648" t="s">
        <v>3359</v>
      </c>
      <c r="B2648" s="1" t="s">
        <v>3324</v>
      </c>
      <c r="C2648" t="s">
        <v>14</v>
      </c>
      <c r="D2648" t="s">
        <v>1105</v>
      </c>
      <c r="E2648">
        <v>7</v>
      </c>
      <c r="F2648" t="s">
        <v>3249</v>
      </c>
      <c r="G2648">
        <v>2023</v>
      </c>
      <c r="H2648" t="s">
        <v>1733</v>
      </c>
      <c r="I2648" t="s">
        <v>23</v>
      </c>
      <c r="J2648">
        <v>849</v>
      </c>
      <c r="K2648">
        <v>250</v>
      </c>
      <c r="L2648">
        <f t="shared" si="648"/>
        <v>599</v>
      </c>
      <c r="M2648">
        <v>240</v>
      </c>
      <c r="N2648">
        <f t="shared" si="649"/>
        <v>359</v>
      </c>
    </row>
    <row r="2649" spans="1:14" x14ac:dyDescent="0.2">
      <c r="A2649" t="s">
        <v>3346</v>
      </c>
      <c r="B2649" s="1" t="s">
        <v>3345</v>
      </c>
      <c r="C2649" t="s">
        <v>14</v>
      </c>
      <c r="D2649" t="s">
        <v>940</v>
      </c>
      <c r="E2649">
        <v>8</v>
      </c>
      <c r="F2649" t="s">
        <v>3249</v>
      </c>
      <c r="G2649">
        <v>2023</v>
      </c>
      <c r="H2649" t="s">
        <v>235</v>
      </c>
      <c r="I2649" t="s">
        <v>62</v>
      </c>
      <c r="J2649">
        <v>799</v>
      </c>
      <c r="K2649">
        <v>205</v>
      </c>
      <c r="L2649">
        <f t="shared" si="648"/>
        <v>594</v>
      </c>
      <c r="M2649">
        <v>240</v>
      </c>
      <c r="N2649">
        <f t="shared" si="649"/>
        <v>354</v>
      </c>
    </row>
    <row r="2650" spans="1:14" x14ac:dyDescent="0.2">
      <c r="A2650" t="s">
        <v>3360</v>
      </c>
      <c r="B2650" s="1" t="s">
        <v>3345</v>
      </c>
      <c r="C2650" t="s">
        <v>20</v>
      </c>
      <c r="D2650" t="s">
        <v>448</v>
      </c>
      <c r="E2650">
        <v>8</v>
      </c>
      <c r="F2650" t="s">
        <v>3249</v>
      </c>
      <c r="G2650">
        <v>2023</v>
      </c>
      <c r="H2650" t="s">
        <v>1152</v>
      </c>
      <c r="I2650" t="s">
        <v>376</v>
      </c>
      <c r="J2650">
        <v>0</v>
      </c>
      <c r="K2650">
        <v>0</v>
      </c>
      <c r="L2650">
        <v>0</v>
      </c>
      <c r="M2650">
        <v>0</v>
      </c>
      <c r="N2650">
        <v>0</v>
      </c>
    </row>
    <row r="2651" spans="1:14" x14ac:dyDescent="0.2">
      <c r="A2651" t="s">
        <v>3361</v>
      </c>
      <c r="B2651" s="1" t="s">
        <v>3324</v>
      </c>
      <c r="C2651" t="s">
        <v>14</v>
      </c>
      <c r="D2651" t="s">
        <v>308</v>
      </c>
      <c r="E2651">
        <v>7</v>
      </c>
      <c r="F2651" t="s">
        <v>3249</v>
      </c>
      <c r="G2651">
        <v>2023</v>
      </c>
      <c r="H2651" t="s">
        <v>104</v>
      </c>
      <c r="I2651" t="s">
        <v>62</v>
      </c>
      <c r="J2651">
        <v>899</v>
      </c>
      <c r="K2651">
        <v>295</v>
      </c>
      <c r="L2651">
        <f t="shared" ref="L2651:L2661" si="650">J2651-K2651</f>
        <v>604</v>
      </c>
      <c r="M2651">
        <v>240</v>
      </c>
      <c r="N2651">
        <f t="shared" ref="N2651:N2661" si="651">L2651-M2651</f>
        <v>364</v>
      </c>
    </row>
    <row r="2652" spans="1:14" x14ac:dyDescent="0.2">
      <c r="A2652" t="s">
        <v>3362</v>
      </c>
      <c r="B2652" s="1" t="s">
        <v>3345</v>
      </c>
      <c r="C2652" t="s">
        <v>14</v>
      </c>
      <c r="D2652" t="s">
        <v>81</v>
      </c>
      <c r="E2652">
        <v>8</v>
      </c>
      <c r="F2652" t="s">
        <v>3249</v>
      </c>
      <c r="G2652">
        <v>2023</v>
      </c>
      <c r="H2652" t="s">
        <v>246</v>
      </c>
      <c r="I2652" t="s">
        <v>58</v>
      </c>
      <c r="J2652">
        <v>849</v>
      </c>
      <c r="K2652">
        <v>250</v>
      </c>
      <c r="L2652">
        <f t="shared" si="650"/>
        <v>599</v>
      </c>
      <c r="M2652">
        <v>240</v>
      </c>
      <c r="N2652">
        <f t="shared" si="651"/>
        <v>359</v>
      </c>
    </row>
    <row r="2653" spans="1:14" x14ac:dyDescent="0.2">
      <c r="A2653" t="s">
        <v>3363</v>
      </c>
      <c r="B2653" s="1" t="s">
        <v>3345</v>
      </c>
      <c r="C2653" t="s">
        <v>14</v>
      </c>
      <c r="D2653" t="s">
        <v>308</v>
      </c>
      <c r="E2653">
        <v>8</v>
      </c>
      <c r="F2653" t="s">
        <v>3249</v>
      </c>
      <c r="G2653">
        <v>2023</v>
      </c>
      <c r="H2653" t="s">
        <v>3364</v>
      </c>
      <c r="I2653" t="s">
        <v>97</v>
      </c>
      <c r="J2653">
        <v>899</v>
      </c>
      <c r="K2653">
        <v>295</v>
      </c>
      <c r="L2653">
        <f t="shared" si="650"/>
        <v>604</v>
      </c>
      <c r="M2653">
        <v>240</v>
      </c>
      <c r="N2653">
        <f t="shared" si="651"/>
        <v>364</v>
      </c>
    </row>
    <row r="2654" spans="1:14" x14ac:dyDescent="0.2">
      <c r="A2654" t="s">
        <v>3348</v>
      </c>
      <c r="B2654" s="1" t="s">
        <v>3345</v>
      </c>
      <c r="C2654" t="s">
        <v>14</v>
      </c>
      <c r="D2654" t="s">
        <v>573</v>
      </c>
      <c r="E2654">
        <v>8</v>
      </c>
      <c r="F2654" t="s">
        <v>3249</v>
      </c>
      <c r="G2654">
        <v>2023</v>
      </c>
      <c r="H2654" t="s">
        <v>49</v>
      </c>
      <c r="I2654" t="s">
        <v>32</v>
      </c>
      <c r="J2654">
        <v>899</v>
      </c>
      <c r="K2654">
        <v>295</v>
      </c>
      <c r="L2654">
        <f t="shared" si="650"/>
        <v>604</v>
      </c>
      <c r="M2654">
        <v>240</v>
      </c>
      <c r="N2654">
        <f t="shared" si="651"/>
        <v>364</v>
      </c>
    </row>
    <row r="2655" spans="1:14" x14ac:dyDescent="0.2">
      <c r="A2655" t="s">
        <v>3365</v>
      </c>
      <c r="B2655" s="1" t="s">
        <v>3324</v>
      </c>
      <c r="C2655" t="s">
        <v>14</v>
      </c>
      <c r="D2655" t="s">
        <v>812</v>
      </c>
      <c r="E2655">
        <v>7</v>
      </c>
      <c r="F2655" t="s">
        <v>3249</v>
      </c>
      <c r="G2655">
        <v>2023</v>
      </c>
      <c r="H2655" t="s">
        <v>152</v>
      </c>
      <c r="I2655" t="s">
        <v>253</v>
      </c>
      <c r="J2655">
        <v>999</v>
      </c>
      <c r="K2655">
        <v>325</v>
      </c>
      <c r="L2655">
        <f t="shared" si="650"/>
        <v>674</v>
      </c>
      <c r="M2655">
        <v>240</v>
      </c>
      <c r="N2655">
        <f t="shared" si="651"/>
        <v>434</v>
      </c>
    </row>
    <row r="2656" spans="1:14" x14ac:dyDescent="0.2">
      <c r="A2656" t="s">
        <v>3366</v>
      </c>
      <c r="B2656" s="1" t="s">
        <v>3345</v>
      </c>
      <c r="C2656" t="s">
        <v>14</v>
      </c>
      <c r="D2656" t="s">
        <v>3367</v>
      </c>
      <c r="E2656">
        <v>8</v>
      </c>
      <c r="F2656" t="s">
        <v>3249</v>
      </c>
      <c r="G2656">
        <v>2023</v>
      </c>
      <c r="H2656" t="s">
        <v>929</v>
      </c>
      <c r="I2656" t="s">
        <v>144</v>
      </c>
      <c r="J2656">
        <v>999</v>
      </c>
      <c r="K2656">
        <v>325</v>
      </c>
      <c r="L2656">
        <f t="shared" si="650"/>
        <v>674</v>
      </c>
      <c r="M2656">
        <v>240</v>
      </c>
      <c r="N2656">
        <f t="shared" si="651"/>
        <v>434</v>
      </c>
    </row>
    <row r="2657" spans="1:14" x14ac:dyDescent="0.2">
      <c r="A2657" t="s">
        <v>3368</v>
      </c>
      <c r="B2657" s="1" t="s">
        <v>3345</v>
      </c>
      <c r="C2657" t="s">
        <v>14</v>
      </c>
      <c r="D2657" t="s">
        <v>840</v>
      </c>
      <c r="E2657">
        <v>8</v>
      </c>
      <c r="F2657" t="s">
        <v>3249</v>
      </c>
      <c r="G2657">
        <v>2023</v>
      </c>
      <c r="H2657" t="s">
        <v>2614</v>
      </c>
      <c r="I2657" t="s">
        <v>502</v>
      </c>
      <c r="J2657">
        <v>999</v>
      </c>
      <c r="K2657">
        <v>325</v>
      </c>
      <c r="L2657">
        <f t="shared" si="650"/>
        <v>674</v>
      </c>
      <c r="M2657">
        <v>240</v>
      </c>
      <c r="N2657">
        <f t="shared" si="651"/>
        <v>434</v>
      </c>
    </row>
    <row r="2658" spans="1:14" x14ac:dyDescent="0.2">
      <c r="A2658" t="s">
        <v>3369</v>
      </c>
      <c r="B2658" s="1" t="s">
        <v>3345</v>
      </c>
      <c r="C2658" t="s">
        <v>14</v>
      </c>
      <c r="D2658" t="s">
        <v>1386</v>
      </c>
      <c r="E2658">
        <v>8</v>
      </c>
      <c r="F2658" t="s">
        <v>3249</v>
      </c>
      <c r="G2658">
        <v>2023</v>
      </c>
      <c r="H2658" t="s">
        <v>3370</v>
      </c>
      <c r="I2658" t="s">
        <v>19</v>
      </c>
      <c r="J2658">
        <v>799</v>
      </c>
      <c r="K2658">
        <v>205</v>
      </c>
      <c r="L2658">
        <f t="shared" si="650"/>
        <v>594</v>
      </c>
      <c r="M2658">
        <v>240</v>
      </c>
      <c r="N2658">
        <f t="shared" si="651"/>
        <v>354</v>
      </c>
    </row>
    <row r="2659" spans="1:14" x14ac:dyDescent="0.2">
      <c r="A2659" t="s">
        <v>3371</v>
      </c>
      <c r="B2659" s="1" t="s">
        <v>3345</v>
      </c>
      <c r="C2659" t="s">
        <v>14</v>
      </c>
      <c r="D2659" t="s">
        <v>895</v>
      </c>
      <c r="E2659">
        <v>8</v>
      </c>
      <c r="F2659" t="s">
        <v>3249</v>
      </c>
      <c r="G2659">
        <v>2023</v>
      </c>
      <c r="H2659" t="s">
        <v>22</v>
      </c>
      <c r="I2659" t="s">
        <v>23</v>
      </c>
      <c r="J2659">
        <v>849</v>
      </c>
      <c r="K2659">
        <v>250</v>
      </c>
      <c r="L2659">
        <f t="shared" si="650"/>
        <v>599</v>
      </c>
      <c r="M2659">
        <v>240</v>
      </c>
      <c r="N2659">
        <f t="shared" si="651"/>
        <v>359</v>
      </c>
    </row>
    <row r="2660" spans="1:14" x14ac:dyDescent="0.2">
      <c r="A2660" t="s">
        <v>3372</v>
      </c>
      <c r="B2660" s="1" t="s">
        <v>3324</v>
      </c>
      <c r="C2660" t="s">
        <v>14</v>
      </c>
      <c r="D2660" t="s">
        <v>967</v>
      </c>
      <c r="E2660">
        <v>7</v>
      </c>
      <c r="F2660" t="s">
        <v>3249</v>
      </c>
      <c r="G2660">
        <v>2023</v>
      </c>
      <c r="H2660" t="s">
        <v>3373</v>
      </c>
      <c r="I2660" t="s">
        <v>160</v>
      </c>
      <c r="J2660">
        <v>799</v>
      </c>
      <c r="K2660">
        <v>205</v>
      </c>
      <c r="L2660">
        <f t="shared" si="650"/>
        <v>594</v>
      </c>
      <c r="M2660">
        <v>240</v>
      </c>
      <c r="N2660">
        <f t="shared" si="651"/>
        <v>354</v>
      </c>
    </row>
    <row r="2661" spans="1:14" x14ac:dyDescent="0.2">
      <c r="A2661" t="s">
        <v>3374</v>
      </c>
      <c r="B2661" s="1" t="s">
        <v>3345</v>
      </c>
      <c r="C2661" t="s">
        <v>14</v>
      </c>
      <c r="D2661" t="s">
        <v>133</v>
      </c>
      <c r="E2661">
        <v>8</v>
      </c>
      <c r="F2661" t="s">
        <v>3249</v>
      </c>
      <c r="G2661">
        <v>2023</v>
      </c>
      <c r="H2661" t="s">
        <v>77</v>
      </c>
      <c r="I2661" t="s">
        <v>62</v>
      </c>
      <c r="J2661">
        <v>799</v>
      </c>
      <c r="K2661">
        <v>205</v>
      </c>
      <c r="L2661">
        <f t="shared" si="650"/>
        <v>594</v>
      </c>
      <c r="M2661">
        <v>240</v>
      </c>
      <c r="N2661">
        <f t="shared" si="651"/>
        <v>354</v>
      </c>
    </row>
    <row r="2662" spans="1:14" x14ac:dyDescent="0.2">
      <c r="A2662" t="s">
        <v>3375</v>
      </c>
      <c r="B2662" s="1" t="s">
        <v>3345</v>
      </c>
      <c r="C2662" t="s">
        <v>20</v>
      </c>
      <c r="D2662" t="s">
        <v>891</v>
      </c>
      <c r="E2662">
        <v>8</v>
      </c>
      <c r="F2662" t="s">
        <v>3249</v>
      </c>
      <c r="G2662">
        <v>2023</v>
      </c>
      <c r="H2662" t="s">
        <v>235</v>
      </c>
      <c r="I2662" t="s">
        <v>62</v>
      </c>
      <c r="J2662">
        <v>0</v>
      </c>
      <c r="K2662">
        <v>0</v>
      </c>
      <c r="L2662">
        <v>0</v>
      </c>
      <c r="M2662">
        <v>0</v>
      </c>
      <c r="N2662">
        <v>0</v>
      </c>
    </row>
    <row r="2663" spans="1:14" x14ac:dyDescent="0.2">
      <c r="A2663" t="s">
        <v>3376</v>
      </c>
      <c r="B2663" s="1" t="s">
        <v>3345</v>
      </c>
      <c r="C2663" t="s">
        <v>14</v>
      </c>
      <c r="D2663" t="s">
        <v>1560</v>
      </c>
      <c r="E2663">
        <v>8</v>
      </c>
      <c r="F2663" t="s">
        <v>3249</v>
      </c>
      <c r="G2663">
        <v>2023</v>
      </c>
      <c r="H2663" t="s">
        <v>173</v>
      </c>
      <c r="I2663" t="s">
        <v>62</v>
      </c>
      <c r="J2663">
        <v>799</v>
      </c>
      <c r="K2663">
        <v>205</v>
      </c>
      <c r="L2663">
        <f t="shared" ref="L2663:L2664" si="652">J2663-K2663</f>
        <v>594</v>
      </c>
      <c r="M2663">
        <v>240</v>
      </c>
      <c r="N2663">
        <f t="shared" ref="N2663:N2664" si="653">L2663-M2663</f>
        <v>354</v>
      </c>
    </row>
    <row r="2664" spans="1:14" x14ac:dyDescent="0.2">
      <c r="A2664" t="s">
        <v>3377</v>
      </c>
      <c r="B2664" s="1" t="s">
        <v>3345</v>
      </c>
      <c r="C2664" t="s">
        <v>14</v>
      </c>
      <c r="D2664" t="s">
        <v>3378</v>
      </c>
      <c r="E2664">
        <v>8</v>
      </c>
      <c r="F2664" t="s">
        <v>3249</v>
      </c>
      <c r="G2664">
        <v>2023</v>
      </c>
      <c r="H2664" t="s">
        <v>3379</v>
      </c>
      <c r="I2664" t="s">
        <v>62</v>
      </c>
      <c r="J2664">
        <v>799</v>
      </c>
      <c r="K2664">
        <v>205</v>
      </c>
      <c r="L2664">
        <f t="shared" si="652"/>
        <v>594</v>
      </c>
      <c r="M2664">
        <v>240</v>
      </c>
      <c r="N2664">
        <f t="shared" si="653"/>
        <v>354</v>
      </c>
    </row>
    <row r="2665" spans="1:14" x14ac:dyDescent="0.2">
      <c r="A2665" t="s">
        <v>3381</v>
      </c>
      <c r="B2665" s="1" t="s">
        <v>3380</v>
      </c>
      <c r="C2665" t="s">
        <v>43</v>
      </c>
      <c r="D2665" t="s">
        <v>957</v>
      </c>
      <c r="E2665">
        <v>9</v>
      </c>
      <c r="F2665" t="s">
        <v>3249</v>
      </c>
      <c r="G2665">
        <v>2023</v>
      </c>
      <c r="H2665" t="s">
        <v>208</v>
      </c>
      <c r="I2665" t="s">
        <v>97</v>
      </c>
      <c r="J2665">
        <v>0</v>
      </c>
      <c r="K2665">
        <v>0</v>
      </c>
      <c r="L2665">
        <v>0</v>
      </c>
      <c r="M2665">
        <v>0</v>
      </c>
      <c r="N2665">
        <v>0</v>
      </c>
    </row>
    <row r="2666" spans="1:14" x14ac:dyDescent="0.2">
      <c r="A2666" t="s">
        <v>3248</v>
      </c>
      <c r="B2666" s="1" t="s">
        <v>3247</v>
      </c>
      <c r="C2666" t="s">
        <v>106</v>
      </c>
      <c r="D2666" t="s">
        <v>881</v>
      </c>
      <c r="E2666">
        <v>1</v>
      </c>
      <c r="F2666" t="s">
        <v>3249</v>
      </c>
      <c r="G2666">
        <v>2023</v>
      </c>
      <c r="H2666" t="s">
        <v>796</v>
      </c>
      <c r="I2666" t="s">
        <v>58</v>
      </c>
      <c r="J2666">
        <v>-799</v>
      </c>
      <c r="K2666">
        <v>320</v>
      </c>
      <c r="L2666">
        <f>J2666+K2666</f>
        <v>-479</v>
      </c>
      <c r="M2666">
        <v>240</v>
      </c>
      <c r="N2666">
        <f>L2666+M2666</f>
        <v>-239</v>
      </c>
    </row>
    <row r="2667" spans="1:14" x14ac:dyDescent="0.2">
      <c r="A2667" t="s">
        <v>3382</v>
      </c>
      <c r="B2667" s="1" t="s">
        <v>3380</v>
      </c>
      <c r="C2667" t="s">
        <v>14</v>
      </c>
      <c r="D2667" t="s">
        <v>242</v>
      </c>
      <c r="E2667">
        <v>9</v>
      </c>
      <c r="F2667" t="s">
        <v>3249</v>
      </c>
      <c r="G2667">
        <v>2023</v>
      </c>
      <c r="H2667" t="s">
        <v>22</v>
      </c>
      <c r="I2667" t="s">
        <v>23</v>
      </c>
      <c r="J2667">
        <v>899</v>
      </c>
      <c r="K2667">
        <v>295</v>
      </c>
      <c r="L2667">
        <f t="shared" ref="L2667:L2676" si="654">J2667-K2667</f>
        <v>604</v>
      </c>
      <c r="M2667">
        <v>240</v>
      </c>
      <c r="N2667">
        <f t="shared" ref="N2667:N2676" si="655">L2667-M2667</f>
        <v>364</v>
      </c>
    </row>
    <row r="2668" spans="1:14" x14ac:dyDescent="0.2">
      <c r="A2668" t="s">
        <v>3383</v>
      </c>
      <c r="B2668" s="1" t="s">
        <v>3380</v>
      </c>
      <c r="C2668" t="s">
        <v>14</v>
      </c>
      <c r="D2668" t="s">
        <v>169</v>
      </c>
      <c r="E2668">
        <v>9</v>
      </c>
      <c r="F2668" t="s">
        <v>3249</v>
      </c>
      <c r="G2668">
        <v>2023</v>
      </c>
      <c r="H2668" t="s">
        <v>1839</v>
      </c>
      <c r="I2668" t="s">
        <v>122</v>
      </c>
      <c r="J2668">
        <v>799</v>
      </c>
      <c r="K2668">
        <v>205</v>
      </c>
      <c r="L2668">
        <f t="shared" si="654"/>
        <v>594</v>
      </c>
      <c r="M2668">
        <v>240</v>
      </c>
      <c r="N2668">
        <f t="shared" si="655"/>
        <v>354</v>
      </c>
    </row>
    <row r="2669" spans="1:14" x14ac:dyDescent="0.2">
      <c r="A2669" t="s">
        <v>3384</v>
      </c>
      <c r="B2669" s="1" t="s">
        <v>3345</v>
      </c>
      <c r="C2669" t="s">
        <v>14</v>
      </c>
      <c r="D2669" t="s">
        <v>548</v>
      </c>
      <c r="E2669">
        <v>8</v>
      </c>
      <c r="F2669" t="s">
        <v>3249</v>
      </c>
      <c r="G2669">
        <v>2023</v>
      </c>
      <c r="H2669" t="s">
        <v>1148</v>
      </c>
      <c r="I2669" t="s">
        <v>32</v>
      </c>
      <c r="J2669">
        <v>899</v>
      </c>
      <c r="K2669">
        <v>295</v>
      </c>
      <c r="L2669">
        <f t="shared" si="654"/>
        <v>604</v>
      </c>
      <c r="M2669">
        <v>240</v>
      </c>
      <c r="N2669">
        <f t="shared" si="655"/>
        <v>364</v>
      </c>
    </row>
    <row r="2670" spans="1:14" x14ac:dyDescent="0.2">
      <c r="A2670" t="s">
        <v>3385</v>
      </c>
      <c r="B2670" s="1" t="s">
        <v>3380</v>
      </c>
      <c r="C2670" t="s">
        <v>14</v>
      </c>
      <c r="D2670" t="s">
        <v>379</v>
      </c>
      <c r="E2670">
        <v>9</v>
      </c>
      <c r="F2670" t="s">
        <v>3249</v>
      </c>
      <c r="G2670">
        <v>2023</v>
      </c>
      <c r="H2670" t="s">
        <v>345</v>
      </c>
      <c r="I2670" t="s">
        <v>62</v>
      </c>
      <c r="J2670">
        <v>799</v>
      </c>
      <c r="K2670">
        <v>205</v>
      </c>
      <c r="L2670">
        <f t="shared" si="654"/>
        <v>594</v>
      </c>
      <c r="M2670">
        <v>240</v>
      </c>
      <c r="N2670">
        <f t="shared" si="655"/>
        <v>354</v>
      </c>
    </row>
    <row r="2671" spans="1:14" x14ac:dyDescent="0.2">
      <c r="A2671" t="s">
        <v>3386</v>
      </c>
      <c r="B2671" s="1" t="s">
        <v>3380</v>
      </c>
      <c r="C2671" t="s">
        <v>14</v>
      </c>
      <c r="D2671" t="s">
        <v>1486</v>
      </c>
      <c r="E2671">
        <v>9</v>
      </c>
      <c r="F2671" t="s">
        <v>3249</v>
      </c>
      <c r="G2671">
        <v>2023</v>
      </c>
      <c r="H2671" t="s">
        <v>579</v>
      </c>
      <c r="I2671" t="s">
        <v>62</v>
      </c>
      <c r="J2671">
        <v>999</v>
      </c>
      <c r="K2671">
        <v>325</v>
      </c>
      <c r="L2671">
        <f t="shared" si="654"/>
        <v>674</v>
      </c>
      <c r="M2671">
        <v>240</v>
      </c>
      <c r="N2671">
        <f t="shared" si="655"/>
        <v>434</v>
      </c>
    </row>
    <row r="2672" spans="1:14" x14ac:dyDescent="0.2">
      <c r="A2672" t="s">
        <v>3387</v>
      </c>
      <c r="B2672" s="1" t="s">
        <v>3345</v>
      </c>
      <c r="C2672" t="s">
        <v>14</v>
      </c>
      <c r="D2672" t="s">
        <v>812</v>
      </c>
      <c r="E2672">
        <v>8</v>
      </c>
      <c r="F2672" t="s">
        <v>3249</v>
      </c>
      <c r="G2672">
        <v>2023</v>
      </c>
      <c r="H2672" t="s">
        <v>3388</v>
      </c>
      <c r="I2672" t="s">
        <v>212</v>
      </c>
      <c r="J2672">
        <v>999</v>
      </c>
      <c r="K2672">
        <v>325</v>
      </c>
      <c r="L2672">
        <f t="shared" si="654"/>
        <v>674</v>
      </c>
      <c r="M2672">
        <v>240</v>
      </c>
      <c r="N2672">
        <f t="shared" si="655"/>
        <v>434</v>
      </c>
    </row>
    <row r="2673" spans="1:14" x14ac:dyDescent="0.2">
      <c r="A2673" t="s">
        <v>3389</v>
      </c>
      <c r="B2673" s="1" t="s">
        <v>3380</v>
      </c>
      <c r="C2673" t="s">
        <v>14</v>
      </c>
      <c r="D2673" t="s">
        <v>379</v>
      </c>
      <c r="E2673">
        <v>9</v>
      </c>
      <c r="F2673" t="s">
        <v>3249</v>
      </c>
      <c r="G2673">
        <v>2023</v>
      </c>
      <c r="H2673" t="s">
        <v>246</v>
      </c>
      <c r="I2673" t="s">
        <v>58</v>
      </c>
      <c r="J2673">
        <v>799</v>
      </c>
      <c r="K2673">
        <v>205</v>
      </c>
      <c r="L2673">
        <f t="shared" si="654"/>
        <v>594</v>
      </c>
      <c r="M2673">
        <v>240</v>
      </c>
      <c r="N2673">
        <f t="shared" si="655"/>
        <v>354</v>
      </c>
    </row>
    <row r="2674" spans="1:14" x14ac:dyDescent="0.2">
      <c r="A2674" t="s">
        <v>3390</v>
      </c>
      <c r="B2674" s="1" t="s">
        <v>3380</v>
      </c>
      <c r="C2674" t="s">
        <v>14</v>
      </c>
      <c r="D2674" t="s">
        <v>1386</v>
      </c>
      <c r="E2674">
        <v>9</v>
      </c>
      <c r="F2674" t="s">
        <v>3249</v>
      </c>
      <c r="G2674">
        <v>2023</v>
      </c>
      <c r="H2674" t="s">
        <v>3391</v>
      </c>
      <c r="I2674" t="s">
        <v>160</v>
      </c>
      <c r="J2674">
        <v>799</v>
      </c>
      <c r="K2674">
        <v>205</v>
      </c>
      <c r="L2674">
        <f t="shared" si="654"/>
        <v>594</v>
      </c>
      <c r="M2674">
        <v>240</v>
      </c>
      <c r="N2674">
        <f t="shared" si="655"/>
        <v>354</v>
      </c>
    </row>
    <row r="2675" spans="1:14" x14ac:dyDescent="0.2">
      <c r="A2675" t="s">
        <v>3392</v>
      </c>
      <c r="B2675" s="1" t="s">
        <v>3380</v>
      </c>
      <c r="C2675" t="s">
        <v>14</v>
      </c>
      <c r="D2675" t="s">
        <v>380</v>
      </c>
      <c r="E2675">
        <v>9</v>
      </c>
      <c r="F2675" t="s">
        <v>3249</v>
      </c>
      <c r="G2675">
        <v>2023</v>
      </c>
      <c r="H2675" t="s">
        <v>246</v>
      </c>
      <c r="I2675" t="s">
        <v>58</v>
      </c>
      <c r="J2675">
        <v>849</v>
      </c>
      <c r="K2675">
        <v>250</v>
      </c>
      <c r="L2675">
        <f t="shared" si="654"/>
        <v>599</v>
      </c>
      <c r="M2675">
        <v>240</v>
      </c>
      <c r="N2675">
        <f t="shared" si="655"/>
        <v>359</v>
      </c>
    </row>
    <row r="2676" spans="1:14" x14ac:dyDescent="0.2">
      <c r="A2676" t="s">
        <v>3393</v>
      </c>
      <c r="B2676" s="1" t="s">
        <v>3380</v>
      </c>
      <c r="C2676" t="s">
        <v>14</v>
      </c>
      <c r="D2676" t="s">
        <v>1218</v>
      </c>
      <c r="E2676">
        <v>9</v>
      </c>
      <c r="F2676" t="s">
        <v>3249</v>
      </c>
      <c r="G2676">
        <v>2023</v>
      </c>
      <c r="H2676" t="s">
        <v>874</v>
      </c>
      <c r="I2676" t="s">
        <v>253</v>
      </c>
      <c r="J2676">
        <v>799</v>
      </c>
      <c r="K2676">
        <v>205</v>
      </c>
      <c r="L2676">
        <f t="shared" si="654"/>
        <v>594</v>
      </c>
      <c r="M2676">
        <v>240</v>
      </c>
      <c r="N2676">
        <f t="shared" si="655"/>
        <v>354</v>
      </c>
    </row>
    <row r="2677" spans="1:14" x14ac:dyDescent="0.2">
      <c r="A2677" t="s">
        <v>3395</v>
      </c>
      <c r="B2677" s="1" t="s">
        <v>3394</v>
      </c>
      <c r="C2677" t="s">
        <v>43</v>
      </c>
      <c r="D2677" t="s">
        <v>989</v>
      </c>
      <c r="E2677">
        <v>11</v>
      </c>
      <c r="F2677" t="s">
        <v>3249</v>
      </c>
      <c r="G2677">
        <v>2023</v>
      </c>
      <c r="H2677" t="s">
        <v>1074</v>
      </c>
      <c r="I2677" t="s">
        <v>37</v>
      </c>
      <c r="J2677">
        <v>0</v>
      </c>
      <c r="K2677">
        <v>0</v>
      </c>
      <c r="L2677">
        <v>0</v>
      </c>
      <c r="M2677">
        <v>0</v>
      </c>
      <c r="N2677">
        <v>0</v>
      </c>
    </row>
    <row r="2678" spans="1:14" x14ac:dyDescent="0.2">
      <c r="A2678" t="s">
        <v>3396</v>
      </c>
      <c r="B2678" s="1" t="s">
        <v>3394</v>
      </c>
      <c r="C2678" t="s">
        <v>43</v>
      </c>
      <c r="D2678" t="s">
        <v>2750</v>
      </c>
      <c r="E2678">
        <v>11</v>
      </c>
      <c r="F2678" t="s">
        <v>3249</v>
      </c>
      <c r="G2678">
        <v>2023</v>
      </c>
      <c r="H2678" t="s">
        <v>235</v>
      </c>
      <c r="I2678" t="s">
        <v>62</v>
      </c>
      <c r="J2678">
        <v>0</v>
      </c>
      <c r="K2678">
        <v>0</v>
      </c>
      <c r="L2678">
        <v>0</v>
      </c>
      <c r="M2678">
        <v>0</v>
      </c>
      <c r="N2678">
        <v>0</v>
      </c>
    </row>
    <row r="2679" spans="1:14" x14ac:dyDescent="0.2">
      <c r="A2679" t="s">
        <v>3398</v>
      </c>
      <c r="B2679" s="1" t="s">
        <v>3397</v>
      </c>
      <c r="C2679" t="s">
        <v>14</v>
      </c>
      <c r="D2679" t="s">
        <v>1699</v>
      </c>
      <c r="E2679">
        <v>10</v>
      </c>
      <c r="F2679" t="s">
        <v>3249</v>
      </c>
      <c r="G2679">
        <v>2023</v>
      </c>
      <c r="H2679" t="s">
        <v>1137</v>
      </c>
      <c r="I2679" t="s">
        <v>58</v>
      </c>
      <c r="J2679">
        <v>799</v>
      </c>
      <c r="K2679">
        <v>205</v>
      </c>
      <c r="L2679">
        <f>J2679-K2679</f>
        <v>594</v>
      </c>
      <c r="M2679">
        <v>240</v>
      </c>
      <c r="N2679">
        <f>L2679-M2679</f>
        <v>354</v>
      </c>
    </row>
    <row r="2680" spans="1:14" x14ac:dyDescent="0.2">
      <c r="A2680" t="s">
        <v>3399</v>
      </c>
      <c r="B2680" s="1" t="s">
        <v>3397</v>
      </c>
      <c r="C2680" t="s">
        <v>20</v>
      </c>
      <c r="D2680" t="s">
        <v>809</v>
      </c>
      <c r="E2680">
        <v>10</v>
      </c>
      <c r="F2680" t="s">
        <v>3249</v>
      </c>
      <c r="G2680">
        <v>2023</v>
      </c>
      <c r="H2680" t="s">
        <v>1994</v>
      </c>
      <c r="I2680" t="s">
        <v>28</v>
      </c>
      <c r="J2680">
        <v>0</v>
      </c>
      <c r="K2680">
        <v>0</v>
      </c>
      <c r="L2680">
        <v>0</v>
      </c>
      <c r="M2680">
        <v>0</v>
      </c>
      <c r="N2680">
        <v>0</v>
      </c>
    </row>
    <row r="2681" spans="1:14" x14ac:dyDescent="0.2">
      <c r="A2681" t="s">
        <v>3400</v>
      </c>
      <c r="B2681" s="1" t="s">
        <v>3394</v>
      </c>
      <c r="C2681" t="s">
        <v>14</v>
      </c>
      <c r="D2681" t="s">
        <v>1386</v>
      </c>
      <c r="E2681">
        <v>11</v>
      </c>
      <c r="F2681" t="s">
        <v>3249</v>
      </c>
      <c r="G2681">
        <v>2023</v>
      </c>
      <c r="H2681" t="s">
        <v>272</v>
      </c>
      <c r="I2681" t="s">
        <v>23</v>
      </c>
      <c r="J2681">
        <v>799</v>
      </c>
      <c r="K2681">
        <v>205</v>
      </c>
      <c r="L2681">
        <f t="shared" ref="L2681:L2685" si="656">J2681-K2681</f>
        <v>594</v>
      </c>
      <c r="M2681">
        <v>240</v>
      </c>
      <c r="N2681">
        <f t="shared" ref="N2681:N2685" si="657">L2681-M2681</f>
        <v>354</v>
      </c>
    </row>
    <row r="2682" spans="1:14" x14ac:dyDescent="0.2">
      <c r="A2682" t="s">
        <v>3401</v>
      </c>
      <c r="B2682" s="1" t="s">
        <v>3397</v>
      </c>
      <c r="C2682" t="s">
        <v>14</v>
      </c>
      <c r="D2682" t="s">
        <v>117</v>
      </c>
      <c r="E2682">
        <v>10</v>
      </c>
      <c r="F2682" t="s">
        <v>3249</v>
      </c>
      <c r="G2682">
        <v>2023</v>
      </c>
      <c r="H2682" t="s">
        <v>3402</v>
      </c>
      <c r="I2682" t="s">
        <v>23</v>
      </c>
      <c r="J2682">
        <v>899</v>
      </c>
      <c r="K2682">
        <v>295</v>
      </c>
      <c r="L2682">
        <f t="shared" si="656"/>
        <v>604</v>
      </c>
      <c r="M2682">
        <v>240</v>
      </c>
      <c r="N2682">
        <f t="shared" si="657"/>
        <v>364</v>
      </c>
    </row>
    <row r="2683" spans="1:14" x14ac:dyDescent="0.2">
      <c r="A2683" t="s">
        <v>3403</v>
      </c>
      <c r="B2683" s="1" t="s">
        <v>3397</v>
      </c>
      <c r="C2683" t="s">
        <v>14</v>
      </c>
      <c r="D2683" t="s">
        <v>448</v>
      </c>
      <c r="E2683">
        <v>10</v>
      </c>
      <c r="F2683" t="s">
        <v>3249</v>
      </c>
      <c r="G2683">
        <v>2023</v>
      </c>
      <c r="H2683" t="s">
        <v>309</v>
      </c>
      <c r="I2683" t="s">
        <v>212</v>
      </c>
      <c r="J2683">
        <v>899</v>
      </c>
      <c r="K2683">
        <v>295</v>
      </c>
      <c r="L2683">
        <f t="shared" si="656"/>
        <v>604</v>
      </c>
      <c r="M2683">
        <v>240</v>
      </c>
      <c r="N2683">
        <f t="shared" si="657"/>
        <v>364</v>
      </c>
    </row>
    <row r="2684" spans="1:14" x14ac:dyDescent="0.2">
      <c r="A2684" t="s">
        <v>3404</v>
      </c>
      <c r="B2684" s="1" t="s">
        <v>3397</v>
      </c>
      <c r="C2684" t="s">
        <v>14</v>
      </c>
      <c r="D2684" t="s">
        <v>1338</v>
      </c>
      <c r="E2684">
        <v>10</v>
      </c>
      <c r="F2684" t="s">
        <v>3249</v>
      </c>
      <c r="G2684">
        <v>2023</v>
      </c>
      <c r="H2684" t="s">
        <v>538</v>
      </c>
      <c r="I2684" t="s">
        <v>253</v>
      </c>
      <c r="J2684">
        <v>799</v>
      </c>
      <c r="K2684">
        <v>205</v>
      </c>
      <c r="L2684">
        <f t="shared" si="656"/>
        <v>594</v>
      </c>
      <c r="M2684">
        <v>240</v>
      </c>
      <c r="N2684">
        <f t="shared" si="657"/>
        <v>354</v>
      </c>
    </row>
    <row r="2685" spans="1:14" x14ac:dyDescent="0.2">
      <c r="A2685" t="s">
        <v>3405</v>
      </c>
      <c r="B2685" s="1" t="s">
        <v>3380</v>
      </c>
      <c r="C2685" t="s">
        <v>14</v>
      </c>
      <c r="D2685" t="s">
        <v>1105</v>
      </c>
      <c r="E2685">
        <v>9</v>
      </c>
      <c r="F2685" t="s">
        <v>3249</v>
      </c>
      <c r="G2685">
        <v>2023</v>
      </c>
      <c r="H2685" t="s">
        <v>104</v>
      </c>
      <c r="I2685" t="s">
        <v>62</v>
      </c>
      <c r="J2685">
        <v>849</v>
      </c>
      <c r="K2685">
        <v>250</v>
      </c>
      <c r="L2685">
        <f t="shared" si="656"/>
        <v>599</v>
      </c>
      <c r="M2685">
        <v>240</v>
      </c>
      <c r="N2685">
        <f t="shared" si="657"/>
        <v>359</v>
      </c>
    </row>
    <row r="2686" spans="1:14" x14ac:dyDescent="0.2">
      <c r="A2686" t="s">
        <v>3406</v>
      </c>
      <c r="B2686" s="1" t="s">
        <v>3397</v>
      </c>
      <c r="C2686" t="s">
        <v>20</v>
      </c>
      <c r="D2686" t="s">
        <v>2152</v>
      </c>
      <c r="E2686">
        <v>10</v>
      </c>
      <c r="F2686" t="s">
        <v>3249</v>
      </c>
      <c r="G2686">
        <v>2023</v>
      </c>
      <c r="H2686" t="s">
        <v>3225</v>
      </c>
      <c r="I2686" t="s">
        <v>37</v>
      </c>
      <c r="J2686">
        <v>0</v>
      </c>
      <c r="K2686">
        <v>0</v>
      </c>
      <c r="L2686">
        <v>0</v>
      </c>
      <c r="M2686">
        <v>0</v>
      </c>
      <c r="N2686">
        <v>0</v>
      </c>
    </row>
    <row r="2687" spans="1:14" x14ac:dyDescent="0.2">
      <c r="A2687" t="s">
        <v>3407</v>
      </c>
      <c r="B2687" s="1" t="s">
        <v>3397</v>
      </c>
      <c r="C2687" t="s">
        <v>14</v>
      </c>
      <c r="D2687" t="s">
        <v>379</v>
      </c>
      <c r="E2687">
        <v>10</v>
      </c>
      <c r="F2687" t="s">
        <v>3249</v>
      </c>
      <c r="G2687">
        <v>2023</v>
      </c>
      <c r="H2687" t="s">
        <v>3027</v>
      </c>
      <c r="I2687" t="s">
        <v>135</v>
      </c>
      <c r="J2687">
        <v>799</v>
      </c>
      <c r="K2687">
        <v>205</v>
      </c>
      <c r="L2687">
        <f t="shared" ref="L2687:L2690" si="658">J2687-K2687</f>
        <v>594</v>
      </c>
      <c r="M2687">
        <v>240</v>
      </c>
      <c r="N2687">
        <f t="shared" ref="N2687:N2690" si="659">L2687-M2687</f>
        <v>354</v>
      </c>
    </row>
    <row r="2688" spans="1:14" x14ac:dyDescent="0.2">
      <c r="A2688" t="s">
        <v>3408</v>
      </c>
      <c r="B2688" s="1" t="s">
        <v>3397</v>
      </c>
      <c r="C2688" t="s">
        <v>14</v>
      </c>
      <c r="D2688" t="s">
        <v>2310</v>
      </c>
      <c r="E2688">
        <v>10</v>
      </c>
      <c r="F2688" t="s">
        <v>3249</v>
      </c>
      <c r="G2688">
        <v>2023</v>
      </c>
      <c r="H2688" t="s">
        <v>104</v>
      </c>
      <c r="I2688" t="s">
        <v>62</v>
      </c>
      <c r="J2688">
        <v>799</v>
      </c>
      <c r="K2688">
        <v>205</v>
      </c>
      <c r="L2688">
        <f t="shared" si="658"/>
        <v>594</v>
      </c>
      <c r="M2688">
        <v>240</v>
      </c>
      <c r="N2688">
        <f t="shared" si="659"/>
        <v>354</v>
      </c>
    </row>
    <row r="2689" spans="1:14" x14ac:dyDescent="0.2">
      <c r="A2689" t="s">
        <v>3409</v>
      </c>
      <c r="B2689" s="1" t="s">
        <v>3397</v>
      </c>
      <c r="C2689" t="s">
        <v>14</v>
      </c>
      <c r="D2689" t="s">
        <v>895</v>
      </c>
      <c r="E2689">
        <v>10</v>
      </c>
      <c r="F2689" t="s">
        <v>3249</v>
      </c>
      <c r="G2689">
        <v>2023</v>
      </c>
      <c r="H2689" t="s">
        <v>84</v>
      </c>
      <c r="I2689" t="s">
        <v>85</v>
      </c>
      <c r="J2689">
        <v>849</v>
      </c>
      <c r="K2689">
        <v>250</v>
      </c>
      <c r="L2689">
        <f t="shared" si="658"/>
        <v>599</v>
      </c>
      <c r="M2689">
        <v>240</v>
      </c>
      <c r="N2689">
        <f t="shared" si="659"/>
        <v>359</v>
      </c>
    </row>
    <row r="2690" spans="1:14" x14ac:dyDescent="0.2">
      <c r="A2690" t="s">
        <v>3410</v>
      </c>
      <c r="B2690" s="1" t="s">
        <v>3397</v>
      </c>
      <c r="C2690" t="s">
        <v>14</v>
      </c>
      <c r="D2690" t="s">
        <v>504</v>
      </c>
      <c r="E2690">
        <v>10</v>
      </c>
      <c r="F2690" t="s">
        <v>3249</v>
      </c>
      <c r="G2690">
        <v>2023</v>
      </c>
      <c r="H2690" t="s">
        <v>1048</v>
      </c>
      <c r="I2690" t="s">
        <v>28</v>
      </c>
      <c r="J2690">
        <v>899</v>
      </c>
      <c r="K2690">
        <v>295</v>
      </c>
      <c r="L2690">
        <f t="shared" si="658"/>
        <v>604</v>
      </c>
      <c r="M2690">
        <v>240</v>
      </c>
      <c r="N2690">
        <f t="shared" si="659"/>
        <v>364</v>
      </c>
    </row>
    <row r="2691" spans="1:14" x14ac:dyDescent="0.2">
      <c r="A2691" t="s">
        <v>3411</v>
      </c>
      <c r="B2691" s="1" t="s">
        <v>3397</v>
      </c>
      <c r="C2691" t="s">
        <v>20</v>
      </c>
      <c r="D2691" t="s">
        <v>1508</v>
      </c>
      <c r="E2691">
        <v>10</v>
      </c>
      <c r="F2691" t="s">
        <v>3249</v>
      </c>
      <c r="G2691">
        <v>2023</v>
      </c>
      <c r="H2691" t="s">
        <v>604</v>
      </c>
      <c r="I2691" t="s">
        <v>85</v>
      </c>
      <c r="J2691">
        <v>0</v>
      </c>
      <c r="K2691">
        <v>0</v>
      </c>
      <c r="L2691">
        <v>0</v>
      </c>
      <c r="M2691">
        <v>0</v>
      </c>
      <c r="N2691">
        <v>0</v>
      </c>
    </row>
    <row r="2692" spans="1:14" x14ac:dyDescent="0.2">
      <c r="A2692" t="s">
        <v>3412</v>
      </c>
      <c r="B2692" s="1" t="s">
        <v>3397</v>
      </c>
      <c r="C2692" t="s">
        <v>14</v>
      </c>
      <c r="D2692" t="s">
        <v>895</v>
      </c>
      <c r="E2692">
        <v>10</v>
      </c>
      <c r="F2692" t="s">
        <v>3249</v>
      </c>
      <c r="G2692">
        <v>2023</v>
      </c>
      <c r="H2692" t="s">
        <v>3413</v>
      </c>
      <c r="I2692" t="s">
        <v>135</v>
      </c>
      <c r="J2692">
        <v>849</v>
      </c>
      <c r="K2692">
        <v>250</v>
      </c>
      <c r="L2692">
        <f t="shared" ref="L2692:L2694" si="660">J2692-K2692</f>
        <v>599</v>
      </c>
      <c r="M2692">
        <v>240</v>
      </c>
      <c r="N2692">
        <f t="shared" ref="N2692:N2694" si="661">L2692-M2692</f>
        <v>359</v>
      </c>
    </row>
    <row r="2693" spans="1:14" x14ac:dyDescent="0.2">
      <c r="A2693" t="s">
        <v>3414</v>
      </c>
      <c r="B2693" s="1" t="s">
        <v>3397</v>
      </c>
      <c r="C2693" t="s">
        <v>14</v>
      </c>
      <c r="D2693" t="s">
        <v>425</v>
      </c>
      <c r="E2693">
        <v>10</v>
      </c>
      <c r="F2693" t="s">
        <v>3249</v>
      </c>
      <c r="G2693">
        <v>2023</v>
      </c>
      <c r="H2693" t="s">
        <v>246</v>
      </c>
      <c r="I2693" t="s">
        <v>58</v>
      </c>
      <c r="J2693">
        <v>799</v>
      </c>
      <c r="K2693">
        <v>205</v>
      </c>
      <c r="L2693">
        <f t="shared" si="660"/>
        <v>594</v>
      </c>
      <c r="M2693">
        <v>240</v>
      </c>
      <c r="N2693">
        <f t="shared" si="661"/>
        <v>354</v>
      </c>
    </row>
    <row r="2694" spans="1:14" x14ac:dyDescent="0.2">
      <c r="A2694" t="s">
        <v>3415</v>
      </c>
      <c r="B2694" s="1" t="s">
        <v>3397</v>
      </c>
      <c r="C2694" t="s">
        <v>14</v>
      </c>
      <c r="D2694" t="s">
        <v>448</v>
      </c>
      <c r="E2694">
        <v>10</v>
      </c>
      <c r="F2694" t="s">
        <v>3249</v>
      </c>
      <c r="G2694">
        <v>2023</v>
      </c>
      <c r="H2694" t="s">
        <v>246</v>
      </c>
      <c r="I2694" t="s">
        <v>58</v>
      </c>
      <c r="J2694">
        <v>899</v>
      </c>
      <c r="K2694">
        <v>295</v>
      </c>
      <c r="L2694">
        <f t="shared" si="660"/>
        <v>604</v>
      </c>
      <c r="M2694">
        <v>240</v>
      </c>
      <c r="N2694">
        <f t="shared" si="661"/>
        <v>364</v>
      </c>
    </row>
    <row r="2695" spans="1:14" x14ac:dyDescent="0.2">
      <c r="A2695" t="s">
        <v>3416</v>
      </c>
      <c r="B2695" s="1" t="s">
        <v>3394</v>
      </c>
      <c r="C2695" t="s">
        <v>43</v>
      </c>
      <c r="D2695" t="s">
        <v>504</v>
      </c>
      <c r="E2695">
        <v>11</v>
      </c>
      <c r="F2695" t="s">
        <v>3249</v>
      </c>
      <c r="G2695">
        <v>2023</v>
      </c>
      <c r="H2695" t="s">
        <v>1417</v>
      </c>
      <c r="I2695" t="s">
        <v>37</v>
      </c>
      <c r="J2695">
        <v>0</v>
      </c>
      <c r="K2695">
        <v>0</v>
      </c>
      <c r="L2695">
        <v>0</v>
      </c>
      <c r="M2695">
        <v>0</v>
      </c>
      <c r="N2695">
        <v>0</v>
      </c>
    </row>
    <row r="2696" spans="1:14" x14ac:dyDescent="0.2">
      <c r="A2696" t="s">
        <v>3288</v>
      </c>
      <c r="B2696" s="1" t="s">
        <v>3280</v>
      </c>
      <c r="C2696" t="s">
        <v>106</v>
      </c>
      <c r="D2696" t="s">
        <v>881</v>
      </c>
      <c r="E2696">
        <v>3</v>
      </c>
      <c r="F2696" t="s">
        <v>3249</v>
      </c>
      <c r="G2696">
        <v>2023</v>
      </c>
      <c r="H2696" t="s">
        <v>2564</v>
      </c>
      <c r="I2696" t="s">
        <v>62</v>
      </c>
      <c r="J2696">
        <v>-799</v>
      </c>
      <c r="K2696">
        <v>320</v>
      </c>
      <c r="L2696">
        <f t="shared" ref="L2696:L2698" si="662">J2696+K2696</f>
        <v>-479</v>
      </c>
      <c r="M2696">
        <v>240</v>
      </c>
      <c r="N2696">
        <f t="shared" ref="N2696:N2698" si="663">L2696+M2696</f>
        <v>-239</v>
      </c>
    </row>
    <row r="2697" spans="1:14" x14ac:dyDescent="0.2">
      <c r="A2697" t="s">
        <v>3386</v>
      </c>
      <c r="B2697" s="1" t="s">
        <v>3380</v>
      </c>
      <c r="C2697" t="s">
        <v>106</v>
      </c>
      <c r="D2697" t="s">
        <v>1486</v>
      </c>
      <c r="E2697">
        <v>9</v>
      </c>
      <c r="F2697" t="s">
        <v>3249</v>
      </c>
      <c r="G2697">
        <v>2023</v>
      </c>
      <c r="H2697" t="s">
        <v>579</v>
      </c>
      <c r="I2697" t="s">
        <v>62</v>
      </c>
      <c r="J2697">
        <v>-999</v>
      </c>
      <c r="K2697">
        <v>395</v>
      </c>
      <c r="L2697">
        <f t="shared" si="662"/>
        <v>-604</v>
      </c>
      <c r="M2697">
        <v>240</v>
      </c>
      <c r="N2697">
        <f t="shared" si="663"/>
        <v>-364</v>
      </c>
    </row>
    <row r="2698" spans="1:14" x14ac:dyDescent="0.2">
      <c r="A2698" t="s">
        <v>3408</v>
      </c>
      <c r="B2698" s="1" t="s">
        <v>3397</v>
      </c>
      <c r="C2698" t="s">
        <v>106</v>
      </c>
      <c r="D2698" t="s">
        <v>2310</v>
      </c>
      <c r="E2698">
        <v>10</v>
      </c>
      <c r="F2698" t="s">
        <v>3249</v>
      </c>
      <c r="G2698">
        <v>2023</v>
      </c>
      <c r="H2698" t="s">
        <v>104</v>
      </c>
      <c r="I2698" t="s">
        <v>62</v>
      </c>
      <c r="J2698">
        <v>-799</v>
      </c>
      <c r="K2698">
        <v>320</v>
      </c>
      <c r="L2698">
        <f t="shared" si="662"/>
        <v>-479</v>
      </c>
      <c r="M2698">
        <v>240</v>
      </c>
      <c r="N2698">
        <f t="shared" si="663"/>
        <v>-239</v>
      </c>
    </row>
    <row r="2699" spans="1:14" x14ac:dyDescent="0.2">
      <c r="A2699" t="s">
        <v>3417</v>
      </c>
      <c r="B2699" s="1" t="s">
        <v>3380</v>
      </c>
      <c r="C2699" t="s">
        <v>14</v>
      </c>
      <c r="D2699" t="s">
        <v>840</v>
      </c>
      <c r="E2699">
        <v>9</v>
      </c>
      <c r="F2699" t="s">
        <v>3249</v>
      </c>
      <c r="G2699">
        <v>2023</v>
      </c>
      <c r="H2699" t="s">
        <v>1100</v>
      </c>
      <c r="I2699" t="s">
        <v>85</v>
      </c>
      <c r="J2699">
        <v>999</v>
      </c>
      <c r="K2699">
        <v>325</v>
      </c>
      <c r="L2699">
        <f t="shared" ref="L2699:L2708" si="664">J2699-K2699</f>
        <v>674</v>
      </c>
      <c r="M2699">
        <v>240</v>
      </c>
      <c r="N2699">
        <f t="shared" ref="N2699:N2708" si="665">L2699-M2699</f>
        <v>434</v>
      </c>
    </row>
    <row r="2700" spans="1:14" x14ac:dyDescent="0.2">
      <c r="A2700" t="s">
        <v>3418</v>
      </c>
      <c r="B2700" s="1" t="s">
        <v>3394</v>
      </c>
      <c r="C2700" t="s">
        <v>14</v>
      </c>
      <c r="D2700" t="s">
        <v>809</v>
      </c>
      <c r="E2700">
        <v>11</v>
      </c>
      <c r="F2700" t="s">
        <v>3249</v>
      </c>
      <c r="G2700">
        <v>2023</v>
      </c>
      <c r="H2700" t="s">
        <v>185</v>
      </c>
      <c r="I2700" t="s">
        <v>62</v>
      </c>
      <c r="J2700">
        <v>999</v>
      </c>
      <c r="K2700">
        <v>325</v>
      </c>
      <c r="L2700">
        <f t="shared" si="664"/>
        <v>674</v>
      </c>
      <c r="M2700">
        <v>240</v>
      </c>
      <c r="N2700">
        <f t="shared" si="665"/>
        <v>434</v>
      </c>
    </row>
    <row r="2701" spans="1:14" x14ac:dyDescent="0.2">
      <c r="A2701" t="s">
        <v>3419</v>
      </c>
      <c r="B2701" s="1" t="s">
        <v>3394</v>
      </c>
      <c r="C2701" t="s">
        <v>14</v>
      </c>
      <c r="D2701" t="s">
        <v>1556</v>
      </c>
      <c r="E2701">
        <v>11</v>
      </c>
      <c r="F2701" t="s">
        <v>3249</v>
      </c>
      <c r="G2701">
        <v>2023</v>
      </c>
      <c r="H2701" t="s">
        <v>1146</v>
      </c>
      <c r="I2701" t="s">
        <v>58</v>
      </c>
      <c r="J2701">
        <v>899</v>
      </c>
      <c r="K2701">
        <v>295</v>
      </c>
      <c r="L2701">
        <f t="shared" si="664"/>
        <v>604</v>
      </c>
      <c r="M2701">
        <v>240</v>
      </c>
      <c r="N2701">
        <f t="shared" si="665"/>
        <v>364</v>
      </c>
    </row>
    <row r="2702" spans="1:14" x14ac:dyDescent="0.2">
      <c r="A2702" t="s">
        <v>3420</v>
      </c>
      <c r="B2702" s="1" t="s">
        <v>3394</v>
      </c>
      <c r="C2702" t="s">
        <v>14</v>
      </c>
      <c r="D2702" t="s">
        <v>2152</v>
      </c>
      <c r="E2702">
        <v>11</v>
      </c>
      <c r="F2702" t="s">
        <v>3249</v>
      </c>
      <c r="G2702">
        <v>2023</v>
      </c>
      <c r="H2702" t="s">
        <v>1219</v>
      </c>
      <c r="I2702" t="s">
        <v>144</v>
      </c>
      <c r="J2702">
        <v>799</v>
      </c>
      <c r="K2702">
        <v>205</v>
      </c>
      <c r="L2702">
        <f t="shared" si="664"/>
        <v>594</v>
      </c>
      <c r="M2702">
        <v>240</v>
      </c>
      <c r="N2702">
        <f t="shared" si="665"/>
        <v>354</v>
      </c>
    </row>
    <row r="2703" spans="1:14" x14ac:dyDescent="0.2">
      <c r="A2703" t="s">
        <v>3421</v>
      </c>
      <c r="B2703" s="1" t="s">
        <v>3394</v>
      </c>
      <c r="C2703" t="s">
        <v>14</v>
      </c>
      <c r="D2703" t="s">
        <v>504</v>
      </c>
      <c r="E2703">
        <v>11</v>
      </c>
      <c r="F2703" t="s">
        <v>3249</v>
      </c>
      <c r="G2703">
        <v>2023</v>
      </c>
      <c r="H2703" t="s">
        <v>49</v>
      </c>
      <c r="I2703" t="s">
        <v>32</v>
      </c>
      <c r="J2703">
        <v>899</v>
      </c>
      <c r="K2703">
        <v>295</v>
      </c>
      <c r="L2703">
        <f t="shared" si="664"/>
        <v>604</v>
      </c>
      <c r="M2703">
        <v>240</v>
      </c>
      <c r="N2703">
        <f t="shared" si="665"/>
        <v>364</v>
      </c>
    </row>
    <row r="2704" spans="1:14" x14ac:dyDescent="0.2">
      <c r="A2704" t="s">
        <v>3422</v>
      </c>
      <c r="B2704" s="1" t="s">
        <v>3394</v>
      </c>
      <c r="C2704" t="s">
        <v>14</v>
      </c>
      <c r="D2704" t="s">
        <v>133</v>
      </c>
      <c r="E2704">
        <v>11</v>
      </c>
      <c r="F2704" t="s">
        <v>3249</v>
      </c>
      <c r="G2704">
        <v>2023</v>
      </c>
      <c r="H2704" t="s">
        <v>272</v>
      </c>
      <c r="I2704" t="s">
        <v>23</v>
      </c>
      <c r="J2704">
        <v>799</v>
      </c>
      <c r="K2704">
        <v>205</v>
      </c>
      <c r="L2704">
        <f t="shared" si="664"/>
        <v>594</v>
      </c>
      <c r="M2704">
        <v>240</v>
      </c>
      <c r="N2704">
        <f t="shared" si="665"/>
        <v>354</v>
      </c>
    </row>
    <row r="2705" spans="1:14" x14ac:dyDescent="0.2">
      <c r="A2705" t="s">
        <v>3423</v>
      </c>
      <c r="B2705" s="1" t="s">
        <v>3394</v>
      </c>
      <c r="C2705" t="s">
        <v>14</v>
      </c>
      <c r="D2705" t="s">
        <v>379</v>
      </c>
      <c r="E2705">
        <v>11</v>
      </c>
      <c r="F2705" t="s">
        <v>3249</v>
      </c>
      <c r="G2705">
        <v>2023</v>
      </c>
      <c r="H2705" t="s">
        <v>3424</v>
      </c>
      <c r="I2705" t="s">
        <v>135</v>
      </c>
      <c r="J2705">
        <v>799</v>
      </c>
      <c r="K2705">
        <v>205</v>
      </c>
      <c r="L2705">
        <f t="shared" si="664"/>
        <v>594</v>
      </c>
      <c r="M2705">
        <v>240</v>
      </c>
      <c r="N2705">
        <f t="shared" si="665"/>
        <v>354</v>
      </c>
    </row>
    <row r="2706" spans="1:14" x14ac:dyDescent="0.2">
      <c r="A2706" t="s">
        <v>3425</v>
      </c>
      <c r="B2706" s="1" t="s">
        <v>3394</v>
      </c>
      <c r="C2706" t="s">
        <v>14</v>
      </c>
      <c r="D2706" t="s">
        <v>81</v>
      </c>
      <c r="E2706">
        <v>11</v>
      </c>
      <c r="F2706" t="s">
        <v>3249</v>
      </c>
      <c r="G2706">
        <v>2023</v>
      </c>
      <c r="H2706" t="s">
        <v>246</v>
      </c>
      <c r="I2706" t="s">
        <v>58</v>
      </c>
      <c r="J2706">
        <v>849</v>
      </c>
      <c r="K2706">
        <v>250</v>
      </c>
      <c r="L2706">
        <f t="shared" si="664"/>
        <v>599</v>
      </c>
      <c r="M2706">
        <v>240</v>
      </c>
      <c r="N2706">
        <f t="shared" si="665"/>
        <v>359</v>
      </c>
    </row>
    <row r="2707" spans="1:14" x14ac:dyDescent="0.2">
      <c r="A2707" t="s">
        <v>3427</v>
      </c>
      <c r="B2707" s="1" t="s">
        <v>3426</v>
      </c>
      <c r="C2707" t="s">
        <v>14</v>
      </c>
      <c r="D2707" t="s">
        <v>477</v>
      </c>
      <c r="E2707">
        <v>12</v>
      </c>
      <c r="F2707" t="s">
        <v>3249</v>
      </c>
      <c r="G2707">
        <v>2023</v>
      </c>
      <c r="H2707" t="s">
        <v>3428</v>
      </c>
      <c r="I2707" t="s">
        <v>62</v>
      </c>
      <c r="J2707">
        <v>899</v>
      </c>
      <c r="K2707">
        <v>295</v>
      </c>
      <c r="L2707">
        <f t="shared" si="664"/>
        <v>604</v>
      </c>
      <c r="M2707">
        <v>240</v>
      </c>
      <c r="N2707">
        <f t="shared" si="665"/>
        <v>364</v>
      </c>
    </row>
    <row r="2708" spans="1:14" x14ac:dyDescent="0.2">
      <c r="A2708" t="s">
        <v>3429</v>
      </c>
      <c r="B2708" s="1" t="s">
        <v>3426</v>
      </c>
      <c r="C2708" t="s">
        <v>14</v>
      </c>
      <c r="D2708" t="s">
        <v>81</v>
      </c>
      <c r="E2708">
        <v>12</v>
      </c>
      <c r="F2708" t="s">
        <v>3249</v>
      </c>
      <c r="G2708">
        <v>2023</v>
      </c>
      <c r="H2708" t="s">
        <v>3287</v>
      </c>
      <c r="I2708" t="s">
        <v>250</v>
      </c>
      <c r="J2708">
        <v>849</v>
      </c>
      <c r="K2708">
        <v>250</v>
      </c>
      <c r="L2708">
        <f t="shared" si="664"/>
        <v>599</v>
      </c>
      <c r="M2708">
        <v>240</v>
      </c>
      <c r="N2708">
        <f t="shared" si="665"/>
        <v>359</v>
      </c>
    </row>
    <row r="2709" spans="1:14" x14ac:dyDescent="0.2">
      <c r="A2709" t="s">
        <v>3430</v>
      </c>
      <c r="B2709" s="1" t="s">
        <v>3394</v>
      </c>
      <c r="C2709" t="s">
        <v>20</v>
      </c>
      <c r="D2709" t="s">
        <v>81</v>
      </c>
      <c r="E2709">
        <v>11</v>
      </c>
      <c r="F2709" t="s">
        <v>3249</v>
      </c>
      <c r="G2709">
        <v>2023</v>
      </c>
      <c r="H2709" t="s">
        <v>246</v>
      </c>
      <c r="I2709" t="s">
        <v>58</v>
      </c>
      <c r="J2709">
        <v>0</v>
      </c>
      <c r="K2709">
        <v>0</v>
      </c>
      <c r="L2709">
        <v>0</v>
      </c>
      <c r="M2709">
        <v>0</v>
      </c>
      <c r="N2709">
        <v>0</v>
      </c>
    </row>
    <row r="2710" spans="1:14" x14ac:dyDescent="0.2">
      <c r="A2710" t="s">
        <v>3396</v>
      </c>
      <c r="B2710" s="1" t="s">
        <v>3394</v>
      </c>
      <c r="C2710" t="s">
        <v>14</v>
      </c>
      <c r="D2710" t="s">
        <v>2750</v>
      </c>
      <c r="E2710">
        <v>11</v>
      </c>
      <c r="F2710" t="s">
        <v>3249</v>
      </c>
      <c r="G2710">
        <v>2023</v>
      </c>
      <c r="H2710" t="s">
        <v>235</v>
      </c>
      <c r="I2710" t="s">
        <v>62</v>
      </c>
      <c r="J2710">
        <v>849</v>
      </c>
      <c r="K2710">
        <v>250</v>
      </c>
      <c r="L2710">
        <f t="shared" ref="L2710:L2713" si="666">J2710-K2710</f>
        <v>599</v>
      </c>
      <c r="M2710">
        <v>240</v>
      </c>
      <c r="N2710">
        <f t="shared" ref="N2710:N2713" si="667">L2710-M2710</f>
        <v>359</v>
      </c>
    </row>
    <row r="2711" spans="1:14" x14ac:dyDescent="0.2">
      <c r="A2711" t="s">
        <v>3431</v>
      </c>
      <c r="B2711" s="1" t="s">
        <v>3394</v>
      </c>
      <c r="C2711" t="s">
        <v>14</v>
      </c>
      <c r="D2711" t="s">
        <v>1212</v>
      </c>
      <c r="E2711">
        <v>11</v>
      </c>
      <c r="F2711" t="s">
        <v>3249</v>
      </c>
      <c r="G2711">
        <v>2023</v>
      </c>
      <c r="H2711" t="s">
        <v>3432</v>
      </c>
      <c r="I2711" t="s">
        <v>23</v>
      </c>
      <c r="J2711">
        <v>799</v>
      </c>
      <c r="K2711">
        <v>205</v>
      </c>
      <c r="L2711">
        <f t="shared" si="666"/>
        <v>594</v>
      </c>
      <c r="M2711">
        <v>240</v>
      </c>
      <c r="N2711">
        <f t="shared" si="667"/>
        <v>354</v>
      </c>
    </row>
    <row r="2712" spans="1:14" x14ac:dyDescent="0.2">
      <c r="A2712" t="s">
        <v>3395</v>
      </c>
      <c r="B2712" s="1" t="s">
        <v>3394</v>
      </c>
      <c r="C2712" t="s">
        <v>14</v>
      </c>
      <c r="D2712" t="s">
        <v>989</v>
      </c>
      <c r="E2712">
        <v>11</v>
      </c>
      <c r="F2712" t="s">
        <v>3249</v>
      </c>
      <c r="G2712">
        <v>2023</v>
      </c>
      <c r="H2712" t="s">
        <v>1074</v>
      </c>
      <c r="I2712" t="s">
        <v>37</v>
      </c>
      <c r="J2712">
        <v>799</v>
      </c>
      <c r="K2712">
        <v>205</v>
      </c>
      <c r="L2712">
        <f t="shared" si="666"/>
        <v>594</v>
      </c>
      <c r="M2712">
        <v>240</v>
      </c>
      <c r="N2712">
        <f t="shared" si="667"/>
        <v>354</v>
      </c>
    </row>
    <row r="2713" spans="1:14" x14ac:dyDescent="0.2">
      <c r="A2713" t="s">
        <v>3433</v>
      </c>
      <c r="B2713" s="1" t="s">
        <v>3394</v>
      </c>
      <c r="C2713" t="s">
        <v>14</v>
      </c>
      <c r="D2713" t="s">
        <v>940</v>
      </c>
      <c r="E2713">
        <v>11</v>
      </c>
      <c r="F2713" t="s">
        <v>3249</v>
      </c>
      <c r="G2713">
        <v>2023</v>
      </c>
      <c r="H2713" t="s">
        <v>309</v>
      </c>
      <c r="I2713" t="s">
        <v>212</v>
      </c>
      <c r="J2713">
        <v>799</v>
      </c>
      <c r="K2713">
        <v>205</v>
      </c>
      <c r="L2713">
        <f t="shared" si="666"/>
        <v>594</v>
      </c>
      <c r="M2713">
        <v>240</v>
      </c>
      <c r="N2713">
        <f t="shared" si="667"/>
        <v>354</v>
      </c>
    </row>
    <row r="2714" spans="1:14" x14ac:dyDescent="0.2">
      <c r="A2714" t="s">
        <v>3393</v>
      </c>
      <c r="B2714" s="1" t="s">
        <v>3380</v>
      </c>
      <c r="C2714" t="s">
        <v>106</v>
      </c>
      <c r="D2714" t="s">
        <v>1218</v>
      </c>
      <c r="E2714">
        <v>9</v>
      </c>
      <c r="F2714" t="s">
        <v>3249</v>
      </c>
      <c r="G2714">
        <v>2023</v>
      </c>
      <c r="H2714" t="s">
        <v>874</v>
      </c>
      <c r="I2714" t="s">
        <v>253</v>
      </c>
      <c r="J2714">
        <v>-799</v>
      </c>
      <c r="K2714">
        <v>320</v>
      </c>
      <c r="L2714">
        <f t="shared" ref="L2714:L2718" si="668">J2714+K2714</f>
        <v>-479</v>
      </c>
      <c r="M2714">
        <v>240</v>
      </c>
      <c r="N2714">
        <f t="shared" ref="N2714:N2718" si="669">L2714+M2714</f>
        <v>-239</v>
      </c>
    </row>
    <row r="2715" spans="1:14" x14ac:dyDescent="0.2">
      <c r="A2715" t="s">
        <v>3336</v>
      </c>
      <c r="B2715" s="1" t="s">
        <v>3307</v>
      </c>
      <c r="C2715" t="s">
        <v>106</v>
      </c>
      <c r="D2715" t="s">
        <v>490</v>
      </c>
      <c r="E2715">
        <v>6</v>
      </c>
      <c r="F2715" t="s">
        <v>3249</v>
      </c>
      <c r="G2715">
        <v>2023</v>
      </c>
      <c r="H2715" t="s">
        <v>3337</v>
      </c>
      <c r="I2715" t="s">
        <v>212</v>
      </c>
      <c r="J2715">
        <v>-899</v>
      </c>
      <c r="K2715">
        <v>375</v>
      </c>
      <c r="L2715">
        <f t="shared" si="668"/>
        <v>-524</v>
      </c>
      <c r="M2715">
        <v>240</v>
      </c>
      <c r="N2715">
        <f t="shared" si="669"/>
        <v>-284</v>
      </c>
    </row>
    <row r="2716" spans="1:14" x14ac:dyDescent="0.2">
      <c r="A2716" t="s">
        <v>3358</v>
      </c>
      <c r="B2716" s="1" t="s">
        <v>3324</v>
      </c>
      <c r="C2716" t="s">
        <v>106</v>
      </c>
      <c r="D2716" t="s">
        <v>445</v>
      </c>
      <c r="E2716">
        <v>7</v>
      </c>
      <c r="F2716" t="s">
        <v>3249</v>
      </c>
      <c r="G2716">
        <v>2023</v>
      </c>
      <c r="H2716" t="s">
        <v>838</v>
      </c>
      <c r="I2716" t="s">
        <v>253</v>
      </c>
      <c r="J2716">
        <v>-899</v>
      </c>
      <c r="K2716">
        <v>375</v>
      </c>
      <c r="L2716">
        <f t="shared" si="668"/>
        <v>-524</v>
      </c>
      <c r="M2716">
        <v>240</v>
      </c>
      <c r="N2716">
        <f t="shared" si="669"/>
        <v>-284</v>
      </c>
    </row>
    <row r="2717" spans="1:14" x14ac:dyDescent="0.2">
      <c r="A2717" t="s">
        <v>3349</v>
      </c>
      <c r="B2717" s="1" t="s">
        <v>3324</v>
      </c>
      <c r="C2717" t="s">
        <v>106</v>
      </c>
      <c r="D2717" t="s">
        <v>1556</v>
      </c>
      <c r="E2717">
        <v>7</v>
      </c>
      <c r="F2717" t="s">
        <v>3249</v>
      </c>
      <c r="G2717">
        <v>2023</v>
      </c>
      <c r="H2717" t="s">
        <v>2997</v>
      </c>
      <c r="I2717" t="s">
        <v>23</v>
      </c>
      <c r="J2717">
        <v>-899</v>
      </c>
      <c r="K2717">
        <v>375</v>
      </c>
      <c r="L2717">
        <f t="shared" si="668"/>
        <v>-524</v>
      </c>
      <c r="M2717">
        <v>240</v>
      </c>
      <c r="N2717">
        <f t="shared" si="669"/>
        <v>-284</v>
      </c>
    </row>
    <row r="2718" spans="1:14" x14ac:dyDescent="0.2">
      <c r="A2718" t="s">
        <v>3409</v>
      </c>
      <c r="B2718" s="1" t="s">
        <v>3397</v>
      </c>
      <c r="C2718" t="s">
        <v>106</v>
      </c>
      <c r="D2718" t="s">
        <v>895</v>
      </c>
      <c r="E2718">
        <v>10</v>
      </c>
      <c r="F2718" t="s">
        <v>3249</v>
      </c>
      <c r="G2718">
        <v>2023</v>
      </c>
      <c r="H2718" t="s">
        <v>84</v>
      </c>
      <c r="I2718" t="s">
        <v>85</v>
      </c>
      <c r="J2718">
        <v>-849</v>
      </c>
      <c r="K2718">
        <v>345</v>
      </c>
      <c r="L2718">
        <f t="shared" si="668"/>
        <v>-504</v>
      </c>
      <c r="M2718">
        <v>240</v>
      </c>
      <c r="N2718">
        <f t="shared" si="669"/>
        <v>-264</v>
      </c>
    </row>
    <row r="2719" spans="1:14" x14ac:dyDescent="0.2">
      <c r="A2719" t="s">
        <v>3434</v>
      </c>
      <c r="B2719" s="1" t="s">
        <v>3426</v>
      </c>
      <c r="C2719" t="s">
        <v>20</v>
      </c>
      <c r="D2719" t="s">
        <v>812</v>
      </c>
      <c r="E2719">
        <v>12</v>
      </c>
      <c r="F2719" t="s">
        <v>3249</v>
      </c>
      <c r="G2719">
        <v>2023</v>
      </c>
      <c r="H2719" t="s">
        <v>3435</v>
      </c>
      <c r="I2719" t="s">
        <v>58</v>
      </c>
      <c r="J2719">
        <v>0</v>
      </c>
      <c r="K2719">
        <v>0</v>
      </c>
      <c r="L2719">
        <v>0</v>
      </c>
      <c r="M2719">
        <v>0</v>
      </c>
      <c r="N2719">
        <v>0</v>
      </c>
    </row>
    <row r="2720" spans="1:14" x14ac:dyDescent="0.2">
      <c r="A2720" t="s">
        <v>3436</v>
      </c>
      <c r="B2720" s="1" t="s">
        <v>3426</v>
      </c>
      <c r="C2720" t="s">
        <v>14</v>
      </c>
      <c r="D2720" t="s">
        <v>379</v>
      </c>
      <c r="E2720">
        <v>12</v>
      </c>
      <c r="F2720" t="s">
        <v>3249</v>
      </c>
      <c r="G2720">
        <v>2023</v>
      </c>
      <c r="H2720" t="s">
        <v>3437</v>
      </c>
      <c r="I2720" t="s">
        <v>160</v>
      </c>
      <c r="J2720">
        <v>799</v>
      </c>
      <c r="K2720">
        <v>205</v>
      </c>
      <c r="L2720">
        <f t="shared" ref="L2720:L2728" si="670">J2720-K2720</f>
        <v>594</v>
      </c>
      <c r="M2720">
        <v>240</v>
      </c>
      <c r="N2720">
        <f t="shared" ref="N2720:N2728" si="671">L2720-M2720</f>
        <v>354</v>
      </c>
    </row>
    <row r="2721" spans="1:14" x14ac:dyDescent="0.2">
      <c r="A2721" t="s">
        <v>3438</v>
      </c>
      <c r="B2721" s="1" t="s">
        <v>3426</v>
      </c>
      <c r="C2721" t="s">
        <v>14</v>
      </c>
      <c r="D2721" t="s">
        <v>490</v>
      </c>
      <c r="E2721">
        <v>12</v>
      </c>
      <c r="F2721" t="s">
        <v>3249</v>
      </c>
      <c r="G2721">
        <v>2023</v>
      </c>
      <c r="H2721" t="s">
        <v>246</v>
      </c>
      <c r="I2721" t="s">
        <v>58</v>
      </c>
      <c r="J2721">
        <v>899</v>
      </c>
      <c r="K2721">
        <v>295</v>
      </c>
      <c r="L2721">
        <f t="shared" si="670"/>
        <v>604</v>
      </c>
      <c r="M2721">
        <v>240</v>
      </c>
      <c r="N2721">
        <f t="shared" si="671"/>
        <v>364</v>
      </c>
    </row>
    <row r="2722" spans="1:14" x14ac:dyDescent="0.2">
      <c r="A2722" t="s">
        <v>3439</v>
      </c>
      <c r="B2722" s="1" t="s">
        <v>3426</v>
      </c>
      <c r="C2722" t="s">
        <v>14</v>
      </c>
      <c r="D2722" t="s">
        <v>452</v>
      </c>
      <c r="E2722">
        <v>12</v>
      </c>
      <c r="F2722" t="s">
        <v>3249</v>
      </c>
      <c r="G2722">
        <v>2023</v>
      </c>
      <c r="H2722" t="s">
        <v>3440</v>
      </c>
      <c r="I2722" t="s">
        <v>455</v>
      </c>
      <c r="J2722">
        <v>799</v>
      </c>
      <c r="K2722">
        <v>205</v>
      </c>
      <c r="L2722">
        <f t="shared" si="670"/>
        <v>594</v>
      </c>
      <c r="M2722">
        <v>240</v>
      </c>
      <c r="N2722">
        <f t="shared" si="671"/>
        <v>354</v>
      </c>
    </row>
    <row r="2723" spans="1:14" x14ac:dyDescent="0.2">
      <c r="A2723" t="s">
        <v>3441</v>
      </c>
      <c r="B2723" s="1" t="s">
        <v>3426</v>
      </c>
      <c r="C2723" t="s">
        <v>14</v>
      </c>
      <c r="D2723" t="s">
        <v>308</v>
      </c>
      <c r="E2723">
        <v>12</v>
      </c>
      <c r="F2723" t="s">
        <v>3249</v>
      </c>
      <c r="G2723">
        <v>2023</v>
      </c>
      <c r="H2723" t="s">
        <v>3442</v>
      </c>
      <c r="I2723" t="s">
        <v>212</v>
      </c>
      <c r="J2723">
        <v>899</v>
      </c>
      <c r="K2723">
        <v>295</v>
      </c>
      <c r="L2723">
        <f t="shared" si="670"/>
        <v>604</v>
      </c>
      <c r="M2723">
        <v>240</v>
      </c>
      <c r="N2723">
        <f t="shared" si="671"/>
        <v>364</v>
      </c>
    </row>
    <row r="2724" spans="1:14" x14ac:dyDescent="0.2">
      <c r="A2724" t="s">
        <v>3443</v>
      </c>
      <c r="B2724" s="1" t="s">
        <v>3426</v>
      </c>
      <c r="C2724" t="s">
        <v>14</v>
      </c>
      <c r="D2724" t="s">
        <v>344</v>
      </c>
      <c r="E2724">
        <v>12</v>
      </c>
      <c r="F2724" t="s">
        <v>3249</v>
      </c>
      <c r="G2724">
        <v>2023</v>
      </c>
      <c r="H2724" t="s">
        <v>104</v>
      </c>
      <c r="I2724" t="s">
        <v>62</v>
      </c>
      <c r="J2724">
        <v>799</v>
      </c>
      <c r="K2724">
        <v>205</v>
      </c>
      <c r="L2724">
        <f t="shared" si="670"/>
        <v>594</v>
      </c>
      <c r="M2724">
        <v>240</v>
      </c>
      <c r="N2724">
        <f t="shared" si="671"/>
        <v>354</v>
      </c>
    </row>
    <row r="2725" spans="1:14" x14ac:dyDescent="0.2">
      <c r="A2725" t="s">
        <v>3444</v>
      </c>
      <c r="B2725" s="1" t="s">
        <v>3426</v>
      </c>
      <c r="C2725" t="s">
        <v>14</v>
      </c>
      <c r="D2725" t="s">
        <v>81</v>
      </c>
      <c r="E2725">
        <v>12</v>
      </c>
      <c r="F2725" t="s">
        <v>3249</v>
      </c>
      <c r="G2725">
        <v>2023</v>
      </c>
      <c r="H2725" t="s">
        <v>3445</v>
      </c>
      <c r="I2725" t="s">
        <v>135</v>
      </c>
      <c r="J2725">
        <v>849</v>
      </c>
      <c r="K2725">
        <v>250</v>
      </c>
      <c r="L2725">
        <f t="shared" si="670"/>
        <v>599</v>
      </c>
      <c r="M2725">
        <v>240</v>
      </c>
      <c r="N2725">
        <f t="shared" si="671"/>
        <v>359</v>
      </c>
    </row>
    <row r="2726" spans="1:14" x14ac:dyDescent="0.2">
      <c r="A2726" t="s">
        <v>3446</v>
      </c>
      <c r="B2726" s="1" t="s">
        <v>3426</v>
      </c>
      <c r="C2726" t="s">
        <v>14</v>
      </c>
      <c r="D2726" t="s">
        <v>452</v>
      </c>
      <c r="E2726">
        <v>12</v>
      </c>
      <c r="F2726" t="s">
        <v>3249</v>
      </c>
      <c r="G2726">
        <v>2023</v>
      </c>
      <c r="H2726" t="s">
        <v>3447</v>
      </c>
      <c r="I2726" t="s">
        <v>122</v>
      </c>
      <c r="J2726">
        <v>799</v>
      </c>
      <c r="K2726">
        <v>205</v>
      </c>
      <c r="L2726">
        <f t="shared" si="670"/>
        <v>594</v>
      </c>
      <c r="M2726">
        <v>240</v>
      </c>
      <c r="N2726">
        <f t="shared" si="671"/>
        <v>354</v>
      </c>
    </row>
    <row r="2727" spans="1:14" x14ac:dyDescent="0.2">
      <c r="A2727" t="s">
        <v>3448</v>
      </c>
      <c r="B2727" s="1" t="s">
        <v>3426</v>
      </c>
      <c r="C2727" t="s">
        <v>14</v>
      </c>
      <c r="D2727" t="s">
        <v>1076</v>
      </c>
      <c r="E2727">
        <v>12</v>
      </c>
      <c r="F2727" t="s">
        <v>3249</v>
      </c>
      <c r="G2727">
        <v>2023</v>
      </c>
      <c r="H2727" t="s">
        <v>3449</v>
      </c>
      <c r="I2727" t="s">
        <v>85</v>
      </c>
      <c r="J2727">
        <v>849</v>
      </c>
      <c r="K2727">
        <v>250</v>
      </c>
      <c r="L2727">
        <f t="shared" si="670"/>
        <v>599</v>
      </c>
      <c r="M2727">
        <v>240</v>
      </c>
      <c r="N2727">
        <f t="shared" si="671"/>
        <v>359</v>
      </c>
    </row>
    <row r="2728" spans="1:14" x14ac:dyDescent="0.2">
      <c r="A2728" t="s">
        <v>3450</v>
      </c>
      <c r="B2728" s="1" t="s">
        <v>3426</v>
      </c>
      <c r="C2728" t="s">
        <v>14</v>
      </c>
      <c r="D2728" t="s">
        <v>169</v>
      </c>
      <c r="E2728">
        <v>12</v>
      </c>
      <c r="F2728" t="s">
        <v>3249</v>
      </c>
      <c r="G2728">
        <v>2023</v>
      </c>
      <c r="H2728" t="s">
        <v>3451</v>
      </c>
      <c r="I2728" t="s">
        <v>23</v>
      </c>
      <c r="J2728">
        <v>799</v>
      </c>
      <c r="K2728">
        <v>205</v>
      </c>
      <c r="L2728">
        <f t="shared" si="670"/>
        <v>594</v>
      </c>
      <c r="M2728">
        <v>240</v>
      </c>
      <c r="N2728">
        <f t="shared" si="671"/>
        <v>354</v>
      </c>
    </row>
    <row r="2729" spans="1:14" x14ac:dyDescent="0.2">
      <c r="A2729" t="s">
        <v>3334</v>
      </c>
      <c r="B2729" s="1" t="s">
        <v>3307</v>
      </c>
      <c r="C2729" t="s">
        <v>106</v>
      </c>
      <c r="D2729" t="s">
        <v>81</v>
      </c>
      <c r="E2729">
        <v>6</v>
      </c>
      <c r="F2729" t="s">
        <v>3249</v>
      </c>
      <c r="G2729">
        <v>2023</v>
      </c>
      <c r="H2729" t="s">
        <v>246</v>
      </c>
      <c r="I2729" t="s">
        <v>58</v>
      </c>
      <c r="J2729">
        <v>-849</v>
      </c>
      <c r="K2729">
        <v>345</v>
      </c>
      <c r="L2729">
        <f t="shared" ref="L2729:L2731" si="672">J2729+K2729</f>
        <v>-504</v>
      </c>
      <c r="M2729">
        <v>240</v>
      </c>
      <c r="N2729">
        <f t="shared" ref="N2729:N2731" si="673">L2729+M2729</f>
        <v>-264</v>
      </c>
    </row>
    <row r="2730" spans="1:14" x14ac:dyDescent="0.2">
      <c r="A2730" t="s">
        <v>3301</v>
      </c>
      <c r="B2730" s="1" t="s">
        <v>3292</v>
      </c>
      <c r="C2730" t="s">
        <v>106</v>
      </c>
      <c r="D2730" t="s">
        <v>504</v>
      </c>
      <c r="E2730">
        <v>4</v>
      </c>
      <c r="F2730" t="s">
        <v>3249</v>
      </c>
      <c r="G2730">
        <v>2023</v>
      </c>
      <c r="H2730" t="s">
        <v>1152</v>
      </c>
      <c r="I2730" t="s">
        <v>376</v>
      </c>
      <c r="J2730">
        <v>-899</v>
      </c>
      <c r="K2730">
        <v>375</v>
      </c>
      <c r="L2730">
        <f t="shared" si="672"/>
        <v>-524</v>
      </c>
      <c r="M2730">
        <v>240</v>
      </c>
      <c r="N2730">
        <f t="shared" si="673"/>
        <v>-284</v>
      </c>
    </row>
    <row r="2731" spans="1:14" x14ac:dyDescent="0.2">
      <c r="A2731" t="s">
        <v>3359</v>
      </c>
      <c r="B2731" s="1" t="s">
        <v>3324</v>
      </c>
      <c r="C2731" t="s">
        <v>106</v>
      </c>
      <c r="D2731" t="s">
        <v>1105</v>
      </c>
      <c r="E2731">
        <v>7</v>
      </c>
      <c r="F2731" t="s">
        <v>3249</v>
      </c>
      <c r="G2731">
        <v>2023</v>
      </c>
      <c r="H2731" t="s">
        <v>1733</v>
      </c>
      <c r="I2731" t="s">
        <v>23</v>
      </c>
      <c r="J2731">
        <v>-849</v>
      </c>
      <c r="K2731">
        <v>345</v>
      </c>
      <c r="L2731">
        <f t="shared" si="672"/>
        <v>-504</v>
      </c>
      <c r="M2731">
        <v>240</v>
      </c>
      <c r="N2731">
        <f t="shared" si="673"/>
        <v>-264</v>
      </c>
    </row>
    <row r="2732" spans="1:14" x14ac:dyDescent="0.2">
      <c r="A2732" t="s">
        <v>3453</v>
      </c>
      <c r="B2732" s="1" t="s">
        <v>3452</v>
      </c>
      <c r="C2732" t="s">
        <v>43</v>
      </c>
      <c r="D2732" t="s">
        <v>1076</v>
      </c>
      <c r="E2732">
        <v>13</v>
      </c>
      <c r="F2732" t="s">
        <v>3249</v>
      </c>
      <c r="G2732">
        <v>2023</v>
      </c>
      <c r="H2732" t="s">
        <v>3454</v>
      </c>
      <c r="I2732" t="s">
        <v>85</v>
      </c>
      <c r="J2732">
        <v>0</v>
      </c>
      <c r="K2732">
        <v>0</v>
      </c>
      <c r="L2732">
        <v>0</v>
      </c>
      <c r="M2732">
        <v>0</v>
      </c>
      <c r="N2732">
        <v>0</v>
      </c>
    </row>
    <row r="2733" spans="1:14" x14ac:dyDescent="0.2">
      <c r="A2733" t="s">
        <v>3455</v>
      </c>
      <c r="B2733" s="1" t="s">
        <v>3452</v>
      </c>
      <c r="C2733" t="s">
        <v>14</v>
      </c>
      <c r="D2733" t="s">
        <v>822</v>
      </c>
      <c r="E2733">
        <v>13</v>
      </c>
      <c r="F2733" t="s">
        <v>3249</v>
      </c>
      <c r="G2733">
        <v>2023</v>
      </c>
      <c r="H2733" t="s">
        <v>157</v>
      </c>
      <c r="I2733" t="s">
        <v>97</v>
      </c>
      <c r="J2733">
        <v>849</v>
      </c>
      <c r="K2733">
        <v>250</v>
      </c>
      <c r="L2733">
        <f t="shared" ref="L2733:L2741" si="674">J2733-K2733</f>
        <v>599</v>
      </c>
      <c r="M2733">
        <v>240</v>
      </c>
      <c r="N2733">
        <f t="shared" ref="N2733:N2741" si="675">L2733-M2733</f>
        <v>359</v>
      </c>
    </row>
    <row r="2734" spans="1:14" x14ac:dyDescent="0.2">
      <c r="A2734" t="s">
        <v>3456</v>
      </c>
      <c r="B2734" s="1" t="s">
        <v>3452</v>
      </c>
      <c r="C2734" t="s">
        <v>14</v>
      </c>
      <c r="D2734" t="s">
        <v>573</v>
      </c>
      <c r="E2734">
        <v>13</v>
      </c>
      <c r="F2734" t="s">
        <v>3249</v>
      </c>
      <c r="G2734">
        <v>2023</v>
      </c>
      <c r="H2734" t="s">
        <v>3097</v>
      </c>
      <c r="I2734" t="s">
        <v>180</v>
      </c>
      <c r="J2734">
        <v>899</v>
      </c>
      <c r="K2734">
        <v>295</v>
      </c>
      <c r="L2734">
        <f t="shared" si="674"/>
        <v>604</v>
      </c>
      <c r="M2734">
        <v>240</v>
      </c>
      <c r="N2734">
        <f t="shared" si="675"/>
        <v>364</v>
      </c>
    </row>
    <row r="2735" spans="1:14" x14ac:dyDescent="0.2">
      <c r="A2735" t="s">
        <v>3457</v>
      </c>
      <c r="B2735" s="1" t="s">
        <v>3452</v>
      </c>
      <c r="C2735" t="s">
        <v>14</v>
      </c>
      <c r="D2735" t="s">
        <v>1263</v>
      </c>
      <c r="E2735">
        <v>13</v>
      </c>
      <c r="F2735" t="s">
        <v>3249</v>
      </c>
      <c r="G2735">
        <v>2023</v>
      </c>
      <c r="H2735" t="s">
        <v>807</v>
      </c>
      <c r="I2735" t="s">
        <v>28</v>
      </c>
      <c r="J2735">
        <v>849</v>
      </c>
      <c r="K2735">
        <v>250</v>
      </c>
      <c r="L2735">
        <f t="shared" si="674"/>
        <v>599</v>
      </c>
      <c r="M2735">
        <v>240</v>
      </c>
      <c r="N2735">
        <f t="shared" si="675"/>
        <v>359</v>
      </c>
    </row>
    <row r="2736" spans="1:14" x14ac:dyDescent="0.2">
      <c r="A2736" t="s">
        <v>3458</v>
      </c>
      <c r="B2736" s="1" t="s">
        <v>3452</v>
      </c>
      <c r="C2736" t="s">
        <v>14</v>
      </c>
      <c r="D2736" t="s">
        <v>448</v>
      </c>
      <c r="E2736">
        <v>13</v>
      </c>
      <c r="F2736" t="s">
        <v>3249</v>
      </c>
      <c r="G2736">
        <v>2023</v>
      </c>
      <c r="H2736" t="s">
        <v>2866</v>
      </c>
      <c r="I2736" t="s">
        <v>376</v>
      </c>
      <c r="J2736">
        <v>899</v>
      </c>
      <c r="K2736">
        <v>295</v>
      </c>
      <c r="L2736">
        <f t="shared" si="674"/>
        <v>604</v>
      </c>
      <c r="M2736">
        <v>240</v>
      </c>
      <c r="N2736">
        <f t="shared" si="675"/>
        <v>364</v>
      </c>
    </row>
    <row r="2737" spans="1:14" x14ac:dyDescent="0.2">
      <c r="A2737" t="s">
        <v>3459</v>
      </c>
      <c r="B2737" s="1" t="s">
        <v>3452</v>
      </c>
      <c r="C2737" t="s">
        <v>14</v>
      </c>
      <c r="D2737" t="s">
        <v>117</v>
      </c>
      <c r="E2737">
        <v>13</v>
      </c>
      <c r="F2737" t="s">
        <v>3249</v>
      </c>
      <c r="G2737">
        <v>2023</v>
      </c>
      <c r="H2737" t="s">
        <v>3460</v>
      </c>
      <c r="I2737" t="s">
        <v>32</v>
      </c>
      <c r="J2737">
        <v>899</v>
      </c>
      <c r="K2737">
        <v>295</v>
      </c>
      <c r="L2737">
        <f t="shared" si="674"/>
        <v>604</v>
      </c>
      <c r="M2737">
        <v>240</v>
      </c>
      <c r="N2737">
        <f t="shared" si="675"/>
        <v>364</v>
      </c>
    </row>
    <row r="2738" spans="1:14" x14ac:dyDescent="0.2">
      <c r="A2738" t="s">
        <v>3461</v>
      </c>
      <c r="B2738" s="1" t="s">
        <v>3452</v>
      </c>
      <c r="C2738" t="s">
        <v>14</v>
      </c>
      <c r="D2738" t="s">
        <v>504</v>
      </c>
      <c r="E2738">
        <v>13</v>
      </c>
      <c r="F2738" t="s">
        <v>3249</v>
      </c>
      <c r="G2738">
        <v>2023</v>
      </c>
      <c r="H2738" t="s">
        <v>3462</v>
      </c>
      <c r="I2738" t="s">
        <v>160</v>
      </c>
      <c r="J2738">
        <v>899</v>
      </c>
      <c r="K2738">
        <v>295</v>
      </c>
      <c r="L2738">
        <f t="shared" si="674"/>
        <v>604</v>
      </c>
      <c r="M2738">
        <v>240</v>
      </c>
      <c r="N2738">
        <f t="shared" si="675"/>
        <v>364</v>
      </c>
    </row>
    <row r="2739" spans="1:14" x14ac:dyDescent="0.2">
      <c r="A2739" t="s">
        <v>3463</v>
      </c>
      <c r="B2739" s="1" t="s">
        <v>3452</v>
      </c>
      <c r="C2739" t="s">
        <v>14</v>
      </c>
      <c r="D2739" t="s">
        <v>2458</v>
      </c>
      <c r="E2739">
        <v>13</v>
      </c>
      <c r="F2739" t="s">
        <v>3249</v>
      </c>
      <c r="G2739">
        <v>2023</v>
      </c>
      <c r="H2739" t="s">
        <v>170</v>
      </c>
      <c r="I2739" t="s">
        <v>171</v>
      </c>
      <c r="J2739">
        <v>799</v>
      </c>
      <c r="K2739">
        <v>205</v>
      </c>
      <c r="L2739">
        <f t="shared" si="674"/>
        <v>594</v>
      </c>
      <c r="M2739">
        <v>240</v>
      </c>
      <c r="N2739">
        <f t="shared" si="675"/>
        <v>354</v>
      </c>
    </row>
    <row r="2740" spans="1:14" x14ac:dyDescent="0.2">
      <c r="A2740" t="s">
        <v>3464</v>
      </c>
      <c r="B2740" s="1" t="s">
        <v>3452</v>
      </c>
      <c r="C2740" t="s">
        <v>14</v>
      </c>
      <c r="D2740" t="s">
        <v>81</v>
      </c>
      <c r="E2740">
        <v>13</v>
      </c>
      <c r="F2740" t="s">
        <v>3249</v>
      </c>
      <c r="G2740">
        <v>2023</v>
      </c>
      <c r="H2740" t="s">
        <v>3465</v>
      </c>
      <c r="I2740" t="s">
        <v>97</v>
      </c>
      <c r="J2740">
        <v>849</v>
      </c>
      <c r="K2740">
        <v>250</v>
      </c>
      <c r="L2740">
        <f t="shared" si="674"/>
        <v>599</v>
      </c>
      <c r="M2740">
        <v>240</v>
      </c>
      <c r="N2740">
        <f t="shared" si="675"/>
        <v>359</v>
      </c>
    </row>
    <row r="2741" spans="1:14" x14ac:dyDescent="0.2">
      <c r="A2741" t="s">
        <v>3466</v>
      </c>
      <c r="B2741" s="1" t="s">
        <v>3452</v>
      </c>
      <c r="C2741" t="s">
        <v>14</v>
      </c>
      <c r="D2741" t="s">
        <v>1010</v>
      </c>
      <c r="E2741">
        <v>13</v>
      </c>
      <c r="F2741" t="s">
        <v>3249</v>
      </c>
      <c r="G2741">
        <v>2023</v>
      </c>
      <c r="H2741" t="s">
        <v>796</v>
      </c>
      <c r="I2741" t="s">
        <v>58</v>
      </c>
      <c r="J2741">
        <v>799</v>
      </c>
      <c r="K2741">
        <v>205</v>
      </c>
      <c r="L2741">
        <f t="shared" si="674"/>
        <v>594</v>
      </c>
      <c r="M2741">
        <v>240</v>
      </c>
      <c r="N2741">
        <f t="shared" si="675"/>
        <v>354</v>
      </c>
    </row>
    <row r="2742" spans="1:14" x14ac:dyDescent="0.2">
      <c r="A2742" t="s">
        <v>3467</v>
      </c>
      <c r="B2742" s="1" t="s">
        <v>3452</v>
      </c>
      <c r="C2742" t="s">
        <v>20</v>
      </c>
      <c r="D2742" t="s">
        <v>3378</v>
      </c>
      <c r="E2742">
        <v>13</v>
      </c>
      <c r="F2742" t="s">
        <v>3249</v>
      </c>
      <c r="G2742">
        <v>2023</v>
      </c>
      <c r="H2742" t="s">
        <v>3379</v>
      </c>
      <c r="I2742" t="s">
        <v>62</v>
      </c>
      <c r="J2742">
        <v>0</v>
      </c>
      <c r="K2742">
        <v>0</v>
      </c>
      <c r="L2742">
        <v>0</v>
      </c>
      <c r="M2742">
        <v>0</v>
      </c>
      <c r="N2742">
        <v>0</v>
      </c>
    </row>
    <row r="2743" spans="1:14" x14ac:dyDescent="0.2">
      <c r="A2743" t="s">
        <v>3468</v>
      </c>
      <c r="B2743" s="1" t="s">
        <v>3452</v>
      </c>
      <c r="C2743" t="s">
        <v>14</v>
      </c>
      <c r="D2743" t="s">
        <v>548</v>
      </c>
      <c r="E2743">
        <v>13</v>
      </c>
      <c r="F2743" t="s">
        <v>3249</v>
      </c>
      <c r="G2743">
        <v>2023</v>
      </c>
      <c r="H2743" t="s">
        <v>2173</v>
      </c>
      <c r="I2743" t="s">
        <v>23</v>
      </c>
      <c r="J2743">
        <v>899</v>
      </c>
      <c r="K2743">
        <v>295</v>
      </c>
      <c r="L2743">
        <f>J2743-K2743</f>
        <v>604</v>
      </c>
      <c r="M2743">
        <v>240</v>
      </c>
      <c r="N2743">
        <f>L2743-M2743</f>
        <v>364</v>
      </c>
    </row>
    <row r="2744" spans="1:14" x14ac:dyDescent="0.2">
      <c r="A2744" t="s">
        <v>3470</v>
      </c>
      <c r="B2744" s="1" t="s">
        <v>3469</v>
      </c>
      <c r="C2744" t="s">
        <v>43</v>
      </c>
      <c r="D2744" t="s">
        <v>812</v>
      </c>
      <c r="E2744">
        <v>15</v>
      </c>
      <c r="F2744" t="s">
        <v>3249</v>
      </c>
      <c r="G2744">
        <v>2023</v>
      </c>
      <c r="H2744" t="s">
        <v>3471</v>
      </c>
      <c r="I2744" t="s">
        <v>85</v>
      </c>
      <c r="J2744">
        <v>0</v>
      </c>
      <c r="K2744">
        <v>0</v>
      </c>
      <c r="L2744">
        <v>0</v>
      </c>
      <c r="M2744">
        <v>0</v>
      </c>
      <c r="N2744">
        <v>0</v>
      </c>
    </row>
    <row r="2745" spans="1:14" x14ac:dyDescent="0.2">
      <c r="A2745" t="s">
        <v>3472</v>
      </c>
      <c r="B2745" s="1" t="s">
        <v>3469</v>
      </c>
      <c r="C2745" t="s">
        <v>43</v>
      </c>
      <c r="D2745" t="s">
        <v>1105</v>
      </c>
      <c r="E2745">
        <v>15</v>
      </c>
      <c r="F2745" t="s">
        <v>3249</v>
      </c>
      <c r="G2745">
        <v>2023</v>
      </c>
      <c r="H2745" t="s">
        <v>796</v>
      </c>
      <c r="I2745" t="s">
        <v>58</v>
      </c>
      <c r="J2745">
        <v>0</v>
      </c>
      <c r="K2745">
        <v>0</v>
      </c>
      <c r="L2745">
        <v>0</v>
      </c>
      <c r="M2745">
        <v>0</v>
      </c>
      <c r="N2745">
        <v>0</v>
      </c>
    </row>
    <row r="2746" spans="1:14" x14ac:dyDescent="0.2">
      <c r="A2746" t="s">
        <v>3474</v>
      </c>
      <c r="B2746" s="1" t="s">
        <v>3473</v>
      </c>
      <c r="C2746" t="s">
        <v>43</v>
      </c>
      <c r="D2746" t="s">
        <v>452</v>
      </c>
      <c r="E2746">
        <v>14</v>
      </c>
      <c r="F2746" t="s">
        <v>3249</v>
      </c>
      <c r="G2746">
        <v>2023</v>
      </c>
      <c r="H2746" t="s">
        <v>3475</v>
      </c>
      <c r="I2746" t="s">
        <v>32</v>
      </c>
      <c r="J2746">
        <v>0</v>
      </c>
      <c r="K2746">
        <v>0</v>
      </c>
      <c r="L2746">
        <v>0</v>
      </c>
      <c r="M2746">
        <v>0</v>
      </c>
      <c r="N2746">
        <v>0</v>
      </c>
    </row>
    <row r="2747" spans="1:14" x14ac:dyDescent="0.2">
      <c r="A2747" t="s">
        <v>3422</v>
      </c>
      <c r="B2747" s="1" t="s">
        <v>3394</v>
      </c>
      <c r="C2747" t="s">
        <v>106</v>
      </c>
      <c r="D2747" t="s">
        <v>133</v>
      </c>
      <c r="E2747">
        <v>11</v>
      </c>
      <c r="F2747" t="s">
        <v>3249</v>
      </c>
      <c r="G2747">
        <v>2023</v>
      </c>
      <c r="H2747" t="s">
        <v>272</v>
      </c>
      <c r="I2747" t="s">
        <v>23</v>
      </c>
      <c r="J2747">
        <v>-799</v>
      </c>
      <c r="K2747">
        <v>320</v>
      </c>
      <c r="L2747">
        <f t="shared" ref="L2747:L2751" si="676">J2747+K2747</f>
        <v>-479</v>
      </c>
      <c r="M2747">
        <v>240</v>
      </c>
      <c r="N2747">
        <f t="shared" ref="N2747:N2751" si="677">L2747+M2747</f>
        <v>-239</v>
      </c>
    </row>
    <row r="2748" spans="1:14" x14ac:dyDescent="0.2">
      <c r="A2748" t="s">
        <v>3366</v>
      </c>
      <c r="B2748" s="1" t="s">
        <v>3345</v>
      </c>
      <c r="C2748" t="s">
        <v>106</v>
      </c>
      <c r="D2748" t="s">
        <v>3367</v>
      </c>
      <c r="E2748">
        <v>8</v>
      </c>
      <c r="F2748" t="s">
        <v>3249</v>
      </c>
      <c r="G2748">
        <v>2023</v>
      </c>
      <c r="H2748" t="s">
        <v>929</v>
      </c>
      <c r="I2748" t="s">
        <v>144</v>
      </c>
      <c r="J2748">
        <v>-999</v>
      </c>
      <c r="K2748">
        <v>395</v>
      </c>
      <c r="L2748">
        <f t="shared" si="676"/>
        <v>-604</v>
      </c>
      <c r="M2748">
        <v>240</v>
      </c>
      <c r="N2748">
        <f t="shared" si="677"/>
        <v>-364</v>
      </c>
    </row>
    <row r="2749" spans="1:14" x14ac:dyDescent="0.2">
      <c r="A2749" t="s">
        <v>3382</v>
      </c>
      <c r="B2749" s="1" t="s">
        <v>3380</v>
      </c>
      <c r="C2749" t="s">
        <v>106</v>
      </c>
      <c r="D2749" t="s">
        <v>242</v>
      </c>
      <c r="E2749">
        <v>9</v>
      </c>
      <c r="F2749" t="s">
        <v>3249</v>
      </c>
      <c r="G2749">
        <v>2023</v>
      </c>
      <c r="H2749" t="s">
        <v>22</v>
      </c>
      <c r="I2749" t="s">
        <v>23</v>
      </c>
      <c r="J2749">
        <v>-899</v>
      </c>
      <c r="K2749">
        <v>375</v>
      </c>
      <c r="L2749">
        <f t="shared" si="676"/>
        <v>-524</v>
      </c>
      <c r="M2749">
        <v>240</v>
      </c>
      <c r="N2749">
        <f t="shared" si="677"/>
        <v>-284</v>
      </c>
    </row>
    <row r="2750" spans="1:14" x14ac:dyDescent="0.2">
      <c r="A2750" t="s">
        <v>3352</v>
      </c>
      <c r="B2750" s="1" t="s">
        <v>3324</v>
      </c>
      <c r="C2750" t="s">
        <v>106</v>
      </c>
      <c r="D2750" t="s">
        <v>3353</v>
      </c>
      <c r="E2750">
        <v>7</v>
      </c>
      <c r="F2750" t="s">
        <v>3249</v>
      </c>
      <c r="G2750">
        <v>2023</v>
      </c>
      <c r="H2750" t="s">
        <v>796</v>
      </c>
      <c r="I2750" t="s">
        <v>58</v>
      </c>
      <c r="J2750">
        <v>-799</v>
      </c>
      <c r="K2750">
        <v>320</v>
      </c>
      <c r="L2750">
        <f t="shared" si="676"/>
        <v>-479</v>
      </c>
      <c r="M2750">
        <v>240</v>
      </c>
      <c r="N2750">
        <f t="shared" si="677"/>
        <v>-239</v>
      </c>
    </row>
    <row r="2751" spans="1:14" x14ac:dyDescent="0.2">
      <c r="A2751" t="s">
        <v>3429</v>
      </c>
      <c r="B2751" s="1" t="s">
        <v>3426</v>
      </c>
      <c r="C2751" t="s">
        <v>106</v>
      </c>
      <c r="D2751" t="s">
        <v>81</v>
      </c>
      <c r="E2751">
        <v>12</v>
      </c>
      <c r="F2751" t="s">
        <v>3249</v>
      </c>
      <c r="G2751">
        <v>2023</v>
      </c>
      <c r="H2751" t="s">
        <v>3287</v>
      </c>
      <c r="I2751" t="s">
        <v>250</v>
      </c>
      <c r="J2751">
        <v>-849</v>
      </c>
      <c r="K2751">
        <v>345</v>
      </c>
      <c r="L2751">
        <f t="shared" si="676"/>
        <v>-504</v>
      </c>
      <c r="M2751">
        <v>240</v>
      </c>
      <c r="N2751">
        <f t="shared" si="677"/>
        <v>-264</v>
      </c>
    </row>
    <row r="2752" spans="1:14" x14ac:dyDescent="0.2">
      <c r="A2752" t="s">
        <v>3476</v>
      </c>
      <c r="B2752" s="1" t="s">
        <v>3473</v>
      </c>
      <c r="C2752" t="s">
        <v>14</v>
      </c>
      <c r="D2752" t="s">
        <v>1076</v>
      </c>
      <c r="E2752">
        <v>14</v>
      </c>
      <c r="F2752" t="s">
        <v>3249</v>
      </c>
      <c r="G2752">
        <v>2023</v>
      </c>
      <c r="H2752" t="s">
        <v>18</v>
      </c>
      <c r="I2752" t="s">
        <v>19</v>
      </c>
      <c r="J2752">
        <v>849</v>
      </c>
      <c r="K2752">
        <v>250</v>
      </c>
      <c r="L2752">
        <f>J2752-K2752</f>
        <v>599</v>
      </c>
      <c r="M2752">
        <v>240</v>
      </c>
      <c r="N2752">
        <f>L2752-M2752</f>
        <v>359</v>
      </c>
    </row>
    <row r="2753" spans="1:14" x14ac:dyDescent="0.2">
      <c r="A2753" t="s">
        <v>3477</v>
      </c>
      <c r="B2753" s="1" t="s">
        <v>3469</v>
      </c>
      <c r="C2753" t="s">
        <v>20</v>
      </c>
      <c r="D2753" t="s">
        <v>504</v>
      </c>
      <c r="E2753">
        <v>15</v>
      </c>
      <c r="F2753" t="s">
        <v>3249</v>
      </c>
      <c r="G2753">
        <v>2023</v>
      </c>
      <c r="H2753" t="s">
        <v>49</v>
      </c>
      <c r="I2753" t="s">
        <v>32</v>
      </c>
      <c r="J2753">
        <v>0</v>
      </c>
      <c r="K2753">
        <v>0</v>
      </c>
      <c r="L2753">
        <v>0</v>
      </c>
      <c r="M2753">
        <v>0</v>
      </c>
      <c r="N2753">
        <v>0</v>
      </c>
    </row>
    <row r="2754" spans="1:14" x14ac:dyDescent="0.2">
      <c r="A2754" t="s">
        <v>3478</v>
      </c>
      <c r="B2754" s="1" t="s">
        <v>3469</v>
      </c>
      <c r="C2754" t="s">
        <v>14</v>
      </c>
      <c r="D2754" t="s">
        <v>819</v>
      </c>
      <c r="E2754">
        <v>15</v>
      </c>
      <c r="F2754" t="s">
        <v>3249</v>
      </c>
      <c r="G2754">
        <v>2023</v>
      </c>
      <c r="H2754" t="s">
        <v>779</v>
      </c>
      <c r="I2754" t="s">
        <v>58</v>
      </c>
      <c r="J2754">
        <v>999</v>
      </c>
      <c r="K2754">
        <v>325</v>
      </c>
      <c r="L2754">
        <f t="shared" ref="L2754:L2771" si="678">J2754-K2754</f>
        <v>674</v>
      </c>
      <c r="M2754">
        <v>240</v>
      </c>
      <c r="N2754">
        <f t="shared" ref="N2754:N2771" si="679">L2754-M2754</f>
        <v>434</v>
      </c>
    </row>
    <row r="2755" spans="1:14" x14ac:dyDescent="0.2">
      <c r="A2755" t="s">
        <v>3479</v>
      </c>
      <c r="B2755" s="1" t="s">
        <v>3469</v>
      </c>
      <c r="C2755" t="s">
        <v>14</v>
      </c>
      <c r="D2755" t="s">
        <v>923</v>
      </c>
      <c r="E2755">
        <v>15</v>
      </c>
      <c r="F2755" t="s">
        <v>3249</v>
      </c>
      <c r="G2755">
        <v>2023</v>
      </c>
      <c r="H2755" t="s">
        <v>170</v>
      </c>
      <c r="I2755" t="s">
        <v>171</v>
      </c>
      <c r="J2755">
        <v>849</v>
      </c>
      <c r="K2755">
        <v>250</v>
      </c>
      <c r="L2755">
        <f t="shared" si="678"/>
        <v>599</v>
      </c>
      <c r="M2755">
        <v>240</v>
      </c>
      <c r="N2755">
        <f t="shared" si="679"/>
        <v>359</v>
      </c>
    </row>
    <row r="2756" spans="1:14" x14ac:dyDescent="0.2">
      <c r="A2756" t="s">
        <v>3480</v>
      </c>
      <c r="B2756" s="1" t="s">
        <v>3473</v>
      </c>
      <c r="C2756" t="s">
        <v>14</v>
      </c>
      <c r="D2756" t="s">
        <v>1089</v>
      </c>
      <c r="E2756">
        <v>14</v>
      </c>
      <c r="F2756" t="s">
        <v>3249</v>
      </c>
      <c r="G2756">
        <v>2023</v>
      </c>
      <c r="H2756" t="s">
        <v>3481</v>
      </c>
      <c r="I2756" t="s">
        <v>376</v>
      </c>
      <c r="J2756">
        <v>799</v>
      </c>
      <c r="K2756">
        <v>205</v>
      </c>
      <c r="L2756">
        <f t="shared" si="678"/>
        <v>594</v>
      </c>
      <c r="M2756">
        <v>240</v>
      </c>
      <c r="N2756">
        <f t="shared" si="679"/>
        <v>354</v>
      </c>
    </row>
    <row r="2757" spans="1:14" x14ac:dyDescent="0.2">
      <c r="A2757" t="s">
        <v>3482</v>
      </c>
      <c r="B2757" s="1" t="s">
        <v>3469</v>
      </c>
      <c r="C2757" t="s">
        <v>14</v>
      </c>
      <c r="D2757" t="s">
        <v>81</v>
      </c>
      <c r="E2757">
        <v>15</v>
      </c>
      <c r="F2757" t="s">
        <v>3249</v>
      </c>
      <c r="G2757">
        <v>2023</v>
      </c>
      <c r="H2757" t="s">
        <v>1095</v>
      </c>
      <c r="I2757" t="s">
        <v>97</v>
      </c>
      <c r="J2757">
        <v>849</v>
      </c>
      <c r="K2757">
        <v>250</v>
      </c>
      <c r="L2757">
        <f t="shared" si="678"/>
        <v>599</v>
      </c>
      <c r="M2757">
        <v>240</v>
      </c>
      <c r="N2757">
        <f t="shared" si="679"/>
        <v>359</v>
      </c>
    </row>
    <row r="2758" spans="1:14" x14ac:dyDescent="0.2">
      <c r="A2758" t="s">
        <v>3472</v>
      </c>
      <c r="B2758" s="1" t="s">
        <v>3469</v>
      </c>
      <c r="C2758" t="s">
        <v>14</v>
      </c>
      <c r="D2758" t="s">
        <v>1105</v>
      </c>
      <c r="E2758">
        <v>15</v>
      </c>
      <c r="F2758" t="s">
        <v>3249</v>
      </c>
      <c r="G2758">
        <v>2023</v>
      </c>
      <c r="H2758" t="s">
        <v>796</v>
      </c>
      <c r="I2758" t="s">
        <v>58</v>
      </c>
      <c r="J2758">
        <v>849</v>
      </c>
      <c r="K2758">
        <v>250</v>
      </c>
      <c r="L2758">
        <f t="shared" si="678"/>
        <v>599</v>
      </c>
      <c r="M2758">
        <v>240</v>
      </c>
      <c r="N2758">
        <f t="shared" si="679"/>
        <v>359</v>
      </c>
    </row>
    <row r="2759" spans="1:14" x14ac:dyDescent="0.2">
      <c r="A2759" t="s">
        <v>3483</v>
      </c>
      <c r="B2759" s="1" t="s">
        <v>3469</v>
      </c>
      <c r="C2759" t="s">
        <v>14</v>
      </c>
      <c r="D2759" t="s">
        <v>1141</v>
      </c>
      <c r="E2759">
        <v>15</v>
      </c>
      <c r="F2759" t="s">
        <v>3249</v>
      </c>
      <c r="G2759">
        <v>2023</v>
      </c>
      <c r="H2759" t="s">
        <v>215</v>
      </c>
      <c r="I2759" t="s">
        <v>135</v>
      </c>
      <c r="J2759">
        <v>799</v>
      </c>
      <c r="K2759">
        <v>205</v>
      </c>
      <c r="L2759">
        <f t="shared" si="678"/>
        <v>594</v>
      </c>
      <c r="M2759">
        <v>240</v>
      </c>
      <c r="N2759">
        <f t="shared" si="679"/>
        <v>354</v>
      </c>
    </row>
    <row r="2760" spans="1:14" x14ac:dyDescent="0.2">
      <c r="A2760" t="s">
        <v>3484</v>
      </c>
      <c r="B2760" s="1" t="s">
        <v>3469</v>
      </c>
      <c r="C2760" t="s">
        <v>14</v>
      </c>
      <c r="D2760" t="s">
        <v>798</v>
      </c>
      <c r="E2760">
        <v>15</v>
      </c>
      <c r="F2760" t="s">
        <v>3249</v>
      </c>
      <c r="G2760">
        <v>2023</v>
      </c>
      <c r="H2760" t="s">
        <v>91</v>
      </c>
      <c r="I2760" t="s">
        <v>23</v>
      </c>
      <c r="J2760">
        <v>799</v>
      </c>
      <c r="K2760">
        <v>205</v>
      </c>
      <c r="L2760">
        <f t="shared" si="678"/>
        <v>594</v>
      </c>
      <c r="M2760">
        <v>240</v>
      </c>
      <c r="N2760">
        <f t="shared" si="679"/>
        <v>354</v>
      </c>
    </row>
    <row r="2761" spans="1:14" x14ac:dyDescent="0.2">
      <c r="A2761" t="s">
        <v>3485</v>
      </c>
      <c r="B2761" s="1" t="s">
        <v>3473</v>
      </c>
      <c r="C2761" t="s">
        <v>14</v>
      </c>
      <c r="D2761" t="s">
        <v>274</v>
      </c>
      <c r="E2761">
        <v>14</v>
      </c>
      <c r="F2761" t="s">
        <v>3249</v>
      </c>
      <c r="G2761">
        <v>2023</v>
      </c>
      <c r="H2761" t="s">
        <v>3486</v>
      </c>
      <c r="I2761" t="s">
        <v>23</v>
      </c>
      <c r="J2761">
        <v>799</v>
      </c>
      <c r="K2761">
        <v>205</v>
      </c>
      <c r="L2761">
        <f t="shared" si="678"/>
        <v>594</v>
      </c>
      <c r="M2761">
        <v>240</v>
      </c>
      <c r="N2761">
        <f t="shared" si="679"/>
        <v>354</v>
      </c>
    </row>
    <row r="2762" spans="1:14" x14ac:dyDescent="0.2">
      <c r="A2762" t="s">
        <v>3487</v>
      </c>
      <c r="B2762" s="1" t="s">
        <v>3473</v>
      </c>
      <c r="C2762" t="s">
        <v>14</v>
      </c>
      <c r="D2762" t="s">
        <v>448</v>
      </c>
      <c r="E2762">
        <v>14</v>
      </c>
      <c r="F2762" t="s">
        <v>3249</v>
      </c>
      <c r="G2762">
        <v>2023</v>
      </c>
      <c r="H2762" t="s">
        <v>309</v>
      </c>
      <c r="I2762" t="s">
        <v>212</v>
      </c>
      <c r="J2762">
        <v>899</v>
      </c>
      <c r="K2762">
        <v>295</v>
      </c>
      <c r="L2762">
        <f t="shared" si="678"/>
        <v>604</v>
      </c>
      <c r="M2762">
        <v>240</v>
      </c>
      <c r="N2762">
        <f t="shared" si="679"/>
        <v>364</v>
      </c>
    </row>
    <row r="2763" spans="1:14" x14ac:dyDescent="0.2">
      <c r="A2763" t="s">
        <v>3488</v>
      </c>
      <c r="B2763" s="1" t="s">
        <v>3473</v>
      </c>
      <c r="C2763" t="s">
        <v>14</v>
      </c>
      <c r="D2763" t="s">
        <v>3489</v>
      </c>
      <c r="E2763">
        <v>14</v>
      </c>
      <c r="F2763" t="s">
        <v>3249</v>
      </c>
      <c r="G2763">
        <v>2023</v>
      </c>
      <c r="H2763" t="s">
        <v>162</v>
      </c>
      <c r="I2763" t="s">
        <v>163</v>
      </c>
      <c r="J2763">
        <v>799</v>
      </c>
      <c r="K2763">
        <v>205</v>
      </c>
      <c r="L2763">
        <f t="shared" si="678"/>
        <v>594</v>
      </c>
      <c r="M2763">
        <v>240</v>
      </c>
      <c r="N2763">
        <f t="shared" si="679"/>
        <v>354</v>
      </c>
    </row>
    <row r="2764" spans="1:14" x14ac:dyDescent="0.2">
      <c r="A2764" t="s">
        <v>3490</v>
      </c>
      <c r="B2764" s="1" t="s">
        <v>3473</v>
      </c>
      <c r="C2764" t="s">
        <v>14</v>
      </c>
      <c r="D2764" t="s">
        <v>1215</v>
      </c>
      <c r="E2764">
        <v>14</v>
      </c>
      <c r="F2764" t="s">
        <v>3249</v>
      </c>
      <c r="G2764">
        <v>2023</v>
      </c>
      <c r="H2764" t="s">
        <v>246</v>
      </c>
      <c r="I2764" t="s">
        <v>58</v>
      </c>
      <c r="J2764">
        <v>799</v>
      </c>
      <c r="K2764">
        <v>205</v>
      </c>
      <c r="L2764">
        <f t="shared" si="678"/>
        <v>594</v>
      </c>
      <c r="M2764">
        <v>240</v>
      </c>
      <c r="N2764">
        <f t="shared" si="679"/>
        <v>354</v>
      </c>
    </row>
    <row r="2765" spans="1:14" x14ac:dyDescent="0.2">
      <c r="A2765" t="s">
        <v>3491</v>
      </c>
      <c r="B2765" s="1" t="s">
        <v>3473</v>
      </c>
      <c r="C2765" t="s">
        <v>14</v>
      </c>
      <c r="D2765" t="s">
        <v>1193</v>
      </c>
      <c r="E2765">
        <v>14</v>
      </c>
      <c r="F2765" t="s">
        <v>3249</v>
      </c>
      <c r="G2765">
        <v>2023</v>
      </c>
      <c r="H2765" t="s">
        <v>3492</v>
      </c>
      <c r="I2765" t="s">
        <v>883</v>
      </c>
      <c r="J2765">
        <v>899</v>
      </c>
      <c r="K2765">
        <v>295</v>
      </c>
      <c r="L2765">
        <f t="shared" si="678"/>
        <v>604</v>
      </c>
      <c r="M2765">
        <v>240</v>
      </c>
      <c r="N2765">
        <f t="shared" si="679"/>
        <v>364</v>
      </c>
    </row>
    <row r="2766" spans="1:14" x14ac:dyDescent="0.2">
      <c r="A2766" t="s">
        <v>3493</v>
      </c>
      <c r="B2766" s="1" t="s">
        <v>3473</v>
      </c>
      <c r="C2766" t="s">
        <v>14</v>
      </c>
      <c r="D2766" t="s">
        <v>379</v>
      </c>
      <c r="E2766">
        <v>14</v>
      </c>
      <c r="F2766" t="s">
        <v>3249</v>
      </c>
      <c r="G2766">
        <v>2023</v>
      </c>
      <c r="H2766" t="s">
        <v>3494</v>
      </c>
      <c r="I2766" t="s">
        <v>455</v>
      </c>
      <c r="J2766">
        <v>799</v>
      </c>
      <c r="K2766">
        <v>205</v>
      </c>
      <c r="L2766">
        <f t="shared" si="678"/>
        <v>594</v>
      </c>
      <c r="M2766">
        <v>240</v>
      </c>
      <c r="N2766">
        <f t="shared" si="679"/>
        <v>354</v>
      </c>
    </row>
    <row r="2767" spans="1:14" x14ac:dyDescent="0.2">
      <c r="A2767" t="s">
        <v>3495</v>
      </c>
      <c r="B2767" s="1" t="s">
        <v>3473</v>
      </c>
      <c r="C2767" t="s">
        <v>14</v>
      </c>
      <c r="D2767" t="s">
        <v>242</v>
      </c>
      <c r="E2767">
        <v>14</v>
      </c>
      <c r="F2767" t="s">
        <v>3249</v>
      </c>
      <c r="G2767">
        <v>2023</v>
      </c>
      <c r="H2767" t="s">
        <v>3496</v>
      </c>
      <c r="I2767" t="s">
        <v>19</v>
      </c>
      <c r="J2767">
        <v>899</v>
      </c>
      <c r="K2767">
        <v>295</v>
      </c>
      <c r="L2767">
        <f t="shared" si="678"/>
        <v>604</v>
      </c>
      <c r="M2767">
        <v>240</v>
      </c>
      <c r="N2767">
        <f t="shared" si="679"/>
        <v>364</v>
      </c>
    </row>
    <row r="2768" spans="1:14" x14ac:dyDescent="0.2">
      <c r="A2768" t="s">
        <v>3470</v>
      </c>
      <c r="B2768" s="1" t="s">
        <v>3469</v>
      </c>
      <c r="C2768" t="s">
        <v>14</v>
      </c>
      <c r="D2768" t="s">
        <v>812</v>
      </c>
      <c r="E2768">
        <v>15</v>
      </c>
      <c r="F2768" t="s">
        <v>3249</v>
      </c>
      <c r="G2768">
        <v>2023</v>
      </c>
      <c r="H2768" t="s">
        <v>3471</v>
      </c>
      <c r="I2768" t="s">
        <v>85</v>
      </c>
      <c r="J2768">
        <v>999</v>
      </c>
      <c r="K2768">
        <v>325</v>
      </c>
      <c r="L2768">
        <f t="shared" si="678"/>
        <v>674</v>
      </c>
      <c r="M2768">
        <v>240</v>
      </c>
      <c r="N2768">
        <f t="shared" si="679"/>
        <v>434</v>
      </c>
    </row>
    <row r="2769" spans="1:14" x14ac:dyDescent="0.2">
      <c r="A2769" t="s">
        <v>3497</v>
      </c>
      <c r="B2769" s="1" t="s">
        <v>3469</v>
      </c>
      <c r="C2769" t="s">
        <v>14</v>
      </c>
      <c r="D2769" t="s">
        <v>1556</v>
      </c>
      <c r="E2769">
        <v>15</v>
      </c>
      <c r="F2769" t="s">
        <v>3249</v>
      </c>
      <c r="G2769">
        <v>2023</v>
      </c>
      <c r="H2769" t="s">
        <v>65</v>
      </c>
      <c r="I2769" t="s">
        <v>37</v>
      </c>
      <c r="J2769">
        <v>899</v>
      </c>
      <c r="K2769">
        <v>295</v>
      </c>
      <c r="L2769">
        <f t="shared" si="678"/>
        <v>604</v>
      </c>
      <c r="M2769">
        <v>240</v>
      </c>
      <c r="N2769">
        <f t="shared" si="679"/>
        <v>364</v>
      </c>
    </row>
    <row r="2770" spans="1:14" x14ac:dyDescent="0.2">
      <c r="A2770" t="s">
        <v>3498</v>
      </c>
      <c r="B2770" s="1" t="s">
        <v>3469</v>
      </c>
      <c r="C2770" t="s">
        <v>14</v>
      </c>
      <c r="D2770" t="s">
        <v>792</v>
      </c>
      <c r="E2770">
        <v>15</v>
      </c>
      <c r="F2770" t="s">
        <v>3249</v>
      </c>
      <c r="G2770">
        <v>2023</v>
      </c>
      <c r="H2770" t="s">
        <v>3499</v>
      </c>
      <c r="I2770" t="s">
        <v>23</v>
      </c>
      <c r="J2770">
        <v>849</v>
      </c>
      <c r="K2770">
        <v>250</v>
      </c>
      <c r="L2770">
        <f t="shared" si="678"/>
        <v>599</v>
      </c>
      <c r="M2770">
        <v>240</v>
      </c>
      <c r="N2770">
        <f t="shared" si="679"/>
        <v>359</v>
      </c>
    </row>
    <row r="2771" spans="1:14" x14ac:dyDescent="0.2">
      <c r="A2771" t="s">
        <v>3500</v>
      </c>
      <c r="B2771" s="1" t="s">
        <v>3473</v>
      </c>
      <c r="C2771" t="s">
        <v>14</v>
      </c>
      <c r="D2771" t="s">
        <v>2555</v>
      </c>
      <c r="E2771">
        <v>14</v>
      </c>
      <c r="F2771" t="s">
        <v>3249</v>
      </c>
      <c r="G2771">
        <v>2023</v>
      </c>
      <c r="H2771" t="s">
        <v>170</v>
      </c>
      <c r="I2771" t="s">
        <v>171</v>
      </c>
      <c r="J2771">
        <v>999</v>
      </c>
      <c r="K2771">
        <v>325</v>
      </c>
      <c r="L2771">
        <f t="shared" si="678"/>
        <v>674</v>
      </c>
      <c r="M2771">
        <v>240</v>
      </c>
      <c r="N2771">
        <f t="shared" si="679"/>
        <v>434</v>
      </c>
    </row>
    <row r="2772" spans="1:14" x14ac:dyDescent="0.2">
      <c r="A2772" t="s">
        <v>3407</v>
      </c>
      <c r="B2772" s="1" t="s">
        <v>3397</v>
      </c>
      <c r="C2772" t="s">
        <v>106</v>
      </c>
      <c r="D2772" t="s">
        <v>379</v>
      </c>
      <c r="E2772">
        <v>10</v>
      </c>
      <c r="F2772" t="s">
        <v>3249</v>
      </c>
      <c r="G2772">
        <v>2023</v>
      </c>
      <c r="H2772" t="s">
        <v>3027</v>
      </c>
      <c r="I2772" t="s">
        <v>135</v>
      </c>
      <c r="J2772">
        <v>-799</v>
      </c>
      <c r="K2772">
        <v>320</v>
      </c>
      <c r="L2772">
        <f t="shared" ref="L2772:L2773" si="680">J2772+K2772</f>
        <v>-479</v>
      </c>
      <c r="M2772">
        <v>240</v>
      </c>
      <c r="N2772">
        <f t="shared" ref="N2772:N2773" si="681">L2772+M2772</f>
        <v>-239</v>
      </c>
    </row>
    <row r="2773" spans="1:14" x14ac:dyDescent="0.2">
      <c r="A2773" t="s">
        <v>3405</v>
      </c>
      <c r="B2773" s="1" t="s">
        <v>3380</v>
      </c>
      <c r="C2773" t="s">
        <v>106</v>
      </c>
      <c r="D2773" t="s">
        <v>1105</v>
      </c>
      <c r="E2773">
        <v>9</v>
      </c>
      <c r="F2773" t="s">
        <v>3249</v>
      </c>
      <c r="G2773">
        <v>2023</v>
      </c>
      <c r="H2773" t="s">
        <v>104</v>
      </c>
      <c r="I2773" t="s">
        <v>62</v>
      </c>
      <c r="J2773">
        <v>-849</v>
      </c>
      <c r="K2773">
        <v>345</v>
      </c>
      <c r="L2773">
        <f t="shared" si="680"/>
        <v>-504</v>
      </c>
      <c r="M2773">
        <v>240</v>
      </c>
      <c r="N2773">
        <f t="shared" si="681"/>
        <v>-264</v>
      </c>
    </row>
    <row r="2774" spans="1:14" x14ac:dyDescent="0.2">
      <c r="A2774" t="s">
        <v>3502</v>
      </c>
      <c r="B2774" s="1" t="s">
        <v>3501</v>
      </c>
      <c r="C2774" t="s">
        <v>43</v>
      </c>
      <c r="D2774" t="s">
        <v>133</v>
      </c>
      <c r="E2774">
        <v>17</v>
      </c>
      <c r="F2774" t="s">
        <v>3249</v>
      </c>
      <c r="G2774">
        <v>2023</v>
      </c>
      <c r="H2774" t="s">
        <v>1633</v>
      </c>
      <c r="I2774" t="s">
        <v>163</v>
      </c>
      <c r="J2774">
        <v>0</v>
      </c>
      <c r="K2774">
        <v>0</v>
      </c>
      <c r="L2774">
        <v>0</v>
      </c>
      <c r="M2774">
        <v>0</v>
      </c>
      <c r="N2774">
        <v>0</v>
      </c>
    </row>
    <row r="2775" spans="1:14" x14ac:dyDescent="0.2">
      <c r="A2775" t="s">
        <v>3350</v>
      </c>
      <c r="B2775" s="1" t="s">
        <v>3324</v>
      </c>
      <c r="C2775" t="s">
        <v>106</v>
      </c>
      <c r="D2775" t="s">
        <v>809</v>
      </c>
      <c r="E2775">
        <v>7</v>
      </c>
      <c r="F2775" t="s">
        <v>3249</v>
      </c>
      <c r="G2775">
        <v>2023</v>
      </c>
      <c r="H2775" t="s">
        <v>246</v>
      </c>
      <c r="I2775" t="s">
        <v>58</v>
      </c>
      <c r="J2775">
        <v>-999</v>
      </c>
      <c r="K2775">
        <v>395</v>
      </c>
      <c r="L2775">
        <f>J2775+K2775</f>
        <v>-604</v>
      </c>
      <c r="M2775">
        <v>240</v>
      </c>
      <c r="N2775">
        <f>L2775+M2775</f>
        <v>-364</v>
      </c>
    </row>
    <row r="2776" spans="1:14" x14ac:dyDescent="0.2">
      <c r="A2776" t="s">
        <v>3503</v>
      </c>
      <c r="B2776" s="1" t="s">
        <v>3469</v>
      </c>
      <c r="C2776" t="s">
        <v>14</v>
      </c>
      <c r="D2776" t="s">
        <v>242</v>
      </c>
      <c r="E2776">
        <v>15</v>
      </c>
      <c r="F2776" t="s">
        <v>3249</v>
      </c>
      <c r="G2776">
        <v>2023</v>
      </c>
      <c r="H2776" t="s">
        <v>1696</v>
      </c>
      <c r="I2776" t="s">
        <v>23</v>
      </c>
      <c r="J2776">
        <v>899</v>
      </c>
      <c r="K2776">
        <v>295</v>
      </c>
      <c r="L2776">
        <f t="shared" ref="L2776:L2781" si="682">J2776-K2776</f>
        <v>604</v>
      </c>
      <c r="M2776">
        <v>240</v>
      </c>
      <c r="N2776">
        <f t="shared" ref="N2776:N2781" si="683">L2776-M2776</f>
        <v>364</v>
      </c>
    </row>
    <row r="2777" spans="1:14" x14ac:dyDescent="0.2">
      <c r="A2777" t="s">
        <v>3505</v>
      </c>
      <c r="B2777" s="1" t="s">
        <v>3504</v>
      </c>
      <c r="C2777" t="s">
        <v>14</v>
      </c>
      <c r="D2777" t="s">
        <v>490</v>
      </c>
      <c r="E2777">
        <v>16</v>
      </c>
      <c r="F2777" t="s">
        <v>3249</v>
      </c>
      <c r="G2777">
        <v>2023</v>
      </c>
      <c r="H2777" t="s">
        <v>796</v>
      </c>
      <c r="I2777" t="s">
        <v>58</v>
      </c>
      <c r="J2777">
        <v>899</v>
      </c>
      <c r="K2777">
        <v>295</v>
      </c>
      <c r="L2777">
        <f t="shared" si="682"/>
        <v>604</v>
      </c>
      <c r="M2777">
        <v>240</v>
      </c>
      <c r="N2777">
        <f t="shared" si="683"/>
        <v>364</v>
      </c>
    </row>
    <row r="2778" spans="1:14" x14ac:dyDescent="0.2">
      <c r="A2778" t="s">
        <v>3506</v>
      </c>
      <c r="B2778" s="1" t="s">
        <v>3504</v>
      </c>
      <c r="C2778" t="s">
        <v>14</v>
      </c>
      <c r="D2778" t="s">
        <v>809</v>
      </c>
      <c r="E2778">
        <v>16</v>
      </c>
      <c r="F2778" t="s">
        <v>3249</v>
      </c>
      <c r="G2778">
        <v>2023</v>
      </c>
      <c r="H2778" t="s">
        <v>3507</v>
      </c>
      <c r="I2778" t="s">
        <v>23</v>
      </c>
      <c r="J2778">
        <v>999</v>
      </c>
      <c r="K2778">
        <v>325</v>
      </c>
      <c r="L2778">
        <f t="shared" si="682"/>
        <v>674</v>
      </c>
      <c r="M2778">
        <v>240</v>
      </c>
      <c r="N2778">
        <f t="shared" si="683"/>
        <v>434</v>
      </c>
    </row>
    <row r="2779" spans="1:14" x14ac:dyDescent="0.2">
      <c r="A2779" t="s">
        <v>3508</v>
      </c>
      <c r="B2779" s="1" t="s">
        <v>3504</v>
      </c>
      <c r="C2779" t="s">
        <v>14</v>
      </c>
      <c r="D2779" t="s">
        <v>1037</v>
      </c>
      <c r="E2779">
        <v>16</v>
      </c>
      <c r="F2779" t="s">
        <v>3249</v>
      </c>
      <c r="G2779">
        <v>2023</v>
      </c>
      <c r="H2779" t="s">
        <v>3509</v>
      </c>
      <c r="I2779" t="s">
        <v>62</v>
      </c>
      <c r="J2779">
        <v>799</v>
      </c>
      <c r="K2779">
        <v>205</v>
      </c>
      <c r="L2779">
        <f t="shared" si="682"/>
        <v>594</v>
      </c>
      <c r="M2779">
        <v>240</v>
      </c>
      <c r="N2779">
        <f t="shared" si="683"/>
        <v>354</v>
      </c>
    </row>
    <row r="2780" spans="1:14" x14ac:dyDescent="0.2">
      <c r="A2780" t="s">
        <v>3510</v>
      </c>
      <c r="B2780" s="1" t="s">
        <v>3469</v>
      </c>
      <c r="C2780" t="s">
        <v>14</v>
      </c>
      <c r="D2780" t="s">
        <v>993</v>
      </c>
      <c r="E2780">
        <v>15</v>
      </c>
      <c r="F2780" t="s">
        <v>3249</v>
      </c>
      <c r="G2780">
        <v>2023</v>
      </c>
      <c r="H2780" t="s">
        <v>185</v>
      </c>
      <c r="I2780" t="s">
        <v>62</v>
      </c>
      <c r="J2780">
        <v>799</v>
      </c>
      <c r="K2780">
        <v>205</v>
      </c>
      <c r="L2780">
        <f t="shared" si="682"/>
        <v>594</v>
      </c>
      <c r="M2780">
        <v>240</v>
      </c>
      <c r="N2780">
        <f t="shared" si="683"/>
        <v>354</v>
      </c>
    </row>
    <row r="2781" spans="1:14" x14ac:dyDescent="0.2">
      <c r="A2781" t="s">
        <v>3511</v>
      </c>
      <c r="B2781" s="1" t="s">
        <v>3504</v>
      </c>
      <c r="C2781" t="s">
        <v>14</v>
      </c>
      <c r="D2781" t="s">
        <v>45</v>
      </c>
      <c r="E2781">
        <v>16</v>
      </c>
      <c r="F2781" t="s">
        <v>3249</v>
      </c>
      <c r="G2781">
        <v>2023</v>
      </c>
      <c r="H2781" t="s">
        <v>2564</v>
      </c>
      <c r="I2781" t="s">
        <v>62</v>
      </c>
      <c r="J2781">
        <v>899</v>
      </c>
      <c r="K2781">
        <v>295</v>
      </c>
      <c r="L2781">
        <f t="shared" si="682"/>
        <v>604</v>
      </c>
      <c r="M2781">
        <v>240</v>
      </c>
      <c r="N2781">
        <f t="shared" si="683"/>
        <v>364</v>
      </c>
    </row>
    <row r="2782" spans="1:14" x14ac:dyDescent="0.2">
      <c r="A2782" t="s">
        <v>3463</v>
      </c>
      <c r="B2782" s="1" t="s">
        <v>3452</v>
      </c>
      <c r="C2782" t="s">
        <v>106</v>
      </c>
      <c r="D2782" t="s">
        <v>2458</v>
      </c>
      <c r="E2782">
        <v>13</v>
      </c>
      <c r="F2782" t="s">
        <v>3249</v>
      </c>
      <c r="G2782">
        <v>2023</v>
      </c>
      <c r="H2782" t="s">
        <v>170</v>
      </c>
      <c r="I2782" t="s">
        <v>171</v>
      </c>
      <c r="J2782">
        <v>-799</v>
      </c>
      <c r="K2782">
        <v>320</v>
      </c>
      <c r="L2782">
        <f t="shared" ref="L2782:L2783" si="684">J2782+K2782</f>
        <v>-479</v>
      </c>
      <c r="M2782">
        <v>240</v>
      </c>
      <c r="N2782">
        <f t="shared" ref="N2782:N2783" si="685">L2782+M2782</f>
        <v>-239</v>
      </c>
    </row>
    <row r="2783" spans="1:14" x14ac:dyDescent="0.2">
      <c r="A2783" t="s">
        <v>3400</v>
      </c>
      <c r="B2783" s="1" t="s">
        <v>3394</v>
      </c>
      <c r="C2783" t="s">
        <v>106</v>
      </c>
      <c r="D2783" t="s">
        <v>1386</v>
      </c>
      <c r="E2783">
        <v>11</v>
      </c>
      <c r="F2783" t="s">
        <v>3249</v>
      </c>
      <c r="G2783">
        <v>2023</v>
      </c>
      <c r="H2783" t="s">
        <v>272</v>
      </c>
      <c r="I2783" t="s">
        <v>23</v>
      </c>
      <c r="J2783">
        <v>-799</v>
      </c>
      <c r="K2783">
        <v>320</v>
      </c>
      <c r="L2783">
        <f t="shared" si="684"/>
        <v>-479</v>
      </c>
      <c r="M2783">
        <v>240</v>
      </c>
      <c r="N2783">
        <f t="shared" si="685"/>
        <v>-239</v>
      </c>
    </row>
    <row r="2784" spans="1:14" x14ac:dyDescent="0.2">
      <c r="A2784" t="s">
        <v>3512</v>
      </c>
      <c r="B2784" s="1" t="s">
        <v>3469</v>
      </c>
      <c r="C2784" t="s">
        <v>14</v>
      </c>
      <c r="D2784" t="s">
        <v>895</v>
      </c>
      <c r="E2784">
        <v>15</v>
      </c>
      <c r="F2784" t="s">
        <v>3249</v>
      </c>
      <c r="G2784">
        <v>2023</v>
      </c>
      <c r="H2784" t="s">
        <v>3513</v>
      </c>
      <c r="I2784" t="s">
        <v>97</v>
      </c>
      <c r="J2784">
        <v>849</v>
      </c>
      <c r="K2784">
        <v>250</v>
      </c>
      <c r="L2784">
        <f>J2784-K2784</f>
        <v>599</v>
      </c>
      <c r="M2784">
        <v>240</v>
      </c>
      <c r="N2784">
        <f>L2784-M2784</f>
        <v>359</v>
      </c>
    </row>
    <row r="2785" spans="1:14" x14ac:dyDescent="0.2">
      <c r="A2785" t="s">
        <v>3514</v>
      </c>
      <c r="B2785" s="1" t="s">
        <v>3501</v>
      </c>
      <c r="C2785" t="s">
        <v>43</v>
      </c>
      <c r="D2785" t="s">
        <v>1548</v>
      </c>
      <c r="E2785">
        <v>17</v>
      </c>
      <c r="F2785" t="s">
        <v>3249</v>
      </c>
      <c r="G2785">
        <v>2023</v>
      </c>
      <c r="H2785" t="s">
        <v>3515</v>
      </c>
      <c r="I2785" t="s">
        <v>62</v>
      </c>
      <c r="J2785">
        <v>0</v>
      </c>
      <c r="K2785">
        <v>0</v>
      </c>
      <c r="L2785">
        <v>0</v>
      </c>
      <c r="M2785">
        <v>0</v>
      </c>
      <c r="N2785">
        <v>0</v>
      </c>
    </row>
    <row r="2786" spans="1:14" x14ac:dyDescent="0.2">
      <c r="A2786" t="s">
        <v>3425</v>
      </c>
      <c r="B2786" s="1" t="s">
        <v>3394</v>
      </c>
      <c r="C2786" t="s">
        <v>106</v>
      </c>
      <c r="D2786" t="s">
        <v>81</v>
      </c>
      <c r="E2786">
        <v>11</v>
      </c>
      <c r="F2786" t="s">
        <v>3249</v>
      </c>
      <c r="G2786">
        <v>2023</v>
      </c>
      <c r="H2786" t="s">
        <v>246</v>
      </c>
      <c r="I2786" t="s">
        <v>58</v>
      </c>
      <c r="J2786">
        <v>-849</v>
      </c>
      <c r="K2786">
        <v>345</v>
      </c>
      <c r="L2786">
        <f>J2786+K2786</f>
        <v>-504</v>
      </c>
      <c r="M2786">
        <v>240</v>
      </c>
      <c r="N2786">
        <f>L2786+M2786</f>
        <v>-264</v>
      </c>
    </row>
    <row r="2787" spans="1:14" x14ac:dyDescent="0.2">
      <c r="A2787" t="s">
        <v>3516</v>
      </c>
      <c r="B2787" s="1" t="s">
        <v>3501</v>
      </c>
      <c r="C2787" t="s">
        <v>14</v>
      </c>
      <c r="D2787" t="s">
        <v>504</v>
      </c>
      <c r="E2787">
        <v>17</v>
      </c>
      <c r="F2787" t="s">
        <v>3249</v>
      </c>
      <c r="G2787">
        <v>2023</v>
      </c>
      <c r="H2787" t="s">
        <v>1997</v>
      </c>
      <c r="I2787" t="s">
        <v>250</v>
      </c>
      <c r="J2787">
        <v>899</v>
      </c>
      <c r="K2787">
        <v>295</v>
      </c>
      <c r="L2787">
        <f t="shared" ref="L2787:L2794" si="686">J2787-K2787</f>
        <v>604</v>
      </c>
      <c r="M2787">
        <v>240</v>
      </c>
      <c r="N2787">
        <f t="shared" ref="N2787:N2794" si="687">L2787-M2787</f>
        <v>364</v>
      </c>
    </row>
    <row r="2788" spans="1:14" x14ac:dyDescent="0.2">
      <c r="A2788" t="s">
        <v>3517</v>
      </c>
      <c r="B2788" s="1" t="s">
        <v>3501</v>
      </c>
      <c r="C2788" t="s">
        <v>14</v>
      </c>
      <c r="D2788" t="s">
        <v>504</v>
      </c>
      <c r="E2788">
        <v>17</v>
      </c>
      <c r="F2788" t="s">
        <v>3249</v>
      </c>
      <c r="G2788">
        <v>2023</v>
      </c>
      <c r="H2788" t="s">
        <v>1290</v>
      </c>
      <c r="I2788" t="s">
        <v>58</v>
      </c>
      <c r="J2788">
        <v>899</v>
      </c>
      <c r="K2788">
        <v>295</v>
      </c>
      <c r="L2788">
        <f t="shared" si="686"/>
        <v>604</v>
      </c>
      <c r="M2788">
        <v>240</v>
      </c>
      <c r="N2788">
        <f t="shared" si="687"/>
        <v>364</v>
      </c>
    </row>
    <row r="2789" spans="1:14" x14ac:dyDescent="0.2">
      <c r="A2789" t="s">
        <v>3519</v>
      </c>
      <c r="B2789" s="1" t="s">
        <v>3518</v>
      </c>
      <c r="C2789" t="s">
        <v>14</v>
      </c>
      <c r="D2789" t="s">
        <v>117</v>
      </c>
      <c r="E2789">
        <v>18</v>
      </c>
      <c r="F2789" t="s">
        <v>3249</v>
      </c>
      <c r="G2789">
        <v>2023</v>
      </c>
      <c r="H2789" t="s">
        <v>49</v>
      </c>
      <c r="I2789" t="s">
        <v>32</v>
      </c>
      <c r="J2789">
        <v>899</v>
      </c>
      <c r="K2789">
        <v>295</v>
      </c>
      <c r="L2789">
        <f t="shared" si="686"/>
        <v>604</v>
      </c>
      <c r="M2789">
        <v>240</v>
      </c>
      <c r="N2789">
        <f t="shared" si="687"/>
        <v>364</v>
      </c>
    </row>
    <row r="2790" spans="1:14" x14ac:dyDescent="0.2">
      <c r="A2790" t="s">
        <v>3520</v>
      </c>
      <c r="B2790" s="1" t="s">
        <v>3501</v>
      </c>
      <c r="C2790" t="s">
        <v>14</v>
      </c>
      <c r="D2790" t="s">
        <v>1338</v>
      </c>
      <c r="E2790">
        <v>17</v>
      </c>
      <c r="F2790" t="s">
        <v>3249</v>
      </c>
      <c r="G2790">
        <v>2023</v>
      </c>
      <c r="H2790" t="s">
        <v>246</v>
      </c>
      <c r="I2790" t="s">
        <v>58</v>
      </c>
      <c r="J2790">
        <v>799</v>
      </c>
      <c r="K2790">
        <v>205</v>
      </c>
      <c r="L2790">
        <f t="shared" si="686"/>
        <v>594</v>
      </c>
      <c r="M2790">
        <v>240</v>
      </c>
      <c r="N2790">
        <f t="shared" si="687"/>
        <v>354</v>
      </c>
    </row>
    <row r="2791" spans="1:14" x14ac:dyDescent="0.2">
      <c r="A2791" t="s">
        <v>3521</v>
      </c>
      <c r="B2791" s="1" t="s">
        <v>3469</v>
      </c>
      <c r="C2791" t="s">
        <v>14</v>
      </c>
      <c r="D2791" t="s">
        <v>3522</v>
      </c>
      <c r="E2791">
        <v>15</v>
      </c>
      <c r="F2791" t="s">
        <v>3249</v>
      </c>
      <c r="G2791">
        <v>2023</v>
      </c>
      <c r="H2791" t="s">
        <v>3523</v>
      </c>
      <c r="I2791" t="s">
        <v>122</v>
      </c>
      <c r="J2791">
        <v>999</v>
      </c>
      <c r="K2791">
        <v>325</v>
      </c>
      <c r="L2791">
        <f t="shared" si="686"/>
        <v>674</v>
      </c>
      <c r="M2791">
        <v>240</v>
      </c>
      <c r="N2791">
        <f t="shared" si="687"/>
        <v>434</v>
      </c>
    </row>
    <row r="2792" spans="1:14" x14ac:dyDescent="0.2">
      <c r="A2792" t="s">
        <v>3524</v>
      </c>
      <c r="B2792" s="1" t="s">
        <v>3501</v>
      </c>
      <c r="C2792" t="s">
        <v>14</v>
      </c>
      <c r="D2792" t="s">
        <v>452</v>
      </c>
      <c r="E2792">
        <v>17</v>
      </c>
      <c r="F2792" t="s">
        <v>3249</v>
      </c>
      <c r="G2792">
        <v>2023</v>
      </c>
      <c r="H2792" t="s">
        <v>567</v>
      </c>
      <c r="I2792" t="s">
        <v>23</v>
      </c>
      <c r="J2792">
        <v>799</v>
      </c>
      <c r="K2792">
        <v>205</v>
      </c>
      <c r="L2792">
        <f t="shared" si="686"/>
        <v>594</v>
      </c>
      <c r="M2792">
        <v>240</v>
      </c>
      <c r="N2792">
        <f t="shared" si="687"/>
        <v>354</v>
      </c>
    </row>
    <row r="2793" spans="1:14" x14ac:dyDescent="0.2">
      <c r="A2793" t="s">
        <v>3525</v>
      </c>
      <c r="B2793" s="1" t="s">
        <v>3501</v>
      </c>
      <c r="C2793" t="s">
        <v>14</v>
      </c>
      <c r="D2793" t="s">
        <v>81</v>
      </c>
      <c r="E2793">
        <v>17</v>
      </c>
      <c r="F2793" t="s">
        <v>3249</v>
      </c>
      <c r="G2793">
        <v>2023</v>
      </c>
      <c r="H2793" t="s">
        <v>235</v>
      </c>
      <c r="I2793" t="s">
        <v>62</v>
      </c>
      <c r="J2793">
        <v>849</v>
      </c>
      <c r="K2793">
        <v>250</v>
      </c>
      <c r="L2793">
        <f t="shared" si="686"/>
        <v>599</v>
      </c>
      <c r="M2793">
        <v>240</v>
      </c>
      <c r="N2793">
        <f t="shared" si="687"/>
        <v>359</v>
      </c>
    </row>
    <row r="2794" spans="1:14" x14ac:dyDescent="0.2">
      <c r="A2794" t="s">
        <v>3526</v>
      </c>
      <c r="B2794" s="1" t="s">
        <v>3501</v>
      </c>
      <c r="C2794" t="s">
        <v>14</v>
      </c>
      <c r="D2794" t="s">
        <v>863</v>
      </c>
      <c r="E2794">
        <v>17</v>
      </c>
      <c r="F2794" t="s">
        <v>3249</v>
      </c>
      <c r="G2794">
        <v>2023</v>
      </c>
      <c r="H2794" t="s">
        <v>3527</v>
      </c>
      <c r="I2794" t="s">
        <v>3528</v>
      </c>
      <c r="J2794">
        <v>799</v>
      </c>
      <c r="K2794">
        <v>205</v>
      </c>
      <c r="L2794">
        <f t="shared" si="686"/>
        <v>594</v>
      </c>
      <c r="M2794">
        <v>240</v>
      </c>
      <c r="N2794">
        <f t="shared" si="687"/>
        <v>354</v>
      </c>
    </row>
    <row r="2795" spans="1:14" x14ac:dyDescent="0.2">
      <c r="A2795" t="s">
        <v>3529</v>
      </c>
      <c r="B2795" s="1" t="s">
        <v>3501</v>
      </c>
      <c r="C2795" t="s">
        <v>20</v>
      </c>
      <c r="D2795" t="s">
        <v>169</v>
      </c>
      <c r="E2795">
        <v>17</v>
      </c>
      <c r="F2795" t="s">
        <v>3249</v>
      </c>
      <c r="G2795">
        <v>2023</v>
      </c>
      <c r="H2795" t="s">
        <v>345</v>
      </c>
      <c r="I2795" t="s">
        <v>62</v>
      </c>
      <c r="J2795">
        <v>0</v>
      </c>
      <c r="K2795">
        <v>0</v>
      </c>
      <c r="L2795">
        <v>0</v>
      </c>
      <c r="M2795">
        <v>0</v>
      </c>
      <c r="N2795">
        <v>0</v>
      </c>
    </row>
    <row r="2796" spans="1:14" x14ac:dyDescent="0.2">
      <c r="A2796" t="s">
        <v>3530</v>
      </c>
      <c r="B2796" s="1" t="s">
        <v>3501</v>
      </c>
      <c r="C2796" t="s">
        <v>14</v>
      </c>
      <c r="D2796" t="s">
        <v>809</v>
      </c>
      <c r="E2796">
        <v>17</v>
      </c>
      <c r="F2796" t="s">
        <v>3249</v>
      </c>
      <c r="G2796">
        <v>2023</v>
      </c>
      <c r="H2796" t="s">
        <v>309</v>
      </c>
      <c r="I2796" t="s">
        <v>212</v>
      </c>
      <c r="J2796">
        <v>999</v>
      </c>
      <c r="K2796">
        <v>325</v>
      </c>
      <c r="L2796">
        <f t="shared" ref="L2796:L2802" si="688">J2796-K2796</f>
        <v>674</v>
      </c>
      <c r="M2796">
        <v>240</v>
      </c>
      <c r="N2796">
        <f t="shared" ref="N2796:N2802" si="689">L2796-M2796</f>
        <v>434</v>
      </c>
    </row>
    <row r="2797" spans="1:14" x14ac:dyDescent="0.2">
      <c r="A2797" t="s">
        <v>3531</v>
      </c>
      <c r="B2797" s="1" t="s">
        <v>3501</v>
      </c>
      <c r="C2797" t="s">
        <v>14</v>
      </c>
      <c r="D2797" t="s">
        <v>812</v>
      </c>
      <c r="E2797">
        <v>17</v>
      </c>
      <c r="F2797" t="s">
        <v>3249</v>
      </c>
      <c r="G2797">
        <v>2023</v>
      </c>
      <c r="H2797" t="s">
        <v>3532</v>
      </c>
      <c r="I2797" t="s">
        <v>32</v>
      </c>
      <c r="J2797">
        <v>999</v>
      </c>
      <c r="K2797">
        <v>325</v>
      </c>
      <c r="L2797">
        <f t="shared" si="688"/>
        <v>674</v>
      </c>
      <c r="M2797">
        <v>240</v>
      </c>
      <c r="N2797">
        <f t="shared" si="689"/>
        <v>434</v>
      </c>
    </row>
    <row r="2798" spans="1:14" x14ac:dyDescent="0.2">
      <c r="A2798" t="s">
        <v>3533</v>
      </c>
      <c r="B2798" s="1" t="s">
        <v>3501</v>
      </c>
      <c r="C2798" t="s">
        <v>14</v>
      </c>
      <c r="D2798" t="s">
        <v>308</v>
      </c>
      <c r="E2798">
        <v>17</v>
      </c>
      <c r="F2798" t="s">
        <v>3249</v>
      </c>
      <c r="G2798">
        <v>2023</v>
      </c>
      <c r="H2798" t="s">
        <v>246</v>
      </c>
      <c r="I2798" t="s">
        <v>58</v>
      </c>
      <c r="J2798">
        <v>899</v>
      </c>
      <c r="K2798">
        <v>295</v>
      </c>
      <c r="L2798">
        <f t="shared" si="688"/>
        <v>604</v>
      </c>
      <c r="M2798">
        <v>240</v>
      </c>
      <c r="N2798">
        <f t="shared" si="689"/>
        <v>364</v>
      </c>
    </row>
    <row r="2799" spans="1:14" x14ac:dyDescent="0.2">
      <c r="A2799" t="s">
        <v>3534</v>
      </c>
      <c r="B2799" s="1" t="s">
        <v>3501</v>
      </c>
      <c r="C2799" t="s">
        <v>14</v>
      </c>
      <c r="D2799" t="s">
        <v>1508</v>
      </c>
      <c r="E2799">
        <v>17</v>
      </c>
      <c r="F2799" t="s">
        <v>3249</v>
      </c>
      <c r="G2799">
        <v>2023</v>
      </c>
      <c r="H2799" t="s">
        <v>3535</v>
      </c>
      <c r="I2799" t="s">
        <v>32</v>
      </c>
      <c r="J2799">
        <v>999</v>
      </c>
      <c r="K2799">
        <v>325</v>
      </c>
      <c r="L2799">
        <f t="shared" si="688"/>
        <v>674</v>
      </c>
      <c r="M2799">
        <v>240</v>
      </c>
      <c r="N2799">
        <f t="shared" si="689"/>
        <v>434</v>
      </c>
    </row>
    <row r="2800" spans="1:14" x14ac:dyDescent="0.2">
      <c r="A2800" t="s">
        <v>3536</v>
      </c>
      <c r="B2800" s="1" t="s">
        <v>3501</v>
      </c>
      <c r="C2800" t="s">
        <v>14</v>
      </c>
      <c r="D2800" t="s">
        <v>977</v>
      </c>
      <c r="E2800">
        <v>17</v>
      </c>
      <c r="F2800" t="s">
        <v>3249</v>
      </c>
      <c r="G2800">
        <v>2023</v>
      </c>
      <c r="H2800" t="s">
        <v>18</v>
      </c>
      <c r="I2800" t="s">
        <v>19</v>
      </c>
      <c r="J2800">
        <v>799</v>
      </c>
      <c r="K2800">
        <v>205</v>
      </c>
      <c r="L2800">
        <f t="shared" si="688"/>
        <v>594</v>
      </c>
      <c r="M2800">
        <v>240</v>
      </c>
      <c r="N2800">
        <f t="shared" si="689"/>
        <v>354</v>
      </c>
    </row>
    <row r="2801" spans="1:14" x14ac:dyDescent="0.2">
      <c r="A2801" t="s">
        <v>3536</v>
      </c>
      <c r="B2801" s="1" t="s">
        <v>3501</v>
      </c>
      <c r="C2801" t="s">
        <v>14</v>
      </c>
      <c r="D2801" t="s">
        <v>1348</v>
      </c>
      <c r="E2801">
        <v>17</v>
      </c>
      <c r="F2801" t="s">
        <v>3249</v>
      </c>
      <c r="G2801">
        <v>2023</v>
      </c>
      <c r="H2801" t="s">
        <v>18</v>
      </c>
      <c r="I2801" t="s">
        <v>19</v>
      </c>
      <c r="J2801">
        <v>799</v>
      </c>
      <c r="K2801">
        <v>205</v>
      </c>
      <c r="L2801">
        <f t="shared" si="688"/>
        <v>594</v>
      </c>
      <c r="M2801">
        <v>240</v>
      </c>
      <c r="N2801">
        <f t="shared" si="689"/>
        <v>354</v>
      </c>
    </row>
    <row r="2802" spans="1:14" x14ac:dyDescent="0.2">
      <c r="A2802" t="s">
        <v>3536</v>
      </c>
      <c r="B2802" s="1" t="s">
        <v>3501</v>
      </c>
      <c r="C2802" t="s">
        <v>14</v>
      </c>
      <c r="D2802" t="s">
        <v>1141</v>
      </c>
      <c r="E2802">
        <v>17</v>
      </c>
      <c r="F2802" t="s">
        <v>3249</v>
      </c>
      <c r="G2802">
        <v>2023</v>
      </c>
      <c r="H2802" t="s">
        <v>18</v>
      </c>
      <c r="I2802" t="s">
        <v>19</v>
      </c>
      <c r="J2802">
        <v>799</v>
      </c>
      <c r="K2802">
        <v>205</v>
      </c>
      <c r="L2802">
        <f t="shared" si="688"/>
        <v>594</v>
      </c>
      <c r="M2802">
        <v>240</v>
      </c>
      <c r="N2802">
        <f t="shared" si="689"/>
        <v>354</v>
      </c>
    </row>
    <row r="2803" spans="1:14" x14ac:dyDescent="0.2">
      <c r="A2803" t="s">
        <v>3537</v>
      </c>
      <c r="B2803" s="1" t="s">
        <v>3501</v>
      </c>
      <c r="C2803" t="s">
        <v>20</v>
      </c>
      <c r="D2803" t="s">
        <v>117</v>
      </c>
      <c r="E2803">
        <v>17</v>
      </c>
      <c r="F2803" t="s">
        <v>3249</v>
      </c>
      <c r="G2803">
        <v>2023</v>
      </c>
      <c r="H2803" t="s">
        <v>3442</v>
      </c>
      <c r="I2803" t="s">
        <v>212</v>
      </c>
      <c r="J2803">
        <v>0</v>
      </c>
      <c r="K2803">
        <v>0</v>
      </c>
      <c r="L2803">
        <v>0</v>
      </c>
      <c r="M2803">
        <v>0</v>
      </c>
      <c r="N2803">
        <v>0</v>
      </c>
    </row>
    <row r="2804" spans="1:14" x14ac:dyDescent="0.2">
      <c r="A2804" t="s">
        <v>3514</v>
      </c>
      <c r="B2804" s="1" t="s">
        <v>3501</v>
      </c>
      <c r="C2804" t="s">
        <v>14</v>
      </c>
      <c r="D2804" t="s">
        <v>1548</v>
      </c>
      <c r="E2804">
        <v>17</v>
      </c>
      <c r="F2804" t="s">
        <v>3249</v>
      </c>
      <c r="G2804">
        <v>2023</v>
      </c>
      <c r="H2804" t="s">
        <v>3515</v>
      </c>
      <c r="I2804" t="s">
        <v>62</v>
      </c>
      <c r="J2804">
        <v>799</v>
      </c>
      <c r="K2804">
        <v>205</v>
      </c>
      <c r="L2804">
        <f t="shared" ref="L2804:L2805" si="690">J2804-K2804</f>
        <v>594</v>
      </c>
      <c r="M2804">
        <v>240</v>
      </c>
      <c r="N2804">
        <f t="shared" ref="N2804:N2805" si="691">L2804-M2804</f>
        <v>354</v>
      </c>
    </row>
    <row r="2805" spans="1:14" x14ac:dyDescent="0.2">
      <c r="A2805" t="s">
        <v>3538</v>
      </c>
      <c r="B2805" s="1" t="s">
        <v>3501</v>
      </c>
      <c r="C2805" t="s">
        <v>14</v>
      </c>
      <c r="D2805" t="s">
        <v>840</v>
      </c>
      <c r="E2805">
        <v>17</v>
      </c>
      <c r="F2805" t="s">
        <v>3249</v>
      </c>
      <c r="G2805">
        <v>2023</v>
      </c>
      <c r="H2805" t="s">
        <v>2154</v>
      </c>
      <c r="I2805" t="s">
        <v>23</v>
      </c>
      <c r="J2805">
        <v>999</v>
      </c>
      <c r="K2805">
        <v>325</v>
      </c>
      <c r="L2805">
        <f t="shared" si="690"/>
        <v>674</v>
      </c>
      <c r="M2805">
        <v>240</v>
      </c>
      <c r="N2805">
        <f t="shared" si="691"/>
        <v>434</v>
      </c>
    </row>
    <row r="2806" spans="1:14" x14ac:dyDescent="0.2">
      <c r="A2806" t="s">
        <v>3439</v>
      </c>
      <c r="B2806" s="1" t="s">
        <v>3426</v>
      </c>
      <c r="C2806" t="s">
        <v>106</v>
      </c>
      <c r="D2806" t="s">
        <v>452</v>
      </c>
      <c r="E2806">
        <v>12</v>
      </c>
      <c r="F2806" t="s">
        <v>3249</v>
      </c>
      <c r="G2806">
        <v>2023</v>
      </c>
      <c r="H2806" t="s">
        <v>3440</v>
      </c>
      <c r="I2806" t="s">
        <v>455</v>
      </c>
      <c r="J2806">
        <v>-799</v>
      </c>
      <c r="K2806">
        <v>320</v>
      </c>
      <c r="L2806">
        <f>J2806+K2806</f>
        <v>-479</v>
      </c>
      <c r="M2806">
        <v>240</v>
      </c>
      <c r="N2806">
        <f>L2806+M2806</f>
        <v>-239</v>
      </c>
    </row>
    <row r="2807" spans="1:14" x14ac:dyDescent="0.2">
      <c r="A2807" t="s">
        <v>3539</v>
      </c>
      <c r="B2807" s="1" t="s">
        <v>3518</v>
      </c>
      <c r="C2807" t="s">
        <v>43</v>
      </c>
      <c r="D2807" t="s">
        <v>81</v>
      </c>
      <c r="E2807">
        <v>18</v>
      </c>
      <c r="F2807" t="s">
        <v>3249</v>
      </c>
      <c r="G2807">
        <v>2023</v>
      </c>
      <c r="H2807" t="s">
        <v>170</v>
      </c>
      <c r="I2807" t="s">
        <v>171</v>
      </c>
      <c r="J2807">
        <v>0</v>
      </c>
      <c r="K2807">
        <v>0</v>
      </c>
      <c r="L2807">
        <v>0</v>
      </c>
      <c r="M2807">
        <v>0</v>
      </c>
      <c r="N2807">
        <v>0</v>
      </c>
    </row>
    <row r="2808" spans="1:14" x14ac:dyDescent="0.2">
      <c r="A2808" t="s">
        <v>3488</v>
      </c>
      <c r="B2808" s="1" t="s">
        <v>3473</v>
      </c>
      <c r="C2808" t="s">
        <v>106</v>
      </c>
      <c r="D2808" t="s">
        <v>3489</v>
      </c>
      <c r="E2808">
        <v>14</v>
      </c>
      <c r="F2808" t="s">
        <v>3249</v>
      </c>
      <c r="G2808">
        <v>2023</v>
      </c>
      <c r="H2808" t="s">
        <v>162</v>
      </c>
      <c r="I2808" t="s">
        <v>163</v>
      </c>
      <c r="J2808">
        <v>-799</v>
      </c>
      <c r="K2808">
        <v>320</v>
      </c>
      <c r="L2808">
        <f>J2808+K2808</f>
        <v>-479</v>
      </c>
      <c r="M2808">
        <v>240</v>
      </c>
      <c r="N2808">
        <f>L2808+M2808</f>
        <v>-239</v>
      </c>
    </row>
    <row r="2809" spans="1:14" x14ac:dyDescent="0.2">
      <c r="A2809" t="s">
        <v>3540</v>
      </c>
      <c r="B2809" s="1" t="s">
        <v>3518</v>
      </c>
      <c r="C2809" t="s">
        <v>14</v>
      </c>
      <c r="D2809" t="s">
        <v>812</v>
      </c>
      <c r="E2809">
        <v>18</v>
      </c>
      <c r="F2809" t="s">
        <v>3249</v>
      </c>
      <c r="G2809">
        <v>2023</v>
      </c>
      <c r="H2809" t="s">
        <v>2032</v>
      </c>
      <c r="I2809" t="s">
        <v>58</v>
      </c>
      <c r="J2809">
        <v>999</v>
      </c>
      <c r="K2809">
        <v>325</v>
      </c>
      <c r="L2809">
        <f t="shared" ref="L2809:L2818" si="692">J2809-K2809</f>
        <v>674</v>
      </c>
      <c r="M2809">
        <v>240</v>
      </c>
      <c r="N2809">
        <f t="shared" ref="N2809:N2818" si="693">L2809-M2809</f>
        <v>434</v>
      </c>
    </row>
    <row r="2810" spans="1:14" x14ac:dyDescent="0.2">
      <c r="A2810" t="s">
        <v>3541</v>
      </c>
      <c r="B2810" s="1" t="s">
        <v>3518</v>
      </c>
      <c r="C2810" t="s">
        <v>14</v>
      </c>
      <c r="D2810" t="s">
        <v>895</v>
      </c>
      <c r="E2810">
        <v>18</v>
      </c>
      <c r="F2810" t="s">
        <v>3249</v>
      </c>
      <c r="G2810">
        <v>2023</v>
      </c>
      <c r="H2810" t="s">
        <v>246</v>
      </c>
      <c r="I2810" t="s">
        <v>58</v>
      </c>
      <c r="J2810">
        <v>849</v>
      </c>
      <c r="K2810">
        <v>250</v>
      </c>
      <c r="L2810">
        <f t="shared" si="692"/>
        <v>599</v>
      </c>
      <c r="M2810">
        <v>240</v>
      </c>
      <c r="N2810">
        <f t="shared" si="693"/>
        <v>359</v>
      </c>
    </row>
    <row r="2811" spans="1:14" x14ac:dyDescent="0.2">
      <c r="A2811" t="s">
        <v>3542</v>
      </c>
      <c r="B2811" s="1" t="s">
        <v>3518</v>
      </c>
      <c r="C2811" t="s">
        <v>14</v>
      </c>
      <c r="D2811" t="s">
        <v>940</v>
      </c>
      <c r="E2811">
        <v>18</v>
      </c>
      <c r="F2811" t="s">
        <v>3249</v>
      </c>
      <c r="G2811">
        <v>2023</v>
      </c>
      <c r="H2811" t="s">
        <v>538</v>
      </c>
      <c r="I2811" t="s">
        <v>253</v>
      </c>
      <c r="J2811">
        <v>799</v>
      </c>
      <c r="K2811">
        <v>205</v>
      </c>
      <c r="L2811">
        <f t="shared" si="692"/>
        <v>594</v>
      </c>
      <c r="M2811">
        <v>240</v>
      </c>
      <c r="N2811">
        <f t="shared" si="693"/>
        <v>354</v>
      </c>
    </row>
    <row r="2812" spans="1:14" x14ac:dyDescent="0.2">
      <c r="A2812" t="s">
        <v>3543</v>
      </c>
      <c r="B2812" s="1" t="s">
        <v>3518</v>
      </c>
      <c r="C2812" t="s">
        <v>14</v>
      </c>
      <c r="D2812" t="s">
        <v>812</v>
      </c>
      <c r="E2812">
        <v>18</v>
      </c>
      <c r="F2812" t="s">
        <v>3249</v>
      </c>
      <c r="G2812">
        <v>2023</v>
      </c>
      <c r="H2812" t="s">
        <v>832</v>
      </c>
      <c r="I2812" t="s">
        <v>122</v>
      </c>
      <c r="J2812">
        <v>999</v>
      </c>
      <c r="K2812">
        <v>325</v>
      </c>
      <c r="L2812">
        <f t="shared" si="692"/>
        <v>674</v>
      </c>
      <c r="M2812">
        <v>240</v>
      </c>
      <c r="N2812">
        <f t="shared" si="693"/>
        <v>434</v>
      </c>
    </row>
    <row r="2813" spans="1:14" x14ac:dyDescent="0.2">
      <c r="A2813" t="s">
        <v>3544</v>
      </c>
      <c r="B2813" s="1" t="s">
        <v>3518</v>
      </c>
      <c r="C2813" t="s">
        <v>14</v>
      </c>
      <c r="D2813" t="s">
        <v>573</v>
      </c>
      <c r="E2813">
        <v>18</v>
      </c>
      <c r="F2813" t="s">
        <v>3249</v>
      </c>
      <c r="G2813">
        <v>2023</v>
      </c>
      <c r="H2813" t="s">
        <v>84</v>
      </c>
      <c r="I2813" t="s">
        <v>85</v>
      </c>
      <c r="J2813">
        <v>899</v>
      </c>
      <c r="K2813">
        <v>295</v>
      </c>
      <c r="L2813">
        <f t="shared" si="692"/>
        <v>604</v>
      </c>
      <c r="M2813">
        <v>240</v>
      </c>
      <c r="N2813">
        <f t="shared" si="693"/>
        <v>364</v>
      </c>
    </row>
    <row r="2814" spans="1:14" x14ac:dyDescent="0.2">
      <c r="A2814" t="s">
        <v>3545</v>
      </c>
      <c r="B2814" s="1" t="s">
        <v>3518</v>
      </c>
      <c r="C2814" t="s">
        <v>14</v>
      </c>
      <c r="D2814" t="s">
        <v>798</v>
      </c>
      <c r="E2814">
        <v>18</v>
      </c>
      <c r="F2814" t="s">
        <v>3249</v>
      </c>
      <c r="G2814">
        <v>2023</v>
      </c>
      <c r="H2814" t="s">
        <v>2154</v>
      </c>
      <c r="I2814" t="s">
        <v>23</v>
      </c>
      <c r="J2814">
        <v>799</v>
      </c>
      <c r="K2814">
        <v>205</v>
      </c>
      <c r="L2814">
        <f t="shared" si="692"/>
        <v>594</v>
      </c>
      <c r="M2814">
        <v>240</v>
      </c>
      <c r="N2814">
        <f t="shared" si="693"/>
        <v>354</v>
      </c>
    </row>
    <row r="2815" spans="1:14" x14ac:dyDescent="0.2">
      <c r="A2815" t="s">
        <v>3546</v>
      </c>
      <c r="B2815" s="1" t="s">
        <v>3518</v>
      </c>
      <c r="C2815" t="s">
        <v>14</v>
      </c>
      <c r="D2815" t="s">
        <v>445</v>
      </c>
      <c r="E2815">
        <v>18</v>
      </c>
      <c r="F2815" t="s">
        <v>3249</v>
      </c>
      <c r="G2815">
        <v>2023</v>
      </c>
      <c r="H2815" t="s">
        <v>170</v>
      </c>
      <c r="I2815" t="s">
        <v>171</v>
      </c>
      <c r="J2815">
        <v>899</v>
      </c>
      <c r="K2815">
        <v>295</v>
      </c>
      <c r="L2815">
        <f t="shared" si="692"/>
        <v>604</v>
      </c>
      <c r="M2815">
        <v>240</v>
      </c>
      <c r="N2815">
        <f t="shared" si="693"/>
        <v>364</v>
      </c>
    </row>
    <row r="2816" spans="1:14" x14ac:dyDescent="0.2">
      <c r="A2816" t="s">
        <v>3547</v>
      </c>
      <c r="B2816" s="1" t="s">
        <v>3518</v>
      </c>
      <c r="C2816" t="s">
        <v>14</v>
      </c>
      <c r="D2816" t="s">
        <v>504</v>
      </c>
      <c r="E2816">
        <v>18</v>
      </c>
      <c r="F2816" t="s">
        <v>3249</v>
      </c>
      <c r="G2816">
        <v>2023</v>
      </c>
      <c r="H2816" t="s">
        <v>3548</v>
      </c>
      <c r="I2816" t="s">
        <v>19</v>
      </c>
      <c r="J2816">
        <v>899</v>
      </c>
      <c r="K2816">
        <v>295</v>
      </c>
      <c r="L2816">
        <f t="shared" si="692"/>
        <v>604</v>
      </c>
      <c r="M2816">
        <v>240</v>
      </c>
      <c r="N2816">
        <f t="shared" si="693"/>
        <v>364</v>
      </c>
    </row>
    <row r="2817" spans="1:14" x14ac:dyDescent="0.2">
      <c r="A2817" t="s">
        <v>3549</v>
      </c>
      <c r="B2817" s="1" t="s">
        <v>3518</v>
      </c>
      <c r="C2817" t="s">
        <v>14</v>
      </c>
      <c r="D2817" t="s">
        <v>895</v>
      </c>
      <c r="E2817">
        <v>18</v>
      </c>
      <c r="F2817" t="s">
        <v>3249</v>
      </c>
      <c r="G2817">
        <v>2023</v>
      </c>
      <c r="H2817" t="s">
        <v>2313</v>
      </c>
      <c r="I2817" t="s">
        <v>257</v>
      </c>
      <c r="J2817">
        <v>849</v>
      </c>
      <c r="K2817">
        <v>250</v>
      </c>
      <c r="L2817">
        <f t="shared" si="692"/>
        <v>599</v>
      </c>
      <c r="M2817">
        <v>240</v>
      </c>
      <c r="N2817">
        <f t="shared" si="693"/>
        <v>359</v>
      </c>
    </row>
    <row r="2818" spans="1:14" x14ac:dyDescent="0.2">
      <c r="A2818" t="s">
        <v>3550</v>
      </c>
      <c r="B2818" s="1" t="s">
        <v>3518</v>
      </c>
      <c r="C2818" t="s">
        <v>14</v>
      </c>
      <c r="D2818" t="s">
        <v>844</v>
      </c>
      <c r="E2818">
        <v>18</v>
      </c>
      <c r="F2818" t="s">
        <v>3249</v>
      </c>
      <c r="G2818">
        <v>2023</v>
      </c>
      <c r="H2818" t="s">
        <v>1991</v>
      </c>
      <c r="I2818" t="s">
        <v>23</v>
      </c>
      <c r="J2818">
        <v>799</v>
      </c>
      <c r="K2818">
        <v>205</v>
      </c>
      <c r="L2818">
        <f t="shared" si="692"/>
        <v>594</v>
      </c>
      <c r="M2818">
        <v>240</v>
      </c>
      <c r="N2818">
        <f t="shared" si="693"/>
        <v>354</v>
      </c>
    </row>
    <row r="2819" spans="1:14" x14ac:dyDescent="0.2">
      <c r="A2819" t="s">
        <v>3297</v>
      </c>
      <c r="B2819" s="1" t="s">
        <v>3292</v>
      </c>
      <c r="C2819" t="s">
        <v>106</v>
      </c>
      <c r="D2819" t="s">
        <v>1486</v>
      </c>
      <c r="E2819">
        <v>4</v>
      </c>
      <c r="F2819" t="s">
        <v>3249</v>
      </c>
      <c r="G2819">
        <v>2023</v>
      </c>
      <c r="H2819" t="s">
        <v>604</v>
      </c>
      <c r="I2819" t="s">
        <v>85</v>
      </c>
      <c r="J2819">
        <v>-999</v>
      </c>
      <c r="K2819">
        <v>395</v>
      </c>
      <c r="L2819">
        <f t="shared" ref="L2819:L2821" si="694">J2819+K2819</f>
        <v>-604</v>
      </c>
      <c r="M2819">
        <v>240</v>
      </c>
      <c r="N2819">
        <f t="shared" ref="N2819:N2821" si="695">L2819+M2819</f>
        <v>-364</v>
      </c>
    </row>
    <row r="2820" spans="1:14" x14ac:dyDescent="0.2">
      <c r="A2820" t="s">
        <v>3398</v>
      </c>
      <c r="B2820" s="1" t="s">
        <v>3397</v>
      </c>
      <c r="C2820" t="s">
        <v>106</v>
      </c>
      <c r="D2820" t="s">
        <v>1699</v>
      </c>
      <c r="E2820">
        <v>10</v>
      </c>
      <c r="F2820" t="s">
        <v>3249</v>
      </c>
      <c r="G2820">
        <v>2023</v>
      </c>
      <c r="H2820" t="s">
        <v>1137</v>
      </c>
      <c r="I2820" t="s">
        <v>58</v>
      </c>
      <c r="J2820">
        <v>-799</v>
      </c>
      <c r="K2820">
        <v>320</v>
      </c>
      <c r="L2820">
        <f t="shared" si="694"/>
        <v>-479</v>
      </c>
      <c r="M2820">
        <v>240</v>
      </c>
      <c r="N2820">
        <f t="shared" si="695"/>
        <v>-239</v>
      </c>
    </row>
    <row r="2821" spans="1:14" x14ac:dyDescent="0.2">
      <c r="A2821" t="s">
        <v>3493</v>
      </c>
      <c r="B2821" s="1" t="s">
        <v>3473</v>
      </c>
      <c r="C2821" t="s">
        <v>106</v>
      </c>
      <c r="D2821" t="s">
        <v>379</v>
      </c>
      <c r="E2821">
        <v>14</v>
      </c>
      <c r="F2821" t="s">
        <v>3249</v>
      </c>
      <c r="G2821">
        <v>2023</v>
      </c>
      <c r="H2821" t="s">
        <v>3494</v>
      </c>
      <c r="I2821" t="s">
        <v>455</v>
      </c>
      <c r="J2821">
        <v>-799</v>
      </c>
      <c r="K2821">
        <v>320</v>
      </c>
      <c r="L2821">
        <f t="shared" si="694"/>
        <v>-479</v>
      </c>
      <c r="M2821">
        <v>240</v>
      </c>
      <c r="N2821">
        <f t="shared" si="695"/>
        <v>-239</v>
      </c>
    </row>
    <row r="2822" spans="1:14" x14ac:dyDescent="0.2">
      <c r="A2822" t="s">
        <v>3552</v>
      </c>
      <c r="B2822" s="1" t="s">
        <v>3551</v>
      </c>
      <c r="C2822" t="s">
        <v>43</v>
      </c>
      <c r="D2822" t="s">
        <v>452</v>
      </c>
      <c r="E2822">
        <v>19</v>
      </c>
      <c r="F2822" t="s">
        <v>3249</v>
      </c>
      <c r="G2822">
        <v>2023</v>
      </c>
      <c r="H2822" t="s">
        <v>3553</v>
      </c>
      <c r="I2822" t="s">
        <v>23</v>
      </c>
      <c r="J2822">
        <v>0</v>
      </c>
      <c r="K2822">
        <v>0</v>
      </c>
      <c r="L2822">
        <v>0</v>
      </c>
      <c r="M2822">
        <v>0</v>
      </c>
      <c r="N2822">
        <v>0</v>
      </c>
    </row>
    <row r="2823" spans="1:14" x14ac:dyDescent="0.2">
      <c r="A2823" t="s">
        <v>3457</v>
      </c>
      <c r="B2823" s="1" t="s">
        <v>3452</v>
      </c>
      <c r="C2823" t="s">
        <v>106</v>
      </c>
      <c r="D2823" t="s">
        <v>1263</v>
      </c>
      <c r="E2823">
        <v>13</v>
      </c>
      <c r="F2823" t="s">
        <v>3249</v>
      </c>
      <c r="G2823">
        <v>2023</v>
      </c>
      <c r="H2823" t="s">
        <v>807</v>
      </c>
      <c r="I2823" t="s">
        <v>28</v>
      </c>
      <c r="J2823">
        <v>-849</v>
      </c>
      <c r="K2823">
        <v>345</v>
      </c>
      <c r="L2823">
        <f t="shared" ref="L2823:L2828" si="696">J2823+K2823</f>
        <v>-504</v>
      </c>
      <c r="M2823">
        <v>240</v>
      </c>
      <c r="N2823">
        <f t="shared" ref="N2823:N2828" si="697">L2823+M2823</f>
        <v>-264</v>
      </c>
    </row>
    <row r="2824" spans="1:14" x14ac:dyDescent="0.2">
      <c r="A2824" t="s">
        <v>3466</v>
      </c>
      <c r="B2824" s="1" t="s">
        <v>3452</v>
      </c>
      <c r="C2824" t="s">
        <v>106</v>
      </c>
      <c r="D2824" t="s">
        <v>1010</v>
      </c>
      <c r="E2824">
        <v>13</v>
      </c>
      <c r="F2824" t="s">
        <v>3249</v>
      </c>
      <c r="G2824">
        <v>2023</v>
      </c>
      <c r="H2824" t="s">
        <v>796</v>
      </c>
      <c r="I2824" t="s">
        <v>58</v>
      </c>
      <c r="J2824">
        <v>-799</v>
      </c>
      <c r="K2824">
        <v>320</v>
      </c>
      <c r="L2824">
        <f t="shared" si="696"/>
        <v>-479</v>
      </c>
      <c r="M2824">
        <v>240</v>
      </c>
      <c r="N2824">
        <f t="shared" si="697"/>
        <v>-239</v>
      </c>
    </row>
    <row r="2825" spans="1:14" x14ac:dyDescent="0.2">
      <c r="A2825" t="s">
        <v>3414</v>
      </c>
      <c r="B2825" s="1" t="s">
        <v>3397</v>
      </c>
      <c r="C2825" t="s">
        <v>106</v>
      </c>
      <c r="D2825" t="s">
        <v>425</v>
      </c>
      <c r="E2825">
        <v>10</v>
      </c>
      <c r="F2825" t="s">
        <v>3249</v>
      </c>
      <c r="G2825">
        <v>2023</v>
      </c>
      <c r="H2825" t="s">
        <v>246</v>
      </c>
      <c r="I2825" t="s">
        <v>58</v>
      </c>
      <c r="J2825">
        <v>-799</v>
      </c>
      <c r="K2825">
        <v>320</v>
      </c>
      <c r="L2825">
        <f t="shared" si="696"/>
        <v>-479</v>
      </c>
      <c r="M2825">
        <v>240</v>
      </c>
      <c r="N2825">
        <f t="shared" si="697"/>
        <v>-239</v>
      </c>
    </row>
    <row r="2826" spans="1:14" x14ac:dyDescent="0.2">
      <c r="A2826" t="s">
        <v>3438</v>
      </c>
      <c r="B2826" s="1" t="s">
        <v>3426</v>
      </c>
      <c r="C2826" t="s">
        <v>106</v>
      </c>
      <c r="D2826" t="s">
        <v>490</v>
      </c>
      <c r="E2826">
        <v>12</v>
      </c>
      <c r="F2826" t="s">
        <v>3249</v>
      </c>
      <c r="G2826">
        <v>2023</v>
      </c>
      <c r="H2826" t="s">
        <v>246</v>
      </c>
      <c r="I2826" t="s">
        <v>58</v>
      </c>
      <c r="J2826">
        <v>-899</v>
      </c>
      <c r="K2826">
        <v>375</v>
      </c>
      <c r="L2826">
        <f t="shared" si="696"/>
        <v>-524</v>
      </c>
      <c r="M2826">
        <v>240</v>
      </c>
      <c r="N2826">
        <f t="shared" si="697"/>
        <v>-284</v>
      </c>
    </row>
    <row r="2827" spans="1:14" x14ac:dyDescent="0.2">
      <c r="A2827" t="s">
        <v>3500</v>
      </c>
      <c r="B2827" s="1" t="s">
        <v>3473</v>
      </c>
      <c r="C2827" t="s">
        <v>106</v>
      </c>
      <c r="D2827" t="s">
        <v>2555</v>
      </c>
      <c r="E2827">
        <v>14</v>
      </c>
      <c r="F2827" t="s">
        <v>3249</v>
      </c>
      <c r="G2827">
        <v>2023</v>
      </c>
      <c r="H2827" t="s">
        <v>170</v>
      </c>
      <c r="I2827" t="s">
        <v>171</v>
      </c>
      <c r="J2827">
        <v>-999</v>
      </c>
      <c r="K2827">
        <v>395</v>
      </c>
      <c r="L2827">
        <f t="shared" si="696"/>
        <v>-604</v>
      </c>
      <c r="M2827">
        <v>240</v>
      </c>
      <c r="N2827">
        <f t="shared" si="697"/>
        <v>-364</v>
      </c>
    </row>
    <row r="2828" spans="1:14" x14ac:dyDescent="0.2">
      <c r="A2828" t="s">
        <v>3468</v>
      </c>
      <c r="B2828" s="1" t="s">
        <v>3452</v>
      </c>
      <c r="C2828" t="s">
        <v>106</v>
      </c>
      <c r="D2828" t="s">
        <v>548</v>
      </c>
      <c r="E2828">
        <v>13</v>
      </c>
      <c r="F2828" t="s">
        <v>3249</v>
      </c>
      <c r="G2828">
        <v>2023</v>
      </c>
      <c r="H2828" t="s">
        <v>2173</v>
      </c>
      <c r="I2828" t="s">
        <v>23</v>
      </c>
      <c r="J2828">
        <v>-899</v>
      </c>
      <c r="K2828">
        <v>375</v>
      </c>
      <c r="L2828">
        <f t="shared" si="696"/>
        <v>-524</v>
      </c>
      <c r="M2828">
        <v>240</v>
      </c>
      <c r="N2828">
        <f t="shared" si="697"/>
        <v>-284</v>
      </c>
    </row>
    <row r="2829" spans="1:14" x14ac:dyDescent="0.2">
      <c r="A2829" t="s">
        <v>3554</v>
      </c>
      <c r="B2829" s="1" t="s">
        <v>3551</v>
      </c>
      <c r="C2829" t="s">
        <v>14</v>
      </c>
      <c r="D2829" t="s">
        <v>81</v>
      </c>
      <c r="E2829">
        <v>19</v>
      </c>
      <c r="F2829" t="s">
        <v>3249</v>
      </c>
      <c r="G2829">
        <v>2023</v>
      </c>
      <c r="H2829" t="s">
        <v>3555</v>
      </c>
      <c r="I2829" t="s">
        <v>58</v>
      </c>
      <c r="J2829">
        <v>849</v>
      </c>
      <c r="K2829">
        <v>250</v>
      </c>
      <c r="L2829">
        <f t="shared" ref="L2829:L2840" si="698">J2829-K2829</f>
        <v>599</v>
      </c>
      <c r="M2829">
        <v>240</v>
      </c>
      <c r="N2829">
        <f t="shared" ref="N2829:N2840" si="699">L2829-M2829</f>
        <v>359</v>
      </c>
    </row>
    <row r="2830" spans="1:14" x14ac:dyDescent="0.2">
      <c r="A2830" t="s">
        <v>3556</v>
      </c>
      <c r="B2830" s="1" t="s">
        <v>3551</v>
      </c>
      <c r="C2830" t="s">
        <v>14</v>
      </c>
      <c r="D2830" t="s">
        <v>1212</v>
      </c>
      <c r="E2830">
        <v>19</v>
      </c>
      <c r="F2830" t="s">
        <v>3249</v>
      </c>
      <c r="G2830">
        <v>2023</v>
      </c>
      <c r="H2830" t="s">
        <v>3557</v>
      </c>
      <c r="I2830" t="s">
        <v>62</v>
      </c>
      <c r="J2830">
        <v>799</v>
      </c>
      <c r="K2830">
        <v>205</v>
      </c>
      <c r="L2830">
        <f t="shared" si="698"/>
        <v>594</v>
      </c>
      <c r="M2830">
        <v>240</v>
      </c>
      <c r="N2830">
        <f t="shared" si="699"/>
        <v>354</v>
      </c>
    </row>
    <row r="2831" spans="1:14" x14ac:dyDescent="0.2">
      <c r="A2831" t="s">
        <v>3558</v>
      </c>
      <c r="B2831" s="1" t="s">
        <v>3551</v>
      </c>
      <c r="C2831" t="s">
        <v>14</v>
      </c>
      <c r="D2831" t="s">
        <v>3559</v>
      </c>
      <c r="E2831">
        <v>19</v>
      </c>
      <c r="F2831" t="s">
        <v>3249</v>
      </c>
      <c r="G2831">
        <v>2023</v>
      </c>
      <c r="H2831" t="s">
        <v>3560</v>
      </c>
      <c r="I2831" t="s">
        <v>62</v>
      </c>
      <c r="J2831">
        <v>999</v>
      </c>
      <c r="K2831">
        <v>325</v>
      </c>
      <c r="L2831">
        <f t="shared" si="698"/>
        <v>674</v>
      </c>
      <c r="M2831">
        <v>240</v>
      </c>
      <c r="N2831">
        <f t="shared" si="699"/>
        <v>434</v>
      </c>
    </row>
    <row r="2832" spans="1:14" x14ac:dyDescent="0.2">
      <c r="A2832" t="s">
        <v>3561</v>
      </c>
      <c r="B2832" s="1" t="s">
        <v>3551</v>
      </c>
      <c r="C2832" t="s">
        <v>14</v>
      </c>
      <c r="D2832" t="s">
        <v>425</v>
      </c>
      <c r="E2832">
        <v>19</v>
      </c>
      <c r="F2832" t="s">
        <v>3249</v>
      </c>
      <c r="G2832">
        <v>2023</v>
      </c>
      <c r="H2832" t="s">
        <v>246</v>
      </c>
      <c r="I2832" t="s">
        <v>58</v>
      </c>
      <c r="J2832">
        <v>799</v>
      </c>
      <c r="K2832">
        <v>205</v>
      </c>
      <c r="L2832">
        <f t="shared" si="698"/>
        <v>594</v>
      </c>
      <c r="M2832">
        <v>240</v>
      </c>
      <c r="N2832">
        <f t="shared" si="699"/>
        <v>354</v>
      </c>
    </row>
    <row r="2833" spans="1:14" x14ac:dyDescent="0.2">
      <c r="A2833" t="s">
        <v>3562</v>
      </c>
      <c r="B2833" s="1" t="s">
        <v>3551</v>
      </c>
      <c r="C2833" t="s">
        <v>14</v>
      </c>
      <c r="D2833" t="s">
        <v>242</v>
      </c>
      <c r="E2833">
        <v>19</v>
      </c>
      <c r="F2833" t="s">
        <v>3249</v>
      </c>
      <c r="G2833">
        <v>2023</v>
      </c>
      <c r="H2833" t="s">
        <v>3563</v>
      </c>
      <c r="I2833" t="s">
        <v>85</v>
      </c>
      <c r="J2833">
        <v>899</v>
      </c>
      <c r="K2833">
        <v>295</v>
      </c>
      <c r="L2833">
        <f t="shared" si="698"/>
        <v>604</v>
      </c>
      <c r="M2833">
        <v>240</v>
      </c>
      <c r="N2833">
        <f t="shared" si="699"/>
        <v>364</v>
      </c>
    </row>
    <row r="2834" spans="1:14" x14ac:dyDescent="0.2">
      <c r="A2834" t="s">
        <v>3564</v>
      </c>
      <c r="B2834" s="1" t="s">
        <v>3551</v>
      </c>
      <c r="C2834" t="s">
        <v>14</v>
      </c>
      <c r="D2834" t="s">
        <v>792</v>
      </c>
      <c r="E2834">
        <v>19</v>
      </c>
      <c r="F2834" t="s">
        <v>3249</v>
      </c>
      <c r="G2834">
        <v>2023</v>
      </c>
      <c r="H2834" t="s">
        <v>101</v>
      </c>
      <c r="I2834" t="s">
        <v>62</v>
      </c>
      <c r="J2834">
        <v>849</v>
      </c>
      <c r="K2834">
        <v>250</v>
      </c>
      <c r="L2834">
        <f t="shared" si="698"/>
        <v>599</v>
      </c>
      <c r="M2834">
        <v>240</v>
      </c>
      <c r="N2834">
        <f t="shared" si="699"/>
        <v>359</v>
      </c>
    </row>
    <row r="2835" spans="1:14" x14ac:dyDescent="0.2">
      <c r="A2835" t="s">
        <v>3552</v>
      </c>
      <c r="B2835" s="1" t="s">
        <v>3551</v>
      </c>
      <c r="C2835" t="s">
        <v>14</v>
      </c>
      <c r="D2835" t="s">
        <v>452</v>
      </c>
      <c r="E2835">
        <v>19</v>
      </c>
      <c r="F2835" t="s">
        <v>3249</v>
      </c>
      <c r="G2835">
        <v>2023</v>
      </c>
      <c r="H2835" t="s">
        <v>3553</v>
      </c>
      <c r="I2835" t="s">
        <v>23</v>
      </c>
      <c r="J2835">
        <v>799</v>
      </c>
      <c r="K2835">
        <v>205</v>
      </c>
      <c r="L2835">
        <f t="shared" si="698"/>
        <v>594</v>
      </c>
      <c r="M2835">
        <v>240</v>
      </c>
      <c r="N2835">
        <f t="shared" si="699"/>
        <v>354</v>
      </c>
    </row>
    <row r="2836" spans="1:14" x14ac:dyDescent="0.2">
      <c r="A2836" t="s">
        <v>3565</v>
      </c>
      <c r="B2836" s="1" t="s">
        <v>3551</v>
      </c>
      <c r="C2836" t="s">
        <v>14</v>
      </c>
      <c r="D2836" t="s">
        <v>840</v>
      </c>
      <c r="E2836">
        <v>19</v>
      </c>
      <c r="F2836" t="s">
        <v>3249</v>
      </c>
      <c r="G2836">
        <v>2023</v>
      </c>
      <c r="H2836" t="s">
        <v>3566</v>
      </c>
      <c r="I2836" t="s">
        <v>253</v>
      </c>
      <c r="J2836">
        <v>999</v>
      </c>
      <c r="K2836">
        <v>325</v>
      </c>
      <c r="L2836">
        <f t="shared" si="698"/>
        <v>674</v>
      </c>
      <c r="M2836">
        <v>240</v>
      </c>
      <c r="N2836">
        <f t="shared" si="699"/>
        <v>434</v>
      </c>
    </row>
    <row r="2837" spans="1:14" x14ac:dyDescent="0.2">
      <c r="A2837" t="s">
        <v>3567</v>
      </c>
      <c r="B2837" s="1" t="s">
        <v>3551</v>
      </c>
      <c r="C2837" t="s">
        <v>14</v>
      </c>
      <c r="D2837" t="s">
        <v>490</v>
      </c>
      <c r="E2837">
        <v>19</v>
      </c>
      <c r="F2837" t="s">
        <v>3249</v>
      </c>
      <c r="G2837">
        <v>2023</v>
      </c>
      <c r="H2837" t="s">
        <v>1731</v>
      </c>
      <c r="I2837" t="s">
        <v>502</v>
      </c>
      <c r="J2837">
        <v>899</v>
      </c>
      <c r="K2837">
        <v>295</v>
      </c>
      <c r="L2837">
        <f t="shared" si="698"/>
        <v>604</v>
      </c>
      <c r="M2837">
        <v>240</v>
      </c>
      <c r="N2837">
        <f t="shared" si="699"/>
        <v>364</v>
      </c>
    </row>
    <row r="2838" spans="1:14" x14ac:dyDescent="0.2">
      <c r="A2838" t="s">
        <v>3568</v>
      </c>
      <c r="B2838" s="1" t="s">
        <v>3551</v>
      </c>
      <c r="C2838" t="s">
        <v>14</v>
      </c>
      <c r="D2838" t="s">
        <v>893</v>
      </c>
      <c r="E2838">
        <v>19</v>
      </c>
      <c r="F2838" t="s">
        <v>3249</v>
      </c>
      <c r="G2838">
        <v>2023</v>
      </c>
      <c r="H2838" t="s">
        <v>173</v>
      </c>
      <c r="I2838" t="s">
        <v>62</v>
      </c>
      <c r="J2838">
        <v>849</v>
      </c>
      <c r="K2838">
        <v>250</v>
      </c>
      <c r="L2838">
        <f t="shared" si="698"/>
        <v>599</v>
      </c>
      <c r="M2838">
        <v>240</v>
      </c>
      <c r="N2838">
        <f t="shared" si="699"/>
        <v>359</v>
      </c>
    </row>
    <row r="2839" spans="1:14" x14ac:dyDescent="0.2">
      <c r="A2839" t="s">
        <v>3569</v>
      </c>
      <c r="B2839" s="1" t="s">
        <v>3551</v>
      </c>
      <c r="C2839" t="s">
        <v>14</v>
      </c>
      <c r="D2839" t="s">
        <v>81</v>
      </c>
      <c r="E2839">
        <v>19</v>
      </c>
      <c r="F2839" t="s">
        <v>3249</v>
      </c>
      <c r="G2839">
        <v>2023</v>
      </c>
      <c r="H2839" t="s">
        <v>3570</v>
      </c>
      <c r="I2839" t="s">
        <v>28</v>
      </c>
      <c r="J2839">
        <v>849</v>
      </c>
      <c r="K2839">
        <v>250</v>
      </c>
      <c r="L2839">
        <f t="shared" si="698"/>
        <v>599</v>
      </c>
      <c r="M2839">
        <v>240</v>
      </c>
      <c r="N2839">
        <f t="shared" si="699"/>
        <v>359</v>
      </c>
    </row>
    <row r="2840" spans="1:14" x14ac:dyDescent="0.2">
      <c r="A2840" t="s">
        <v>3571</v>
      </c>
      <c r="B2840" s="1" t="s">
        <v>3551</v>
      </c>
      <c r="C2840" t="s">
        <v>14</v>
      </c>
      <c r="D2840" t="s">
        <v>1089</v>
      </c>
      <c r="E2840">
        <v>19</v>
      </c>
      <c r="F2840" t="s">
        <v>3249</v>
      </c>
      <c r="G2840">
        <v>2023</v>
      </c>
      <c r="H2840" t="s">
        <v>3481</v>
      </c>
      <c r="I2840" t="s">
        <v>376</v>
      </c>
      <c r="J2840">
        <v>799</v>
      </c>
      <c r="K2840">
        <v>205</v>
      </c>
      <c r="L2840">
        <f t="shared" si="698"/>
        <v>594</v>
      </c>
      <c r="M2840">
        <v>240</v>
      </c>
      <c r="N2840">
        <f t="shared" si="699"/>
        <v>354</v>
      </c>
    </row>
    <row r="2841" spans="1:14" x14ac:dyDescent="0.2">
      <c r="A2841" t="s">
        <v>3572</v>
      </c>
      <c r="B2841" s="1" t="s">
        <v>3551</v>
      </c>
      <c r="C2841" t="s">
        <v>20</v>
      </c>
      <c r="D2841" t="s">
        <v>812</v>
      </c>
      <c r="E2841">
        <v>19</v>
      </c>
      <c r="F2841" t="s">
        <v>3249</v>
      </c>
      <c r="G2841">
        <v>2023</v>
      </c>
      <c r="H2841" t="s">
        <v>3097</v>
      </c>
      <c r="I2841" t="s">
        <v>180</v>
      </c>
      <c r="J2841">
        <v>0</v>
      </c>
      <c r="K2841">
        <v>0</v>
      </c>
      <c r="L2841">
        <v>0</v>
      </c>
      <c r="M2841">
        <v>0</v>
      </c>
      <c r="N2841">
        <v>0</v>
      </c>
    </row>
    <row r="2842" spans="1:14" x14ac:dyDescent="0.2">
      <c r="A2842" t="s">
        <v>3573</v>
      </c>
      <c r="B2842" s="1" t="s">
        <v>3551</v>
      </c>
      <c r="C2842" t="s">
        <v>14</v>
      </c>
      <c r="D2842" t="s">
        <v>2096</v>
      </c>
      <c r="E2842">
        <v>19</v>
      </c>
      <c r="F2842" t="s">
        <v>3249</v>
      </c>
      <c r="G2842">
        <v>2023</v>
      </c>
      <c r="H2842" t="s">
        <v>49</v>
      </c>
      <c r="I2842" t="s">
        <v>32</v>
      </c>
      <c r="J2842">
        <v>799</v>
      </c>
      <c r="K2842">
        <v>205</v>
      </c>
      <c r="L2842">
        <f t="shared" ref="L2842:L2844" si="700">J2842-K2842</f>
        <v>594</v>
      </c>
      <c r="M2842">
        <v>240</v>
      </c>
      <c r="N2842">
        <f t="shared" ref="N2842:N2844" si="701">L2842-M2842</f>
        <v>354</v>
      </c>
    </row>
    <row r="2843" spans="1:14" x14ac:dyDescent="0.2">
      <c r="A2843" t="s">
        <v>3574</v>
      </c>
      <c r="B2843" s="1" t="s">
        <v>3551</v>
      </c>
      <c r="C2843" t="s">
        <v>14</v>
      </c>
      <c r="D2843" t="s">
        <v>448</v>
      </c>
      <c r="E2843">
        <v>19</v>
      </c>
      <c r="F2843" t="s">
        <v>3249</v>
      </c>
      <c r="G2843">
        <v>2023</v>
      </c>
      <c r="H2843" t="s">
        <v>398</v>
      </c>
      <c r="I2843" t="s">
        <v>399</v>
      </c>
      <c r="J2843">
        <v>899</v>
      </c>
      <c r="K2843">
        <v>295</v>
      </c>
      <c r="L2843">
        <f t="shared" si="700"/>
        <v>604</v>
      </c>
      <c r="M2843">
        <v>240</v>
      </c>
      <c r="N2843">
        <f t="shared" si="701"/>
        <v>364</v>
      </c>
    </row>
    <row r="2844" spans="1:14" x14ac:dyDescent="0.2">
      <c r="A2844" t="s">
        <v>3575</v>
      </c>
      <c r="B2844" s="1" t="s">
        <v>3551</v>
      </c>
      <c r="C2844" t="s">
        <v>14</v>
      </c>
      <c r="D2844" t="s">
        <v>1508</v>
      </c>
      <c r="E2844">
        <v>19</v>
      </c>
      <c r="F2844" t="s">
        <v>3249</v>
      </c>
      <c r="G2844">
        <v>2023</v>
      </c>
      <c r="H2844" t="s">
        <v>104</v>
      </c>
      <c r="I2844" t="s">
        <v>62</v>
      </c>
      <c r="J2844">
        <v>999</v>
      </c>
      <c r="K2844">
        <v>325</v>
      </c>
      <c r="L2844">
        <f t="shared" si="700"/>
        <v>674</v>
      </c>
      <c r="M2844">
        <v>240</v>
      </c>
      <c r="N2844">
        <f t="shared" si="701"/>
        <v>434</v>
      </c>
    </row>
    <row r="2845" spans="1:14" x14ac:dyDescent="0.2">
      <c r="A2845" t="s">
        <v>3329</v>
      </c>
      <c r="B2845" s="1" t="s">
        <v>3307</v>
      </c>
      <c r="C2845" t="s">
        <v>106</v>
      </c>
      <c r="D2845" t="s">
        <v>573</v>
      </c>
      <c r="E2845">
        <v>6</v>
      </c>
      <c r="F2845" t="s">
        <v>3249</v>
      </c>
      <c r="G2845">
        <v>2023</v>
      </c>
      <c r="H2845" t="s">
        <v>2032</v>
      </c>
      <c r="I2845" t="s">
        <v>58</v>
      </c>
      <c r="J2845">
        <v>-899</v>
      </c>
      <c r="K2845">
        <v>375</v>
      </c>
      <c r="L2845">
        <f>J2845+K2845</f>
        <v>-524</v>
      </c>
      <c r="M2845">
        <v>240</v>
      </c>
      <c r="N2845">
        <f>L2845+M2845</f>
        <v>-284</v>
      </c>
    </row>
    <row r="2846" spans="1:14" x14ac:dyDescent="0.2">
      <c r="A2846" t="s">
        <v>3577</v>
      </c>
      <c r="B2846" s="1" t="s">
        <v>3576</v>
      </c>
      <c r="C2846" t="s">
        <v>43</v>
      </c>
      <c r="D2846" t="s">
        <v>1386</v>
      </c>
      <c r="E2846">
        <v>20</v>
      </c>
      <c r="F2846" t="s">
        <v>3249</v>
      </c>
      <c r="G2846">
        <v>2023</v>
      </c>
      <c r="H2846" t="s">
        <v>104</v>
      </c>
      <c r="I2846" t="s">
        <v>62</v>
      </c>
      <c r="J2846">
        <v>0</v>
      </c>
      <c r="K2846">
        <v>0</v>
      </c>
      <c r="L2846">
        <v>0</v>
      </c>
      <c r="M2846">
        <v>0</v>
      </c>
      <c r="N2846">
        <v>0</v>
      </c>
    </row>
    <row r="2847" spans="1:14" x14ac:dyDescent="0.2">
      <c r="A2847" t="s">
        <v>3578</v>
      </c>
      <c r="B2847" s="1" t="s">
        <v>3576</v>
      </c>
      <c r="C2847" t="s">
        <v>14</v>
      </c>
      <c r="D2847" t="s">
        <v>448</v>
      </c>
      <c r="E2847">
        <v>20</v>
      </c>
      <c r="F2847" t="s">
        <v>3249</v>
      </c>
      <c r="G2847">
        <v>2023</v>
      </c>
      <c r="H2847" t="s">
        <v>637</v>
      </c>
      <c r="I2847" t="s">
        <v>28</v>
      </c>
      <c r="J2847">
        <v>899</v>
      </c>
      <c r="K2847">
        <v>295</v>
      </c>
      <c r="L2847">
        <f t="shared" ref="L2847:L2865" si="702">J2847-K2847</f>
        <v>604</v>
      </c>
      <c r="M2847">
        <v>240</v>
      </c>
      <c r="N2847">
        <f t="shared" ref="N2847:N2865" si="703">L2847-M2847</f>
        <v>364</v>
      </c>
    </row>
    <row r="2848" spans="1:14" x14ac:dyDescent="0.2">
      <c r="A2848" t="s">
        <v>3579</v>
      </c>
      <c r="B2848" s="1" t="s">
        <v>3576</v>
      </c>
      <c r="C2848" t="s">
        <v>14</v>
      </c>
      <c r="D2848" t="s">
        <v>448</v>
      </c>
      <c r="E2848">
        <v>20</v>
      </c>
      <c r="F2848" t="s">
        <v>3249</v>
      </c>
      <c r="G2848">
        <v>2023</v>
      </c>
      <c r="H2848" t="s">
        <v>3580</v>
      </c>
      <c r="I2848" t="s">
        <v>23</v>
      </c>
      <c r="J2848">
        <v>899</v>
      </c>
      <c r="K2848">
        <v>295</v>
      </c>
      <c r="L2848">
        <f t="shared" si="702"/>
        <v>604</v>
      </c>
      <c r="M2848">
        <v>240</v>
      </c>
      <c r="N2848">
        <f t="shared" si="703"/>
        <v>364</v>
      </c>
    </row>
    <row r="2849" spans="1:14" x14ac:dyDescent="0.2">
      <c r="A2849" t="s">
        <v>3581</v>
      </c>
      <c r="B2849" s="1" t="s">
        <v>3576</v>
      </c>
      <c r="C2849" t="s">
        <v>14</v>
      </c>
      <c r="D2849" t="s">
        <v>890</v>
      </c>
      <c r="E2849">
        <v>20</v>
      </c>
      <c r="F2849" t="s">
        <v>3249</v>
      </c>
      <c r="G2849">
        <v>2023</v>
      </c>
      <c r="H2849" t="s">
        <v>3582</v>
      </c>
      <c r="I2849" t="s">
        <v>62</v>
      </c>
      <c r="J2849">
        <v>849</v>
      </c>
      <c r="K2849">
        <v>250</v>
      </c>
      <c r="L2849">
        <f t="shared" si="702"/>
        <v>599</v>
      </c>
      <c r="M2849">
        <v>240</v>
      </c>
      <c r="N2849">
        <f t="shared" si="703"/>
        <v>359</v>
      </c>
    </row>
    <row r="2850" spans="1:14" x14ac:dyDescent="0.2">
      <c r="A2850" t="s">
        <v>3583</v>
      </c>
      <c r="B2850" s="1" t="s">
        <v>3576</v>
      </c>
      <c r="C2850" t="s">
        <v>14</v>
      </c>
      <c r="D2850" t="s">
        <v>81</v>
      </c>
      <c r="E2850">
        <v>20</v>
      </c>
      <c r="F2850" t="s">
        <v>3249</v>
      </c>
      <c r="G2850">
        <v>2023</v>
      </c>
      <c r="H2850" t="s">
        <v>1408</v>
      </c>
      <c r="I2850" t="s">
        <v>23</v>
      </c>
      <c r="J2850">
        <v>849</v>
      </c>
      <c r="K2850">
        <v>250</v>
      </c>
      <c r="L2850">
        <f t="shared" si="702"/>
        <v>599</v>
      </c>
      <c r="M2850">
        <v>240</v>
      </c>
      <c r="N2850">
        <f t="shared" si="703"/>
        <v>359</v>
      </c>
    </row>
    <row r="2851" spans="1:14" x14ac:dyDescent="0.2">
      <c r="A2851" t="s">
        <v>3584</v>
      </c>
      <c r="B2851" s="1" t="s">
        <v>3576</v>
      </c>
      <c r="C2851" t="s">
        <v>14</v>
      </c>
      <c r="D2851" t="s">
        <v>967</v>
      </c>
      <c r="E2851">
        <v>20</v>
      </c>
      <c r="F2851" t="s">
        <v>3249</v>
      </c>
      <c r="G2851">
        <v>2023</v>
      </c>
      <c r="H2851" t="s">
        <v>3585</v>
      </c>
      <c r="I2851" t="s">
        <v>19</v>
      </c>
      <c r="J2851">
        <v>799</v>
      </c>
      <c r="K2851">
        <v>205</v>
      </c>
      <c r="L2851">
        <f t="shared" si="702"/>
        <v>594</v>
      </c>
      <c r="M2851">
        <v>240</v>
      </c>
      <c r="N2851">
        <f t="shared" si="703"/>
        <v>354</v>
      </c>
    </row>
    <row r="2852" spans="1:14" x14ac:dyDescent="0.2">
      <c r="A2852" t="s">
        <v>3586</v>
      </c>
      <c r="B2852" s="1" t="s">
        <v>3576</v>
      </c>
      <c r="C2852" t="s">
        <v>14</v>
      </c>
      <c r="D2852" t="s">
        <v>452</v>
      </c>
      <c r="E2852">
        <v>20</v>
      </c>
      <c r="F2852" t="s">
        <v>3249</v>
      </c>
      <c r="G2852">
        <v>2023</v>
      </c>
      <c r="H2852" t="s">
        <v>1245</v>
      </c>
      <c r="I2852" t="s">
        <v>502</v>
      </c>
      <c r="J2852">
        <v>799</v>
      </c>
      <c r="K2852">
        <v>205</v>
      </c>
      <c r="L2852">
        <f t="shared" si="702"/>
        <v>594</v>
      </c>
      <c r="M2852">
        <v>240</v>
      </c>
      <c r="N2852">
        <f t="shared" si="703"/>
        <v>354</v>
      </c>
    </row>
    <row r="2853" spans="1:14" x14ac:dyDescent="0.2">
      <c r="A2853" t="s">
        <v>3587</v>
      </c>
      <c r="B2853" s="1" t="s">
        <v>3576</v>
      </c>
      <c r="C2853" t="s">
        <v>14</v>
      </c>
      <c r="D2853" t="s">
        <v>448</v>
      </c>
      <c r="E2853">
        <v>20</v>
      </c>
      <c r="F2853" t="s">
        <v>3249</v>
      </c>
      <c r="G2853">
        <v>2023</v>
      </c>
      <c r="H2853" t="s">
        <v>1802</v>
      </c>
      <c r="I2853" t="s">
        <v>32</v>
      </c>
      <c r="J2853">
        <v>899</v>
      </c>
      <c r="K2853">
        <v>295</v>
      </c>
      <c r="L2853">
        <f t="shared" si="702"/>
        <v>604</v>
      </c>
      <c r="M2853">
        <v>240</v>
      </c>
      <c r="N2853">
        <f t="shared" si="703"/>
        <v>364</v>
      </c>
    </row>
    <row r="2854" spans="1:14" x14ac:dyDescent="0.2">
      <c r="A2854" t="s">
        <v>3588</v>
      </c>
      <c r="B2854" s="1" t="s">
        <v>3576</v>
      </c>
      <c r="C2854" t="s">
        <v>14</v>
      </c>
      <c r="D2854" t="s">
        <v>915</v>
      </c>
      <c r="E2854">
        <v>20</v>
      </c>
      <c r="F2854" t="s">
        <v>3249</v>
      </c>
      <c r="G2854">
        <v>2023</v>
      </c>
      <c r="H2854" t="s">
        <v>3589</v>
      </c>
      <c r="I2854" t="s">
        <v>28</v>
      </c>
      <c r="J2854">
        <v>799</v>
      </c>
      <c r="K2854">
        <v>205</v>
      </c>
      <c r="L2854">
        <f t="shared" si="702"/>
        <v>594</v>
      </c>
      <c r="M2854">
        <v>240</v>
      </c>
      <c r="N2854">
        <f t="shared" si="703"/>
        <v>354</v>
      </c>
    </row>
    <row r="2855" spans="1:14" x14ac:dyDescent="0.2">
      <c r="A2855" t="s">
        <v>3590</v>
      </c>
      <c r="B2855" s="1" t="s">
        <v>3576</v>
      </c>
      <c r="C2855" t="s">
        <v>14</v>
      </c>
      <c r="D2855" t="s">
        <v>2058</v>
      </c>
      <c r="E2855">
        <v>20</v>
      </c>
      <c r="F2855" t="s">
        <v>3249</v>
      </c>
      <c r="G2855">
        <v>2023</v>
      </c>
      <c r="H2855" t="s">
        <v>435</v>
      </c>
      <c r="I2855" t="s">
        <v>58</v>
      </c>
      <c r="J2855">
        <v>849</v>
      </c>
      <c r="K2855">
        <v>250</v>
      </c>
      <c r="L2855">
        <f t="shared" si="702"/>
        <v>599</v>
      </c>
      <c r="M2855">
        <v>240</v>
      </c>
      <c r="N2855">
        <f t="shared" si="703"/>
        <v>359</v>
      </c>
    </row>
    <row r="2856" spans="1:14" x14ac:dyDescent="0.2">
      <c r="A2856" t="s">
        <v>3590</v>
      </c>
      <c r="B2856" s="1" t="s">
        <v>3576</v>
      </c>
      <c r="C2856" t="s">
        <v>14</v>
      </c>
      <c r="D2856" t="s">
        <v>1567</v>
      </c>
      <c r="E2856">
        <v>20</v>
      </c>
      <c r="F2856" t="s">
        <v>3249</v>
      </c>
      <c r="G2856">
        <v>2023</v>
      </c>
      <c r="H2856" t="s">
        <v>435</v>
      </c>
      <c r="I2856" t="s">
        <v>58</v>
      </c>
      <c r="J2856">
        <v>849</v>
      </c>
      <c r="K2856">
        <v>250</v>
      </c>
      <c r="L2856">
        <f t="shared" si="702"/>
        <v>599</v>
      </c>
      <c r="M2856">
        <v>240</v>
      </c>
      <c r="N2856">
        <f t="shared" si="703"/>
        <v>359</v>
      </c>
    </row>
    <row r="2857" spans="1:14" x14ac:dyDescent="0.2">
      <c r="A2857" t="s">
        <v>3591</v>
      </c>
      <c r="B2857" s="1" t="s">
        <v>3576</v>
      </c>
      <c r="C2857" t="s">
        <v>14</v>
      </c>
      <c r="D2857" t="s">
        <v>940</v>
      </c>
      <c r="E2857">
        <v>20</v>
      </c>
      <c r="F2857" t="s">
        <v>3249</v>
      </c>
      <c r="G2857">
        <v>2023</v>
      </c>
      <c r="H2857" t="s">
        <v>49</v>
      </c>
      <c r="I2857" t="s">
        <v>32</v>
      </c>
      <c r="J2857">
        <v>799</v>
      </c>
      <c r="K2857">
        <v>205</v>
      </c>
      <c r="L2857">
        <f t="shared" si="702"/>
        <v>594</v>
      </c>
      <c r="M2857">
        <v>240</v>
      </c>
      <c r="N2857">
        <f t="shared" si="703"/>
        <v>354</v>
      </c>
    </row>
    <row r="2858" spans="1:14" x14ac:dyDescent="0.2">
      <c r="A2858" t="s">
        <v>3592</v>
      </c>
      <c r="B2858" s="1" t="s">
        <v>3576</v>
      </c>
      <c r="C2858" t="s">
        <v>14</v>
      </c>
      <c r="D2858" t="s">
        <v>881</v>
      </c>
      <c r="E2858">
        <v>20</v>
      </c>
      <c r="F2858" t="s">
        <v>3249</v>
      </c>
      <c r="G2858">
        <v>2023</v>
      </c>
      <c r="H2858" t="s">
        <v>3296</v>
      </c>
      <c r="I2858" t="s">
        <v>97</v>
      </c>
      <c r="J2858">
        <v>799</v>
      </c>
      <c r="K2858">
        <v>205</v>
      </c>
      <c r="L2858">
        <f t="shared" si="702"/>
        <v>594</v>
      </c>
      <c r="M2858">
        <v>240</v>
      </c>
      <c r="N2858">
        <f t="shared" si="703"/>
        <v>354</v>
      </c>
    </row>
    <row r="2859" spans="1:14" x14ac:dyDescent="0.2">
      <c r="A2859" t="s">
        <v>3593</v>
      </c>
      <c r="B2859" s="1" t="s">
        <v>3576</v>
      </c>
      <c r="C2859" t="s">
        <v>14</v>
      </c>
      <c r="D2859" t="s">
        <v>133</v>
      </c>
      <c r="E2859">
        <v>20</v>
      </c>
      <c r="F2859" t="s">
        <v>3249</v>
      </c>
      <c r="G2859">
        <v>2023</v>
      </c>
      <c r="H2859" t="s">
        <v>104</v>
      </c>
      <c r="I2859" t="s">
        <v>62</v>
      </c>
      <c r="J2859">
        <v>799</v>
      </c>
      <c r="K2859">
        <v>205</v>
      </c>
      <c r="L2859">
        <f t="shared" si="702"/>
        <v>594</v>
      </c>
      <c r="M2859">
        <v>240</v>
      </c>
      <c r="N2859">
        <f t="shared" si="703"/>
        <v>354</v>
      </c>
    </row>
    <row r="2860" spans="1:14" x14ac:dyDescent="0.2">
      <c r="A2860" t="s">
        <v>3594</v>
      </c>
      <c r="B2860" s="1" t="s">
        <v>3576</v>
      </c>
      <c r="C2860" t="s">
        <v>14</v>
      </c>
      <c r="D2860" t="s">
        <v>1937</v>
      </c>
      <c r="E2860">
        <v>20</v>
      </c>
      <c r="F2860" t="s">
        <v>3249</v>
      </c>
      <c r="G2860">
        <v>2023</v>
      </c>
      <c r="H2860" t="s">
        <v>3595</v>
      </c>
      <c r="I2860" t="s">
        <v>144</v>
      </c>
      <c r="J2860">
        <v>799</v>
      </c>
      <c r="K2860">
        <v>205</v>
      </c>
      <c r="L2860">
        <f t="shared" si="702"/>
        <v>594</v>
      </c>
      <c r="M2860">
        <v>240</v>
      </c>
      <c r="N2860">
        <f t="shared" si="703"/>
        <v>354</v>
      </c>
    </row>
    <row r="2861" spans="1:14" x14ac:dyDescent="0.2">
      <c r="A2861" t="s">
        <v>3596</v>
      </c>
      <c r="B2861" s="1" t="s">
        <v>3576</v>
      </c>
      <c r="C2861" t="s">
        <v>14</v>
      </c>
      <c r="D2861" t="s">
        <v>1560</v>
      </c>
      <c r="E2861">
        <v>20</v>
      </c>
      <c r="F2861" t="s">
        <v>3249</v>
      </c>
      <c r="G2861">
        <v>2023</v>
      </c>
      <c r="H2861" t="s">
        <v>157</v>
      </c>
      <c r="I2861" t="s">
        <v>97</v>
      </c>
      <c r="J2861">
        <v>799</v>
      </c>
      <c r="K2861">
        <v>205</v>
      </c>
      <c r="L2861">
        <f t="shared" si="702"/>
        <v>594</v>
      </c>
      <c r="M2861">
        <v>240</v>
      </c>
      <c r="N2861">
        <f t="shared" si="703"/>
        <v>354</v>
      </c>
    </row>
    <row r="2862" spans="1:14" x14ac:dyDescent="0.2">
      <c r="A2862" t="s">
        <v>3597</v>
      </c>
      <c r="B2862" s="1" t="s">
        <v>3576</v>
      </c>
      <c r="C2862" t="s">
        <v>14</v>
      </c>
      <c r="D2862" t="s">
        <v>1386</v>
      </c>
      <c r="E2862">
        <v>20</v>
      </c>
      <c r="F2862" t="s">
        <v>3249</v>
      </c>
      <c r="G2862">
        <v>2023</v>
      </c>
      <c r="H2862" t="s">
        <v>157</v>
      </c>
      <c r="I2862" t="s">
        <v>97</v>
      </c>
      <c r="J2862">
        <v>799</v>
      </c>
      <c r="K2862">
        <v>205</v>
      </c>
      <c r="L2862">
        <f t="shared" si="702"/>
        <v>594</v>
      </c>
      <c r="M2862">
        <v>240</v>
      </c>
      <c r="N2862">
        <f t="shared" si="703"/>
        <v>354</v>
      </c>
    </row>
    <row r="2863" spans="1:14" x14ac:dyDescent="0.2">
      <c r="A2863" t="s">
        <v>3598</v>
      </c>
      <c r="B2863" s="1" t="s">
        <v>3576</v>
      </c>
      <c r="C2863" t="s">
        <v>14</v>
      </c>
      <c r="D2863" t="s">
        <v>901</v>
      </c>
      <c r="E2863">
        <v>20</v>
      </c>
      <c r="F2863" t="s">
        <v>3249</v>
      </c>
      <c r="G2863">
        <v>2023</v>
      </c>
      <c r="H2863" t="s">
        <v>3599</v>
      </c>
      <c r="I2863" t="s">
        <v>23</v>
      </c>
      <c r="J2863">
        <v>799</v>
      </c>
      <c r="K2863">
        <v>205</v>
      </c>
      <c r="L2863">
        <f t="shared" si="702"/>
        <v>594</v>
      </c>
      <c r="M2863">
        <v>240</v>
      </c>
      <c r="N2863">
        <f t="shared" si="703"/>
        <v>354</v>
      </c>
    </row>
    <row r="2864" spans="1:14" x14ac:dyDescent="0.2">
      <c r="A2864" t="s">
        <v>3600</v>
      </c>
      <c r="B2864" s="1" t="s">
        <v>3576</v>
      </c>
      <c r="C2864" t="s">
        <v>14</v>
      </c>
      <c r="D2864" t="s">
        <v>893</v>
      </c>
      <c r="E2864">
        <v>20</v>
      </c>
      <c r="F2864" t="s">
        <v>3249</v>
      </c>
      <c r="G2864">
        <v>2023</v>
      </c>
      <c r="H2864" t="s">
        <v>157</v>
      </c>
      <c r="I2864" t="s">
        <v>97</v>
      </c>
      <c r="J2864">
        <v>849</v>
      </c>
      <c r="K2864">
        <v>250</v>
      </c>
      <c r="L2864">
        <f t="shared" si="702"/>
        <v>599</v>
      </c>
      <c r="M2864">
        <v>240</v>
      </c>
      <c r="N2864">
        <f t="shared" si="703"/>
        <v>359</v>
      </c>
    </row>
    <row r="2865" spans="1:14" x14ac:dyDescent="0.2">
      <c r="A2865" t="s">
        <v>3601</v>
      </c>
      <c r="B2865" s="1" t="s">
        <v>3576</v>
      </c>
      <c r="C2865" t="s">
        <v>14</v>
      </c>
      <c r="D2865" t="s">
        <v>448</v>
      </c>
      <c r="E2865">
        <v>20</v>
      </c>
      <c r="F2865" t="s">
        <v>3249</v>
      </c>
      <c r="G2865">
        <v>2023</v>
      </c>
      <c r="H2865" t="s">
        <v>263</v>
      </c>
      <c r="I2865" t="s">
        <v>144</v>
      </c>
      <c r="J2865">
        <v>899</v>
      </c>
      <c r="K2865">
        <v>295</v>
      </c>
      <c r="L2865">
        <f t="shared" si="702"/>
        <v>604</v>
      </c>
      <c r="M2865">
        <v>240</v>
      </c>
      <c r="N2865">
        <f t="shared" si="703"/>
        <v>364</v>
      </c>
    </row>
    <row r="2866" spans="1:14" x14ac:dyDescent="0.2">
      <c r="A2866" t="s">
        <v>3302</v>
      </c>
      <c r="B2866" s="1" t="s">
        <v>3292</v>
      </c>
      <c r="C2866" t="s">
        <v>106</v>
      </c>
      <c r="D2866" t="s">
        <v>308</v>
      </c>
      <c r="E2866">
        <v>4</v>
      </c>
      <c r="F2866" t="s">
        <v>3249</v>
      </c>
      <c r="G2866">
        <v>2023</v>
      </c>
      <c r="H2866" t="s">
        <v>49</v>
      </c>
      <c r="I2866" t="s">
        <v>32</v>
      </c>
      <c r="J2866">
        <v>-899</v>
      </c>
      <c r="K2866">
        <v>375</v>
      </c>
      <c r="L2866">
        <f>J2866+K2866</f>
        <v>-524</v>
      </c>
      <c r="M2866">
        <v>240</v>
      </c>
      <c r="N2866">
        <f>L2866+M2866</f>
        <v>-284</v>
      </c>
    </row>
    <row r="2867" spans="1:14" x14ac:dyDescent="0.2">
      <c r="A2867" t="s">
        <v>3603</v>
      </c>
      <c r="B2867" s="1" t="s">
        <v>3602</v>
      </c>
      <c r="C2867" t="s">
        <v>43</v>
      </c>
      <c r="D2867" t="s">
        <v>504</v>
      </c>
      <c r="E2867">
        <v>21</v>
      </c>
      <c r="F2867" t="s">
        <v>3249</v>
      </c>
      <c r="G2867">
        <v>2023</v>
      </c>
      <c r="H2867" t="s">
        <v>246</v>
      </c>
      <c r="I2867" t="s">
        <v>58</v>
      </c>
      <c r="J2867">
        <v>0</v>
      </c>
      <c r="K2867">
        <v>0</v>
      </c>
      <c r="L2867">
        <v>0</v>
      </c>
      <c r="M2867">
        <v>0</v>
      </c>
      <c r="N2867">
        <v>0</v>
      </c>
    </row>
    <row r="2868" spans="1:14" x14ac:dyDescent="0.2">
      <c r="A2868" t="s">
        <v>3480</v>
      </c>
      <c r="B2868" s="1" t="s">
        <v>3473</v>
      </c>
      <c r="C2868" t="s">
        <v>106</v>
      </c>
      <c r="D2868" t="s">
        <v>1089</v>
      </c>
      <c r="E2868">
        <v>14</v>
      </c>
      <c r="F2868" t="s">
        <v>3249</v>
      </c>
      <c r="G2868">
        <v>2023</v>
      </c>
      <c r="H2868" t="s">
        <v>3481</v>
      </c>
      <c r="I2868" t="s">
        <v>376</v>
      </c>
      <c r="J2868">
        <v>-799</v>
      </c>
      <c r="K2868">
        <v>320</v>
      </c>
      <c r="L2868">
        <f>J2868+K2868</f>
        <v>-479</v>
      </c>
      <c r="M2868">
        <v>240</v>
      </c>
      <c r="N2868">
        <f>L2868+M2868</f>
        <v>-239</v>
      </c>
    </row>
    <row r="2869" spans="1:14" x14ac:dyDescent="0.2">
      <c r="A2869" t="s">
        <v>3605</v>
      </c>
      <c r="B2869" s="1" t="s">
        <v>3604</v>
      </c>
      <c r="C2869" t="s">
        <v>43</v>
      </c>
      <c r="D2869" t="s">
        <v>420</v>
      </c>
      <c r="E2869">
        <v>22</v>
      </c>
      <c r="F2869" t="s">
        <v>3249</v>
      </c>
      <c r="G2869">
        <v>2023</v>
      </c>
      <c r="H2869" t="s">
        <v>1417</v>
      </c>
      <c r="I2869" t="s">
        <v>37</v>
      </c>
      <c r="J2869">
        <v>0</v>
      </c>
      <c r="K2869">
        <v>0</v>
      </c>
      <c r="L2869">
        <v>0</v>
      </c>
      <c r="M2869">
        <v>0</v>
      </c>
      <c r="N2869">
        <v>0</v>
      </c>
    </row>
    <row r="2870" spans="1:14" x14ac:dyDescent="0.2">
      <c r="A2870" t="s">
        <v>3583</v>
      </c>
      <c r="B2870" s="1" t="s">
        <v>3576</v>
      </c>
      <c r="C2870" t="s">
        <v>106</v>
      </c>
      <c r="D2870" t="s">
        <v>81</v>
      </c>
      <c r="E2870">
        <v>20</v>
      </c>
      <c r="F2870" t="s">
        <v>3249</v>
      </c>
      <c r="G2870">
        <v>2023</v>
      </c>
      <c r="H2870" t="s">
        <v>1408</v>
      </c>
      <c r="I2870" t="s">
        <v>23</v>
      </c>
      <c r="J2870">
        <v>-849</v>
      </c>
      <c r="K2870">
        <v>345</v>
      </c>
      <c r="L2870">
        <f>J2870+K2870</f>
        <v>-504</v>
      </c>
      <c r="M2870">
        <v>240</v>
      </c>
      <c r="N2870">
        <f>L2870+M2870</f>
        <v>-264</v>
      </c>
    </row>
    <row r="2871" spans="1:14" x14ac:dyDescent="0.2">
      <c r="A2871" t="s">
        <v>3607</v>
      </c>
      <c r="B2871" s="1" t="s">
        <v>3606</v>
      </c>
      <c r="C2871" t="s">
        <v>43</v>
      </c>
      <c r="D2871" t="s">
        <v>284</v>
      </c>
      <c r="E2871">
        <v>23</v>
      </c>
      <c r="F2871" t="s">
        <v>3249</v>
      </c>
      <c r="G2871">
        <v>2023</v>
      </c>
      <c r="H2871" t="s">
        <v>3608</v>
      </c>
      <c r="I2871" t="s">
        <v>28</v>
      </c>
      <c r="J2871">
        <v>0</v>
      </c>
      <c r="K2871">
        <v>0</v>
      </c>
      <c r="L2871">
        <v>0</v>
      </c>
      <c r="M2871">
        <v>0</v>
      </c>
      <c r="N2871">
        <v>0</v>
      </c>
    </row>
    <row r="2872" spans="1:14" x14ac:dyDescent="0.2">
      <c r="A2872" t="s">
        <v>3609</v>
      </c>
      <c r="B2872" s="1" t="s">
        <v>3602</v>
      </c>
      <c r="C2872" t="s">
        <v>14</v>
      </c>
      <c r="D2872" t="s">
        <v>1193</v>
      </c>
      <c r="E2872">
        <v>21</v>
      </c>
      <c r="F2872" t="s">
        <v>3249</v>
      </c>
      <c r="G2872">
        <v>2023</v>
      </c>
      <c r="H2872" t="s">
        <v>775</v>
      </c>
      <c r="I2872" t="s">
        <v>502</v>
      </c>
      <c r="J2872">
        <v>899</v>
      </c>
      <c r="K2872">
        <v>295</v>
      </c>
      <c r="L2872">
        <f>J2872-K2872</f>
        <v>604</v>
      </c>
      <c r="M2872">
        <v>240</v>
      </c>
      <c r="N2872">
        <f>L2872-M2872</f>
        <v>364</v>
      </c>
    </row>
    <row r="2873" spans="1:14" x14ac:dyDescent="0.2">
      <c r="A2873" t="s">
        <v>3610</v>
      </c>
      <c r="B2873" s="1" t="s">
        <v>3604</v>
      </c>
      <c r="C2873" t="s">
        <v>20</v>
      </c>
      <c r="D2873" t="s">
        <v>1548</v>
      </c>
      <c r="E2873">
        <v>22</v>
      </c>
      <c r="F2873" t="s">
        <v>3249</v>
      </c>
      <c r="G2873">
        <v>2023</v>
      </c>
      <c r="H2873" t="s">
        <v>3515</v>
      </c>
      <c r="I2873" t="s">
        <v>62</v>
      </c>
      <c r="J2873">
        <v>0</v>
      </c>
      <c r="K2873">
        <v>0</v>
      </c>
      <c r="L2873">
        <v>0</v>
      </c>
      <c r="M2873">
        <v>0</v>
      </c>
      <c r="N2873">
        <v>0</v>
      </c>
    </row>
    <row r="2874" spans="1:14" x14ac:dyDescent="0.2">
      <c r="A2874" t="s">
        <v>3611</v>
      </c>
      <c r="B2874" s="1" t="s">
        <v>3602</v>
      </c>
      <c r="C2874" t="s">
        <v>14</v>
      </c>
      <c r="D2874" t="s">
        <v>1567</v>
      </c>
      <c r="E2874">
        <v>21</v>
      </c>
      <c r="F2874" t="s">
        <v>3249</v>
      </c>
      <c r="G2874">
        <v>2023</v>
      </c>
      <c r="H2874" t="s">
        <v>3612</v>
      </c>
      <c r="I2874" t="s">
        <v>85</v>
      </c>
      <c r="J2874">
        <v>849</v>
      </c>
      <c r="K2874">
        <v>250</v>
      </c>
      <c r="L2874">
        <f t="shared" ref="L2874:L2875" si="704">J2874-K2874</f>
        <v>599</v>
      </c>
      <c r="M2874">
        <v>240</v>
      </c>
      <c r="N2874">
        <f t="shared" ref="N2874:N2875" si="705">L2874-M2874</f>
        <v>359</v>
      </c>
    </row>
    <row r="2875" spans="1:14" x14ac:dyDescent="0.2">
      <c r="A2875" t="s">
        <v>3613</v>
      </c>
      <c r="B2875" s="1" t="s">
        <v>3602</v>
      </c>
      <c r="C2875" t="s">
        <v>14</v>
      </c>
      <c r="D2875" t="s">
        <v>1171</v>
      </c>
      <c r="E2875">
        <v>21</v>
      </c>
      <c r="F2875" t="s">
        <v>3249</v>
      </c>
      <c r="G2875">
        <v>2023</v>
      </c>
      <c r="H2875" t="s">
        <v>3614</v>
      </c>
      <c r="I2875" t="s">
        <v>122</v>
      </c>
      <c r="J2875">
        <v>799</v>
      </c>
      <c r="K2875">
        <v>205</v>
      </c>
      <c r="L2875">
        <f t="shared" si="704"/>
        <v>594</v>
      </c>
      <c r="M2875">
        <v>240</v>
      </c>
      <c r="N2875">
        <f t="shared" si="705"/>
        <v>354</v>
      </c>
    </row>
    <row r="2876" spans="1:14" x14ac:dyDescent="0.2">
      <c r="A2876" t="s">
        <v>3615</v>
      </c>
      <c r="B2876" s="1" t="s">
        <v>3604</v>
      </c>
      <c r="C2876" t="s">
        <v>20</v>
      </c>
      <c r="D2876" t="s">
        <v>117</v>
      </c>
      <c r="E2876">
        <v>22</v>
      </c>
      <c r="F2876" t="s">
        <v>3249</v>
      </c>
      <c r="G2876">
        <v>2023</v>
      </c>
      <c r="H2876" t="s">
        <v>246</v>
      </c>
      <c r="I2876" t="s">
        <v>58</v>
      </c>
      <c r="J2876">
        <v>0</v>
      </c>
      <c r="K2876">
        <v>0</v>
      </c>
      <c r="L2876">
        <v>0</v>
      </c>
      <c r="M2876">
        <v>0</v>
      </c>
      <c r="N2876">
        <v>0</v>
      </c>
    </row>
    <row r="2877" spans="1:14" x14ac:dyDescent="0.2">
      <c r="A2877" t="s">
        <v>3616</v>
      </c>
      <c r="B2877" s="1" t="s">
        <v>3602</v>
      </c>
      <c r="C2877" t="s">
        <v>14</v>
      </c>
      <c r="D2877" t="s">
        <v>448</v>
      </c>
      <c r="E2877">
        <v>21</v>
      </c>
      <c r="F2877" t="s">
        <v>3249</v>
      </c>
      <c r="G2877">
        <v>2023</v>
      </c>
      <c r="H2877" t="s">
        <v>3617</v>
      </c>
      <c r="I2877" t="s">
        <v>212</v>
      </c>
      <c r="J2877">
        <v>899</v>
      </c>
      <c r="K2877">
        <v>295</v>
      </c>
      <c r="L2877">
        <f>J2877-K2877</f>
        <v>604</v>
      </c>
      <c r="M2877">
        <v>240</v>
      </c>
      <c r="N2877">
        <f>L2877-M2877</f>
        <v>364</v>
      </c>
    </row>
    <row r="2878" spans="1:14" x14ac:dyDescent="0.2">
      <c r="A2878" t="s">
        <v>3618</v>
      </c>
      <c r="B2878" s="1" t="s">
        <v>3602</v>
      </c>
      <c r="C2878" t="s">
        <v>20</v>
      </c>
      <c r="D2878" t="s">
        <v>573</v>
      </c>
      <c r="E2878">
        <v>21</v>
      </c>
      <c r="F2878" t="s">
        <v>3249</v>
      </c>
      <c r="G2878">
        <v>2023</v>
      </c>
      <c r="H2878" t="s">
        <v>71</v>
      </c>
      <c r="I2878" t="s">
        <v>62</v>
      </c>
      <c r="J2878">
        <v>0</v>
      </c>
      <c r="K2878">
        <v>0</v>
      </c>
      <c r="L2878">
        <v>0</v>
      </c>
      <c r="M2878">
        <v>0</v>
      </c>
      <c r="N2878">
        <v>0</v>
      </c>
    </row>
    <row r="2879" spans="1:14" x14ac:dyDescent="0.2">
      <c r="A2879" t="s">
        <v>3619</v>
      </c>
      <c r="B2879" s="1" t="s">
        <v>3604</v>
      </c>
      <c r="C2879" t="s">
        <v>14</v>
      </c>
      <c r="D2879" t="s">
        <v>3620</v>
      </c>
      <c r="E2879">
        <v>22</v>
      </c>
      <c r="F2879" t="s">
        <v>3249</v>
      </c>
      <c r="G2879">
        <v>2023</v>
      </c>
      <c r="H2879" t="s">
        <v>3621</v>
      </c>
      <c r="I2879" t="s">
        <v>28</v>
      </c>
      <c r="J2879">
        <v>799</v>
      </c>
      <c r="K2879">
        <v>205</v>
      </c>
      <c r="L2879">
        <f t="shared" ref="L2879:L2907" si="706">J2879-K2879</f>
        <v>594</v>
      </c>
      <c r="M2879">
        <v>240</v>
      </c>
      <c r="N2879">
        <f t="shared" ref="N2879:N2907" si="707">L2879-M2879</f>
        <v>354</v>
      </c>
    </row>
    <row r="2880" spans="1:14" x14ac:dyDescent="0.2">
      <c r="A2880" t="s">
        <v>3622</v>
      </c>
      <c r="B2880" s="1" t="s">
        <v>3602</v>
      </c>
      <c r="C2880" t="s">
        <v>14</v>
      </c>
      <c r="D2880" t="s">
        <v>977</v>
      </c>
      <c r="E2880">
        <v>21</v>
      </c>
      <c r="F2880" t="s">
        <v>3249</v>
      </c>
      <c r="G2880">
        <v>2023</v>
      </c>
      <c r="H2880" t="s">
        <v>3623</v>
      </c>
      <c r="I2880" t="s">
        <v>58</v>
      </c>
      <c r="J2880">
        <v>799</v>
      </c>
      <c r="K2880">
        <v>205</v>
      </c>
      <c r="L2880">
        <f t="shared" si="706"/>
        <v>594</v>
      </c>
      <c r="M2880">
        <v>240</v>
      </c>
      <c r="N2880">
        <f t="shared" si="707"/>
        <v>354</v>
      </c>
    </row>
    <row r="2881" spans="1:14" x14ac:dyDescent="0.2">
      <c r="A2881" t="s">
        <v>3624</v>
      </c>
      <c r="B2881" s="1" t="s">
        <v>3604</v>
      </c>
      <c r="C2881" t="s">
        <v>14</v>
      </c>
      <c r="D2881" t="s">
        <v>448</v>
      </c>
      <c r="E2881">
        <v>22</v>
      </c>
      <c r="F2881" t="s">
        <v>3249</v>
      </c>
      <c r="G2881">
        <v>2023</v>
      </c>
      <c r="H2881" t="s">
        <v>885</v>
      </c>
      <c r="I2881" t="s">
        <v>886</v>
      </c>
      <c r="J2881">
        <v>899</v>
      </c>
      <c r="K2881">
        <v>295</v>
      </c>
      <c r="L2881">
        <f t="shared" si="706"/>
        <v>604</v>
      </c>
      <c r="M2881">
        <v>240</v>
      </c>
      <c r="N2881">
        <f t="shared" si="707"/>
        <v>364</v>
      </c>
    </row>
    <row r="2882" spans="1:14" x14ac:dyDescent="0.2">
      <c r="A2882" t="s">
        <v>3625</v>
      </c>
      <c r="B2882" s="1" t="s">
        <v>3604</v>
      </c>
      <c r="C2882" t="s">
        <v>14</v>
      </c>
      <c r="D2882" t="s">
        <v>448</v>
      </c>
      <c r="E2882">
        <v>22</v>
      </c>
      <c r="F2882" t="s">
        <v>3249</v>
      </c>
      <c r="G2882">
        <v>2023</v>
      </c>
      <c r="H2882" t="s">
        <v>417</v>
      </c>
      <c r="I2882" t="s">
        <v>253</v>
      </c>
      <c r="J2882">
        <v>899</v>
      </c>
      <c r="K2882">
        <v>295</v>
      </c>
      <c r="L2882">
        <f t="shared" si="706"/>
        <v>604</v>
      </c>
      <c r="M2882">
        <v>240</v>
      </c>
      <c r="N2882">
        <f t="shared" si="707"/>
        <v>364</v>
      </c>
    </row>
    <row r="2883" spans="1:14" x14ac:dyDescent="0.2">
      <c r="A2883" t="s">
        <v>3626</v>
      </c>
      <c r="B2883" s="1" t="s">
        <v>3602</v>
      </c>
      <c r="C2883" t="s">
        <v>14</v>
      </c>
      <c r="D2883" t="s">
        <v>448</v>
      </c>
      <c r="E2883">
        <v>21</v>
      </c>
      <c r="F2883" t="s">
        <v>3249</v>
      </c>
      <c r="G2883">
        <v>2023</v>
      </c>
      <c r="H2883" t="s">
        <v>435</v>
      </c>
      <c r="I2883" t="s">
        <v>58</v>
      </c>
      <c r="J2883">
        <v>899</v>
      </c>
      <c r="K2883">
        <v>295</v>
      </c>
      <c r="L2883">
        <f t="shared" si="706"/>
        <v>604</v>
      </c>
      <c r="M2883">
        <v>240</v>
      </c>
      <c r="N2883">
        <f t="shared" si="707"/>
        <v>364</v>
      </c>
    </row>
    <row r="2884" spans="1:14" x14ac:dyDescent="0.2">
      <c r="A2884" t="s">
        <v>3627</v>
      </c>
      <c r="B2884" s="1" t="s">
        <v>3604</v>
      </c>
      <c r="C2884" t="s">
        <v>14</v>
      </c>
      <c r="D2884" t="s">
        <v>448</v>
      </c>
      <c r="E2884">
        <v>22</v>
      </c>
      <c r="F2884" t="s">
        <v>3249</v>
      </c>
      <c r="G2884">
        <v>2023</v>
      </c>
      <c r="H2884" t="s">
        <v>296</v>
      </c>
      <c r="I2884" t="s">
        <v>85</v>
      </c>
      <c r="J2884">
        <v>899</v>
      </c>
      <c r="K2884">
        <v>295</v>
      </c>
      <c r="L2884">
        <f t="shared" si="706"/>
        <v>604</v>
      </c>
      <c r="M2884">
        <v>240</v>
      </c>
      <c r="N2884">
        <f t="shared" si="707"/>
        <v>364</v>
      </c>
    </row>
    <row r="2885" spans="1:14" x14ac:dyDescent="0.2">
      <c r="A2885" t="s">
        <v>3628</v>
      </c>
      <c r="B2885" s="1" t="s">
        <v>3602</v>
      </c>
      <c r="C2885" t="s">
        <v>14</v>
      </c>
      <c r="D2885" t="s">
        <v>504</v>
      </c>
      <c r="E2885">
        <v>21</v>
      </c>
      <c r="F2885" t="s">
        <v>3249</v>
      </c>
      <c r="G2885">
        <v>2023</v>
      </c>
      <c r="H2885" t="s">
        <v>215</v>
      </c>
      <c r="I2885" t="s">
        <v>135</v>
      </c>
      <c r="J2885">
        <v>899</v>
      </c>
      <c r="K2885">
        <v>295</v>
      </c>
      <c r="L2885">
        <f t="shared" si="706"/>
        <v>604</v>
      </c>
      <c r="M2885">
        <v>240</v>
      </c>
      <c r="N2885">
        <f t="shared" si="707"/>
        <v>364</v>
      </c>
    </row>
    <row r="2886" spans="1:14" x14ac:dyDescent="0.2">
      <c r="A2886" t="s">
        <v>3629</v>
      </c>
      <c r="B2886" s="1" t="s">
        <v>3602</v>
      </c>
      <c r="C2886" t="s">
        <v>14</v>
      </c>
      <c r="D2886" t="s">
        <v>895</v>
      </c>
      <c r="E2886">
        <v>21</v>
      </c>
      <c r="F2886" t="s">
        <v>3249</v>
      </c>
      <c r="G2886">
        <v>2023</v>
      </c>
      <c r="H2886" t="s">
        <v>3612</v>
      </c>
      <c r="I2886" t="s">
        <v>85</v>
      </c>
      <c r="J2886">
        <v>849</v>
      </c>
      <c r="K2886">
        <v>250</v>
      </c>
      <c r="L2886">
        <f t="shared" si="706"/>
        <v>599</v>
      </c>
      <c r="M2886">
        <v>240</v>
      </c>
      <c r="N2886">
        <f t="shared" si="707"/>
        <v>359</v>
      </c>
    </row>
    <row r="2887" spans="1:14" x14ac:dyDescent="0.2">
      <c r="A2887" t="s">
        <v>3630</v>
      </c>
      <c r="B2887" s="1" t="s">
        <v>3604</v>
      </c>
      <c r="C2887" t="s">
        <v>14</v>
      </c>
      <c r="D2887" t="s">
        <v>1511</v>
      </c>
      <c r="E2887">
        <v>22</v>
      </c>
      <c r="F2887" t="s">
        <v>3249</v>
      </c>
      <c r="G2887">
        <v>2023</v>
      </c>
      <c r="H2887" t="s">
        <v>965</v>
      </c>
      <c r="I2887" t="s">
        <v>122</v>
      </c>
      <c r="J2887">
        <v>799</v>
      </c>
      <c r="K2887">
        <v>205</v>
      </c>
      <c r="L2887">
        <f t="shared" si="706"/>
        <v>594</v>
      </c>
      <c r="M2887">
        <v>240</v>
      </c>
      <c r="N2887">
        <f t="shared" si="707"/>
        <v>354</v>
      </c>
    </row>
    <row r="2888" spans="1:14" x14ac:dyDescent="0.2">
      <c r="A2888" t="s">
        <v>3631</v>
      </c>
      <c r="B2888" s="1" t="s">
        <v>3602</v>
      </c>
      <c r="C2888" t="s">
        <v>14</v>
      </c>
      <c r="D2888" t="s">
        <v>308</v>
      </c>
      <c r="E2888">
        <v>21</v>
      </c>
      <c r="F2888" t="s">
        <v>3249</v>
      </c>
      <c r="G2888">
        <v>2023</v>
      </c>
      <c r="H2888" t="s">
        <v>170</v>
      </c>
      <c r="I2888" t="s">
        <v>171</v>
      </c>
      <c r="J2888">
        <v>899</v>
      </c>
      <c r="K2888">
        <v>295</v>
      </c>
      <c r="L2888">
        <f t="shared" si="706"/>
        <v>604</v>
      </c>
      <c r="M2888">
        <v>240</v>
      </c>
      <c r="N2888">
        <f t="shared" si="707"/>
        <v>364</v>
      </c>
    </row>
    <row r="2889" spans="1:14" x14ac:dyDescent="0.2">
      <c r="A2889" t="s">
        <v>3632</v>
      </c>
      <c r="B2889" s="1" t="s">
        <v>3602</v>
      </c>
      <c r="C2889" t="s">
        <v>14</v>
      </c>
      <c r="D2889" t="s">
        <v>448</v>
      </c>
      <c r="E2889">
        <v>21</v>
      </c>
      <c r="F2889" t="s">
        <v>3249</v>
      </c>
      <c r="G2889">
        <v>2023</v>
      </c>
      <c r="H2889" t="s">
        <v>653</v>
      </c>
      <c r="I2889" t="s">
        <v>62</v>
      </c>
      <c r="J2889">
        <v>899</v>
      </c>
      <c r="K2889">
        <v>295</v>
      </c>
      <c r="L2889">
        <f t="shared" si="706"/>
        <v>604</v>
      </c>
      <c r="M2889">
        <v>240</v>
      </c>
      <c r="N2889">
        <f t="shared" si="707"/>
        <v>364</v>
      </c>
    </row>
    <row r="2890" spans="1:14" x14ac:dyDescent="0.2">
      <c r="A2890" t="s">
        <v>3633</v>
      </c>
      <c r="B2890" s="1" t="s">
        <v>3604</v>
      </c>
      <c r="C2890" t="s">
        <v>14</v>
      </c>
      <c r="D2890" t="s">
        <v>448</v>
      </c>
      <c r="E2890">
        <v>22</v>
      </c>
      <c r="F2890" t="s">
        <v>3249</v>
      </c>
      <c r="G2890">
        <v>2023</v>
      </c>
      <c r="H2890" t="s">
        <v>157</v>
      </c>
      <c r="I2890" t="s">
        <v>97</v>
      </c>
      <c r="J2890">
        <v>899</v>
      </c>
      <c r="K2890">
        <v>295</v>
      </c>
      <c r="L2890">
        <f t="shared" si="706"/>
        <v>604</v>
      </c>
      <c r="M2890">
        <v>240</v>
      </c>
      <c r="N2890">
        <f t="shared" si="707"/>
        <v>364</v>
      </c>
    </row>
    <row r="2891" spans="1:14" x14ac:dyDescent="0.2">
      <c r="A2891" t="s">
        <v>3634</v>
      </c>
      <c r="B2891" s="1" t="s">
        <v>3602</v>
      </c>
      <c r="C2891" t="s">
        <v>14</v>
      </c>
      <c r="D2891" t="s">
        <v>504</v>
      </c>
      <c r="E2891">
        <v>21</v>
      </c>
      <c r="F2891" t="s">
        <v>3249</v>
      </c>
      <c r="G2891">
        <v>2023</v>
      </c>
      <c r="H2891" t="s">
        <v>705</v>
      </c>
      <c r="I2891" t="s">
        <v>62</v>
      </c>
      <c r="J2891">
        <v>899</v>
      </c>
      <c r="K2891">
        <v>295</v>
      </c>
      <c r="L2891">
        <f t="shared" si="706"/>
        <v>604</v>
      </c>
      <c r="M2891">
        <v>240</v>
      </c>
      <c r="N2891">
        <f t="shared" si="707"/>
        <v>364</v>
      </c>
    </row>
    <row r="2892" spans="1:14" x14ac:dyDescent="0.2">
      <c r="A2892" t="s">
        <v>3635</v>
      </c>
      <c r="B2892" s="1" t="s">
        <v>3604</v>
      </c>
      <c r="C2892" t="s">
        <v>14</v>
      </c>
      <c r="D2892" t="s">
        <v>81</v>
      </c>
      <c r="E2892">
        <v>22</v>
      </c>
      <c r="F2892" t="s">
        <v>3249</v>
      </c>
      <c r="G2892">
        <v>2023</v>
      </c>
      <c r="H2892" t="s">
        <v>449</v>
      </c>
      <c r="I2892" t="s">
        <v>97</v>
      </c>
      <c r="J2892">
        <v>849</v>
      </c>
      <c r="K2892">
        <v>250</v>
      </c>
      <c r="L2892">
        <f t="shared" si="706"/>
        <v>599</v>
      </c>
      <c r="M2892">
        <v>240</v>
      </c>
      <c r="N2892">
        <f t="shared" si="707"/>
        <v>359</v>
      </c>
    </row>
    <row r="2893" spans="1:14" x14ac:dyDescent="0.2">
      <c r="A2893" t="s">
        <v>3636</v>
      </c>
      <c r="B2893" s="1" t="s">
        <v>3602</v>
      </c>
      <c r="C2893" t="s">
        <v>14</v>
      </c>
      <c r="D2893" t="s">
        <v>445</v>
      </c>
      <c r="E2893">
        <v>21</v>
      </c>
      <c r="F2893" t="s">
        <v>3249</v>
      </c>
      <c r="G2893">
        <v>2023</v>
      </c>
      <c r="H2893" t="s">
        <v>150</v>
      </c>
      <c r="I2893" t="s">
        <v>62</v>
      </c>
      <c r="J2893">
        <v>899</v>
      </c>
      <c r="K2893">
        <v>295</v>
      </c>
      <c r="L2893">
        <f t="shared" si="706"/>
        <v>604</v>
      </c>
      <c r="M2893">
        <v>240</v>
      </c>
      <c r="N2893">
        <f t="shared" si="707"/>
        <v>364</v>
      </c>
    </row>
    <row r="2894" spans="1:14" x14ac:dyDescent="0.2">
      <c r="A2894" t="s">
        <v>3637</v>
      </c>
      <c r="B2894" s="1" t="s">
        <v>3602</v>
      </c>
      <c r="C2894" t="s">
        <v>14</v>
      </c>
      <c r="D2894" t="s">
        <v>242</v>
      </c>
      <c r="E2894">
        <v>21</v>
      </c>
      <c r="F2894" t="s">
        <v>3249</v>
      </c>
      <c r="G2894">
        <v>2023</v>
      </c>
      <c r="H2894" t="s">
        <v>3638</v>
      </c>
      <c r="I2894" t="s">
        <v>19</v>
      </c>
      <c r="J2894">
        <v>899</v>
      </c>
      <c r="K2894">
        <v>295</v>
      </c>
      <c r="L2894">
        <f t="shared" si="706"/>
        <v>604</v>
      </c>
      <c r="M2894">
        <v>240</v>
      </c>
      <c r="N2894">
        <f t="shared" si="707"/>
        <v>364</v>
      </c>
    </row>
    <row r="2895" spans="1:14" x14ac:dyDescent="0.2">
      <c r="A2895" t="s">
        <v>3639</v>
      </c>
      <c r="B2895" s="1" t="s">
        <v>3604</v>
      </c>
      <c r="C2895" t="s">
        <v>14</v>
      </c>
      <c r="D2895" t="s">
        <v>940</v>
      </c>
      <c r="E2895">
        <v>22</v>
      </c>
      <c r="F2895" t="s">
        <v>3249</v>
      </c>
      <c r="G2895">
        <v>2023</v>
      </c>
      <c r="H2895" t="s">
        <v>3612</v>
      </c>
      <c r="I2895" t="s">
        <v>85</v>
      </c>
      <c r="J2895">
        <v>799</v>
      </c>
      <c r="K2895">
        <v>205</v>
      </c>
      <c r="L2895">
        <f t="shared" si="706"/>
        <v>594</v>
      </c>
      <c r="M2895">
        <v>240</v>
      </c>
      <c r="N2895">
        <f t="shared" si="707"/>
        <v>354</v>
      </c>
    </row>
    <row r="2896" spans="1:14" x14ac:dyDescent="0.2">
      <c r="A2896" t="s">
        <v>3640</v>
      </c>
      <c r="B2896" s="1" t="s">
        <v>3602</v>
      </c>
      <c r="C2896" t="s">
        <v>14</v>
      </c>
      <c r="D2896" t="s">
        <v>1218</v>
      </c>
      <c r="E2896">
        <v>21</v>
      </c>
      <c r="F2896" t="s">
        <v>3249</v>
      </c>
      <c r="G2896">
        <v>2023</v>
      </c>
      <c r="H2896" t="s">
        <v>3641</v>
      </c>
      <c r="I2896" t="s">
        <v>253</v>
      </c>
      <c r="J2896">
        <v>799</v>
      </c>
      <c r="K2896">
        <v>205</v>
      </c>
      <c r="L2896">
        <f t="shared" si="706"/>
        <v>594</v>
      </c>
      <c r="M2896">
        <v>240</v>
      </c>
      <c r="N2896">
        <f t="shared" si="707"/>
        <v>354</v>
      </c>
    </row>
    <row r="2897" spans="1:14" x14ac:dyDescent="0.2">
      <c r="A2897" t="s">
        <v>3642</v>
      </c>
      <c r="B2897" s="1" t="s">
        <v>3604</v>
      </c>
      <c r="C2897" t="s">
        <v>14</v>
      </c>
      <c r="D2897" t="s">
        <v>448</v>
      </c>
      <c r="E2897">
        <v>22</v>
      </c>
      <c r="F2897" t="s">
        <v>3249</v>
      </c>
      <c r="G2897">
        <v>2023</v>
      </c>
      <c r="H2897" t="s">
        <v>272</v>
      </c>
      <c r="I2897" t="s">
        <v>23</v>
      </c>
      <c r="J2897">
        <v>899</v>
      </c>
      <c r="K2897">
        <v>295</v>
      </c>
      <c r="L2897">
        <f t="shared" si="706"/>
        <v>604</v>
      </c>
      <c r="M2897">
        <v>240</v>
      </c>
      <c r="N2897">
        <f t="shared" si="707"/>
        <v>364</v>
      </c>
    </row>
    <row r="2898" spans="1:14" x14ac:dyDescent="0.2">
      <c r="A2898" t="s">
        <v>3643</v>
      </c>
      <c r="B2898" s="1" t="s">
        <v>3604</v>
      </c>
      <c r="C2898" t="s">
        <v>14</v>
      </c>
      <c r="D2898" t="s">
        <v>504</v>
      </c>
      <c r="E2898">
        <v>22</v>
      </c>
      <c r="F2898" t="s">
        <v>3249</v>
      </c>
      <c r="G2898">
        <v>2023</v>
      </c>
      <c r="H2898" t="s">
        <v>3644</v>
      </c>
      <c r="I2898" t="s">
        <v>163</v>
      </c>
      <c r="J2898">
        <v>899</v>
      </c>
      <c r="K2898">
        <v>295</v>
      </c>
      <c r="L2898">
        <f t="shared" si="706"/>
        <v>604</v>
      </c>
      <c r="M2898">
        <v>240</v>
      </c>
      <c r="N2898">
        <f t="shared" si="707"/>
        <v>364</v>
      </c>
    </row>
    <row r="2899" spans="1:14" x14ac:dyDescent="0.2">
      <c r="A2899" t="s">
        <v>3645</v>
      </c>
      <c r="B2899" s="1" t="s">
        <v>3604</v>
      </c>
      <c r="C2899" t="s">
        <v>14</v>
      </c>
      <c r="D2899" t="s">
        <v>548</v>
      </c>
      <c r="E2899">
        <v>22</v>
      </c>
      <c r="F2899" t="s">
        <v>3249</v>
      </c>
      <c r="G2899">
        <v>2023</v>
      </c>
      <c r="H2899" t="s">
        <v>91</v>
      </c>
      <c r="I2899" t="s">
        <v>23</v>
      </c>
      <c r="J2899">
        <v>899</v>
      </c>
      <c r="K2899">
        <v>295</v>
      </c>
      <c r="L2899">
        <f t="shared" si="706"/>
        <v>604</v>
      </c>
      <c r="M2899">
        <v>240</v>
      </c>
      <c r="N2899">
        <f t="shared" si="707"/>
        <v>364</v>
      </c>
    </row>
    <row r="2900" spans="1:14" x14ac:dyDescent="0.2">
      <c r="A2900" t="s">
        <v>3605</v>
      </c>
      <c r="B2900" s="1" t="s">
        <v>3604</v>
      </c>
      <c r="C2900" t="s">
        <v>14</v>
      </c>
      <c r="D2900" t="s">
        <v>420</v>
      </c>
      <c r="E2900">
        <v>22</v>
      </c>
      <c r="F2900" t="s">
        <v>3249</v>
      </c>
      <c r="G2900">
        <v>2023</v>
      </c>
      <c r="H2900" t="s">
        <v>1417</v>
      </c>
      <c r="I2900" t="s">
        <v>37</v>
      </c>
      <c r="J2900">
        <v>899</v>
      </c>
      <c r="K2900">
        <v>295</v>
      </c>
      <c r="L2900">
        <f t="shared" si="706"/>
        <v>604</v>
      </c>
      <c r="M2900">
        <v>240</v>
      </c>
      <c r="N2900">
        <f t="shared" si="707"/>
        <v>364</v>
      </c>
    </row>
    <row r="2901" spans="1:14" x14ac:dyDescent="0.2">
      <c r="A2901" t="s">
        <v>3646</v>
      </c>
      <c r="B2901" s="1" t="s">
        <v>3602</v>
      </c>
      <c r="C2901" t="s">
        <v>14</v>
      </c>
      <c r="D2901" t="s">
        <v>893</v>
      </c>
      <c r="E2901">
        <v>21</v>
      </c>
      <c r="F2901" t="s">
        <v>3249</v>
      </c>
      <c r="G2901">
        <v>2023</v>
      </c>
      <c r="H2901" t="s">
        <v>272</v>
      </c>
      <c r="I2901" t="s">
        <v>23</v>
      </c>
      <c r="J2901">
        <v>849</v>
      </c>
      <c r="K2901">
        <v>250</v>
      </c>
      <c r="L2901">
        <f t="shared" si="706"/>
        <v>599</v>
      </c>
      <c r="M2901">
        <v>240</v>
      </c>
      <c r="N2901">
        <f t="shared" si="707"/>
        <v>359</v>
      </c>
    </row>
    <row r="2902" spans="1:14" x14ac:dyDescent="0.2">
      <c r="A2902" t="s">
        <v>3647</v>
      </c>
      <c r="B2902" s="1" t="s">
        <v>3604</v>
      </c>
      <c r="C2902" t="s">
        <v>14</v>
      </c>
      <c r="D2902" t="s">
        <v>907</v>
      </c>
      <c r="E2902">
        <v>22</v>
      </c>
      <c r="F2902" t="s">
        <v>3249</v>
      </c>
      <c r="G2902">
        <v>2023</v>
      </c>
      <c r="H2902" t="s">
        <v>309</v>
      </c>
      <c r="I2902" t="s">
        <v>212</v>
      </c>
      <c r="J2902">
        <v>849</v>
      </c>
      <c r="K2902">
        <v>250</v>
      </c>
      <c r="L2902">
        <f t="shared" si="706"/>
        <v>599</v>
      </c>
      <c r="M2902">
        <v>240</v>
      </c>
      <c r="N2902">
        <f t="shared" si="707"/>
        <v>359</v>
      </c>
    </row>
    <row r="2903" spans="1:14" x14ac:dyDescent="0.2">
      <c r="A2903" t="s">
        <v>3648</v>
      </c>
      <c r="B2903" s="1" t="s">
        <v>3604</v>
      </c>
      <c r="C2903" t="s">
        <v>14</v>
      </c>
      <c r="D2903" t="s">
        <v>1002</v>
      </c>
      <c r="E2903">
        <v>22</v>
      </c>
      <c r="F2903" t="s">
        <v>3249</v>
      </c>
      <c r="G2903">
        <v>2023</v>
      </c>
      <c r="H2903" t="s">
        <v>3649</v>
      </c>
      <c r="I2903" t="s">
        <v>253</v>
      </c>
      <c r="J2903">
        <v>849</v>
      </c>
      <c r="K2903">
        <v>250</v>
      </c>
      <c r="L2903">
        <f t="shared" si="706"/>
        <v>599</v>
      </c>
      <c r="M2903">
        <v>240</v>
      </c>
      <c r="N2903">
        <f t="shared" si="707"/>
        <v>359</v>
      </c>
    </row>
    <row r="2904" spans="1:14" x14ac:dyDescent="0.2">
      <c r="A2904" t="s">
        <v>3603</v>
      </c>
      <c r="B2904" s="1" t="s">
        <v>3602</v>
      </c>
      <c r="C2904" t="s">
        <v>14</v>
      </c>
      <c r="D2904" t="s">
        <v>504</v>
      </c>
      <c r="E2904">
        <v>21</v>
      </c>
      <c r="F2904" t="s">
        <v>3249</v>
      </c>
      <c r="G2904">
        <v>2023</v>
      </c>
      <c r="H2904" t="s">
        <v>246</v>
      </c>
      <c r="I2904" t="s">
        <v>58</v>
      </c>
      <c r="J2904">
        <v>899</v>
      </c>
      <c r="K2904">
        <v>295</v>
      </c>
      <c r="L2904">
        <f t="shared" si="706"/>
        <v>604</v>
      </c>
      <c r="M2904">
        <v>240</v>
      </c>
      <c r="N2904">
        <f t="shared" si="707"/>
        <v>364</v>
      </c>
    </row>
    <row r="2905" spans="1:14" x14ac:dyDescent="0.2">
      <c r="A2905" t="s">
        <v>3650</v>
      </c>
      <c r="B2905" s="1" t="s">
        <v>3602</v>
      </c>
      <c r="C2905" t="s">
        <v>14</v>
      </c>
      <c r="D2905" t="s">
        <v>890</v>
      </c>
      <c r="E2905">
        <v>21</v>
      </c>
      <c r="F2905" t="s">
        <v>3249</v>
      </c>
      <c r="G2905">
        <v>2023</v>
      </c>
      <c r="H2905" t="s">
        <v>278</v>
      </c>
      <c r="I2905" t="s">
        <v>19</v>
      </c>
      <c r="J2905">
        <v>849</v>
      </c>
      <c r="K2905">
        <v>250</v>
      </c>
      <c r="L2905">
        <f t="shared" si="706"/>
        <v>599</v>
      </c>
      <c r="M2905">
        <v>240</v>
      </c>
      <c r="N2905">
        <f t="shared" si="707"/>
        <v>359</v>
      </c>
    </row>
    <row r="2906" spans="1:14" x14ac:dyDescent="0.2">
      <c r="A2906" t="s">
        <v>3651</v>
      </c>
      <c r="B2906" s="1" t="s">
        <v>3604</v>
      </c>
      <c r="C2906" t="s">
        <v>14</v>
      </c>
      <c r="D2906" t="s">
        <v>665</v>
      </c>
      <c r="E2906">
        <v>22</v>
      </c>
      <c r="F2906" t="s">
        <v>3249</v>
      </c>
      <c r="G2906">
        <v>2023</v>
      </c>
      <c r="H2906" t="s">
        <v>1225</v>
      </c>
      <c r="I2906" t="s">
        <v>85</v>
      </c>
      <c r="J2906">
        <v>799</v>
      </c>
      <c r="K2906">
        <v>205</v>
      </c>
      <c r="L2906">
        <f t="shared" si="706"/>
        <v>594</v>
      </c>
      <c r="M2906">
        <v>240</v>
      </c>
      <c r="N2906">
        <f t="shared" si="707"/>
        <v>354</v>
      </c>
    </row>
    <row r="2907" spans="1:14" x14ac:dyDescent="0.2">
      <c r="A2907" t="s">
        <v>3652</v>
      </c>
      <c r="B2907" s="1" t="s">
        <v>3576</v>
      </c>
      <c r="C2907" t="s">
        <v>14</v>
      </c>
      <c r="D2907" t="s">
        <v>548</v>
      </c>
      <c r="E2907">
        <v>20</v>
      </c>
      <c r="F2907" t="s">
        <v>3249</v>
      </c>
      <c r="G2907">
        <v>2023</v>
      </c>
      <c r="H2907" t="s">
        <v>3653</v>
      </c>
      <c r="I2907" t="s">
        <v>171</v>
      </c>
      <c r="J2907">
        <v>899</v>
      </c>
      <c r="K2907">
        <v>295</v>
      </c>
      <c r="L2907">
        <f t="shared" si="706"/>
        <v>604</v>
      </c>
      <c r="M2907">
        <v>240</v>
      </c>
      <c r="N2907">
        <f t="shared" si="707"/>
        <v>364</v>
      </c>
    </row>
    <row r="2908" spans="1:14" x14ac:dyDescent="0.2">
      <c r="A2908" t="s">
        <v>3654</v>
      </c>
      <c r="B2908" s="1" t="s">
        <v>3606</v>
      </c>
      <c r="C2908" t="s">
        <v>43</v>
      </c>
      <c r="D2908" t="s">
        <v>81</v>
      </c>
      <c r="E2908">
        <v>23</v>
      </c>
      <c r="F2908" t="s">
        <v>3249</v>
      </c>
      <c r="G2908">
        <v>2023</v>
      </c>
      <c r="H2908" t="s">
        <v>3655</v>
      </c>
      <c r="I2908" t="s">
        <v>135</v>
      </c>
      <c r="J2908">
        <v>0</v>
      </c>
      <c r="K2908">
        <v>0</v>
      </c>
      <c r="L2908">
        <v>0</v>
      </c>
      <c r="M2908">
        <v>0</v>
      </c>
      <c r="N2908">
        <v>0</v>
      </c>
    </row>
    <row r="2909" spans="1:14" x14ac:dyDescent="0.2">
      <c r="A2909" t="s">
        <v>3656</v>
      </c>
      <c r="B2909" s="1" t="s">
        <v>3604</v>
      </c>
      <c r="C2909" t="s">
        <v>43</v>
      </c>
      <c r="D2909" t="s">
        <v>1002</v>
      </c>
      <c r="E2909">
        <v>22</v>
      </c>
      <c r="F2909" t="s">
        <v>3249</v>
      </c>
      <c r="G2909">
        <v>2023</v>
      </c>
      <c r="H2909" t="s">
        <v>1159</v>
      </c>
      <c r="I2909" t="s">
        <v>85</v>
      </c>
      <c r="J2909">
        <v>0</v>
      </c>
      <c r="K2909">
        <v>0</v>
      </c>
      <c r="L2909">
        <v>0</v>
      </c>
      <c r="M2909">
        <v>0</v>
      </c>
      <c r="N2909">
        <v>0</v>
      </c>
    </row>
    <row r="2910" spans="1:14" x14ac:dyDescent="0.2">
      <c r="A2910" t="s">
        <v>3542</v>
      </c>
      <c r="B2910" s="1" t="s">
        <v>3518</v>
      </c>
      <c r="C2910" t="s">
        <v>106</v>
      </c>
      <c r="D2910" t="s">
        <v>940</v>
      </c>
      <c r="E2910">
        <v>18</v>
      </c>
      <c r="F2910" t="s">
        <v>3249</v>
      </c>
      <c r="G2910">
        <v>2023</v>
      </c>
      <c r="H2910" t="s">
        <v>538</v>
      </c>
      <c r="I2910" t="s">
        <v>253</v>
      </c>
      <c r="J2910">
        <v>-799</v>
      </c>
      <c r="K2910">
        <v>320</v>
      </c>
      <c r="L2910">
        <f>J2910+K2910</f>
        <v>-479</v>
      </c>
      <c r="M2910">
        <v>240</v>
      </c>
      <c r="N2910">
        <f>L2910+M2910</f>
        <v>-239</v>
      </c>
    </row>
    <row r="2911" spans="1:14" x14ac:dyDescent="0.2">
      <c r="A2911" t="s">
        <v>3657</v>
      </c>
      <c r="B2911" s="1" t="s">
        <v>3606</v>
      </c>
      <c r="C2911" t="s">
        <v>43</v>
      </c>
      <c r="D2911" t="s">
        <v>901</v>
      </c>
      <c r="E2911">
        <v>23</v>
      </c>
      <c r="F2911" t="s">
        <v>3249</v>
      </c>
      <c r="G2911">
        <v>2023</v>
      </c>
      <c r="H2911" t="s">
        <v>246</v>
      </c>
      <c r="I2911" t="s">
        <v>58</v>
      </c>
      <c r="J2911">
        <v>0</v>
      </c>
      <c r="K2911">
        <v>0</v>
      </c>
      <c r="L2911">
        <v>0</v>
      </c>
      <c r="M2911">
        <v>0</v>
      </c>
      <c r="N2911">
        <v>0</v>
      </c>
    </row>
    <row r="2912" spans="1:14" x14ac:dyDescent="0.2">
      <c r="A2912" t="s">
        <v>3505</v>
      </c>
      <c r="B2912" s="1" t="s">
        <v>3504</v>
      </c>
      <c r="C2912" t="s">
        <v>106</v>
      </c>
      <c r="D2912" t="s">
        <v>490</v>
      </c>
      <c r="E2912">
        <v>16</v>
      </c>
      <c r="F2912" t="s">
        <v>3249</v>
      </c>
      <c r="G2912">
        <v>2023</v>
      </c>
      <c r="H2912" t="s">
        <v>796</v>
      </c>
      <c r="I2912" t="s">
        <v>58</v>
      </c>
      <c r="J2912">
        <v>-899</v>
      </c>
      <c r="K2912">
        <v>375</v>
      </c>
      <c r="L2912">
        <f>J2912+K2912</f>
        <v>-524</v>
      </c>
      <c r="M2912">
        <v>240</v>
      </c>
      <c r="N2912">
        <f>L2912+M2912</f>
        <v>-284</v>
      </c>
    </row>
    <row r="2913" spans="1:14" x14ac:dyDescent="0.2">
      <c r="A2913" t="s">
        <v>3659</v>
      </c>
      <c r="B2913" s="1" t="s">
        <v>3658</v>
      </c>
      <c r="C2913" t="s">
        <v>43</v>
      </c>
      <c r="D2913" t="s">
        <v>993</v>
      </c>
      <c r="E2913">
        <v>24</v>
      </c>
      <c r="F2913" t="s">
        <v>3249</v>
      </c>
      <c r="G2913">
        <v>2023</v>
      </c>
      <c r="H2913" t="s">
        <v>1983</v>
      </c>
      <c r="I2913" t="s">
        <v>122</v>
      </c>
      <c r="J2913">
        <v>0</v>
      </c>
      <c r="K2913">
        <v>0</v>
      </c>
      <c r="L2913">
        <v>0</v>
      </c>
      <c r="M2913">
        <v>0</v>
      </c>
      <c r="N2913">
        <v>0</v>
      </c>
    </row>
    <row r="2914" spans="1:14" x14ac:dyDescent="0.2">
      <c r="A2914" t="s">
        <v>3521</v>
      </c>
      <c r="B2914" s="1" t="s">
        <v>3469</v>
      </c>
      <c r="C2914" t="s">
        <v>106</v>
      </c>
      <c r="D2914" t="s">
        <v>3522</v>
      </c>
      <c r="E2914">
        <v>15</v>
      </c>
      <c r="F2914" t="s">
        <v>3249</v>
      </c>
      <c r="G2914">
        <v>2023</v>
      </c>
      <c r="H2914" t="s">
        <v>3523</v>
      </c>
      <c r="I2914" t="s">
        <v>122</v>
      </c>
      <c r="J2914">
        <v>-999</v>
      </c>
      <c r="K2914">
        <v>395</v>
      </c>
      <c r="L2914">
        <f>J2914+K2914</f>
        <v>-604</v>
      </c>
      <c r="M2914">
        <v>240</v>
      </c>
      <c r="N2914">
        <f>L2914+M2914</f>
        <v>-364</v>
      </c>
    </row>
    <row r="2915" spans="1:14" x14ac:dyDescent="0.2">
      <c r="A2915" t="s">
        <v>3660</v>
      </c>
      <c r="B2915" s="1" t="s">
        <v>3606</v>
      </c>
      <c r="C2915" t="s">
        <v>14</v>
      </c>
      <c r="D2915" t="s">
        <v>819</v>
      </c>
      <c r="E2915">
        <v>23</v>
      </c>
      <c r="F2915" t="s">
        <v>3249</v>
      </c>
      <c r="G2915">
        <v>2023</v>
      </c>
      <c r="H2915" t="s">
        <v>965</v>
      </c>
      <c r="I2915" t="s">
        <v>122</v>
      </c>
      <c r="J2915">
        <v>999</v>
      </c>
      <c r="K2915">
        <v>325</v>
      </c>
      <c r="L2915">
        <f t="shared" ref="L2915:L2926" si="708">J2915-K2915</f>
        <v>674</v>
      </c>
      <c r="M2915">
        <v>240</v>
      </c>
      <c r="N2915">
        <f t="shared" ref="N2915:N2926" si="709">L2915-M2915</f>
        <v>434</v>
      </c>
    </row>
    <row r="2916" spans="1:14" x14ac:dyDescent="0.2">
      <c r="A2916" t="s">
        <v>3661</v>
      </c>
      <c r="B2916" s="1" t="s">
        <v>3606</v>
      </c>
      <c r="C2916" t="s">
        <v>14</v>
      </c>
      <c r="D2916" t="s">
        <v>504</v>
      </c>
      <c r="E2916">
        <v>23</v>
      </c>
      <c r="F2916" t="s">
        <v>3249</v>
      </c>
      <c r="G2916">
        <v>2023</v>
      </c>
      <c r="H2916" t="s">
        <v>3662</v>
      </c>
      <c r="I2916" t="s">
        <v>212</v>
      </c>
      <c r="J2916">
        <v>899</v>
      </c>
      <c r="K2916">
        <v>295</v>
      </c>
      <c r="L2916">
        <f t="shared" si="708"/>
        <v>604</v>
      </c>
      <c r="M2916">
        <v>240</v>
      </c>
      <c r="N2916">
        <f t="shared" si="709"/>
        <v>364</v>
      </c>
    </row>
    <row r="2917" spans="1:14" x14ac:dyDescent="0.2">
      <c r="A2917" t="s">
        <v>3663</v>
      </c>
      <c r="B2917" s="1" t="s">
        <v>3606</v>
      </c>
      <c r="C2917" t="s">
        <v>14</v>
      </c>
      <c r="D2917" t="s">
        <v>81</v>
      </c>
      <c r="E2917">
        <v>23</v>
      </c>
      <c r="F2917" t="s">
        <v>3249</v>
      </c>
      <c r="G2917">
        <v>2023</v>
      </c>
      <c r="H2917" t="s">
        <v>3655</v>
      </c>
      <c r="I2917" t="s">
        <v>135</v>
      </c>
      <c r="J2917">
        <v>849</v>
      </c>
      <c r="K2917">
        <v>250</v>
      </c>
      <c r="L2917">
        <f t="shared" si="708"/>
        <v>599</v>
      </c>
      <c r="M2917">
        <v>240</v>
      </c>
      <c r="N2917">
        <f t="shared" si="709"/>
        <v>359</v>
      </c>
    </row>
    <row r="2918" spans="1:14" x14ac:dyDescent="0.2">
      <c r="A2918" t="s">
        <v>3664</v>
      </c>
      <c r="B2918" s="1" t="s">
        <v>3606</v>
      </c>
      <c r="C2918" t="s">
        <v>14</v>
      </c>
      <c r="D2918" t="s">
        <v>1171</v>
      </c>
      <c r="E2918">
        <v>23</v>
      </c>
      <c r="F2918" t="s">
        <v>3249</v>
      </c>
      <c r="G2918">
        <v>2023</v>
      </c>
      <c r="H2918" t="s">
        <v>162</v>
      </c>
      <c r="I2918" t="s">
        <v>163</v>
      </c>
      <c r="J2918">
        <v>799</v>
      </c>
      <c r="K2918">
        <v>205</v>
      </c>
      <c r="L2918">
        <f t="shared" si="708"/>
        <v>594</v>
      </c>
      <c r="M2918">
        <v>240</v>
      </c>
      <c r="N2918">
        <f t="shared" si="709"/>
        <v>354</v>
      </c>
    </row>
    <row r="2919" spans="1:14" x14ac:dyDescent="0.2">
      <c r="A2919" t="s">
        <v>3665</v>
      </c>
      <c r="B2919" s="1" t="s">
        <v>3606</v>
      </c>
      <c r="C2919" t="s">
        <v>14</v>
      </c>
      <c r="D2919" t="s">
        <v>169</v>
      </c>
      <c r="E2919">
        <v>23</v>
      </c>
      <c r="F2919" t="s">
        <v>3249</v>
      </c>
      <c r="G2919">
        <v>2023</v>
      </c>
      <c r="H2919" t="s">
        <v>3666</v>
      </c>
      <c r="I2919" t="s">
        <v>23</v>
      </c>
      <c r="J2919">
        <v>799</v>
      </c>
      <c r="K2919">
        <v>205</v>
      </c>
      <c r="L2919">
        <f t="shared" si="708"/>
        <v>594</v>
      </c>
      <c r="M2919">
        <v>240</v>
      </c>
      <c r="N2919">
        <f t="shared" si="709"/>
        <v>354</v>
      </c>
    </row>
    <row r="2920" spans="1:14" x14ac:dyDescent="0.2">
      <c r="A2920" t="s">
        <v>3667</v>
      </c>
      <c r="B2920" s="1" t="s">
        <v>3606</v>
      </c>
      <c r="C2920" t="s">
        <v>14</v>
      </c>
      <c r="D2920" t="s">
        <v>1556</v>
      </c>
      <c r="E2920">
        <v>23</v>
      </c>
      <c r="F2920" t="s">
        <v>3249</v>
      </c>
      <c r="G2920">
        <v>2023</v>
      </c>
      <c r="H2920" t="s">
        <v>3668</v>
      </c>
      <c r="I2920" t="s">
        <v>58</v>
      </c>
      <c r="J2920">
        <v>899</v>
      </c>
      <c r="K2920">
        <v>295</v>
      </c>
      <c r="L2920">
        <f t="shared" si="708"/>
        <v>604</v>
      </c>
      <c r="M2920">
        <v>240</v>
      </c>
      <c r="N2920">
        <f t="shared" si="709"/>
        <v>364</v>
      </c>
    </row>
    <row r="2921" spans="1:14" x14ac:dyDescent="0.2">
      <c r="A2921" t="s">
        <v>3669</v>
      </c>
      <c r="B2921" s="1" t="s">
        <v>3606</v>
      </c>
      <c r="C2921" t="s">
        <v>14</v>
      </c>
      <c r="D2921" t="s">
        <v>3670</v>
      </c>
      <c r="E2921">
        <v>23</v>
      </c>
      <c r="F2921" t="s">
        <v>3249</v>
      </c>
      <c r="G2921">
        <v>2023</v>
      </c>
      <c r="H2921" t="s">
        <v>2491</v>
      </c>
      <c r="I2921" t="s">
        <v>97</v>
      </c>
      <c r="J2921">
        <v>999</v>
      </c>
      <c r="K2921">
        <v>325</v>
      </c>
      <c r="L2921">
        <f t="shared" si="708"/>
        <v>674</v>
      </c>
      <c r="M2921">
        <v>240</v>
      </c>
      <c r="N2921">
        <f t="shared" si="709"/>
        <v>434</v>
      </c>
    </row>
    <row r="2922" spans="1:14" x14ac:dyDescent="0.2">
      <c r="A2922" t="s">
        <v>3671</v>
      </c>
      <c r="B2922" s="1" t="s">
        <v>3606</v>
      </c>
      <c r="C2922" t="s">
        <v>14</v>
      </c>
      <c r="D2922" t="s">
        <v>3672</v>
      </c>
      <c r="E2922">
        <v>23</v>
      </c>
      <c r="F2922" t="s">
        <v>3249</v>
      </c>
      <c r="G2922">
        <v>2023</v>
      </c>
      <c r="H2922" t="s">
        <v>2491</v>
      </c>
      <c r="I2922" t="s">
        <v>97</v>
      </c>
      <c r="J2922">
        <v>999</v>
      </c>
      <c r="K2922">
        <v>325</v>
      </c>
      <c r="L2922">
        <f t="shared" si="708"/>
        <v>674</v>
      </c>
      <c r="M2922">
        <v>240</v>
      </c>
      <c r="N2922">
        <f t="shared" si="709"/>
        <v>434</v>
      </c>
    </row>
    <row r="2923" spans="1:14" x14ac:dyDescent="0.2">
      <c r="A2923" t="s">
        <v>3607</v>
      </c>
      <c r="B2923" s="1" t="s">
        <v>3606</v>
      </c>
      <c r="C2923" t="s">
        <v>14</v>
      </c>
      <c r="D2923" t="s">
        <v>284</v>
      </c>
      <c r="E2923">
        <v>23</v>
      </c>
      <c r="F2923" t="s">
        <v>3249</v>
      </c>
      <c r="G2923">
        <v>2023</v>
      </c>
      <c r="H2923" t="s">
        <v>3608</v>
      </c>
      <c r="I2923" t="s">
        <v>28</v>
      </c>
      <c r="J2923">
        <v>899</v>
      </c>
      <c r="K2923">
        <v>295</v>
      </c>
      <c r="L2923">
        <f t="shared" si="708"/>
        <v>604</v>
      </c>
      <c r="M2923">
        <v>240</v>
      </c>
      <c r="N2923">
        <f t="shared" si="709"/>
        <v>364</v>
      </c>
    </row>
    <row r="2924" spans="1:14" x14ac:dyDescent="0.2">
      <c r="A2924" t="s">
        <v>3673</v>
      </c>
      <c r="B2924" s="1" t="s">
        <v>3604</v>
      </c>
      <c r="C2924" t="s">
        <v>14</v>
      </c>
      <c r="D2924" t="s">
        <v>573</v>
      </c>
      <c r="E2924">
        <v>22</v>
      </c>
      <c r="F2924" t="s">
        <v>3249</v>
      </c>
      <c r="G2924">
        <v>2023</v>
      </c>
      <c r="H2924" t="s">
        <v>104</v>
      </c>
      <c r="I2924" t="s">
        <v>62</v>
      </c>
      <c r="J2924">
        <v>899</v>
      </c>
      <c r="K2924">
        <v>295</v>
      </c>
      <c r="L2924">
        <f t="shared" si="708"/>
        <v>604</v>
      </c>
      <c r="M2924">
        <v>240</v>
      </c>
      <c r="N2924">
        <f t="shared" si="709"/>
        <v>364</v>
      </c>
    </row>
    <row r="2925" spans="1:14" x14ac:dyDescent="0.2">
      <c r="A2925" t="s">
        <v>3674</v>
      </c>
      <c r="B2925" s="1" t="s">
        <v>3606</v>
      </c>
      <c r="C2925" t="s">
        <v>14</v>
      </c>
      <c r="D2925" t="s">
        <v>1228</v>
      </c>
      <c r="E2925">
        <v>23</v>
      </c>
      <c r="F2925" t="s">
        <v>3249</v>
      </c>
      <c r="G2925">
        <v>2023</v>
      </c>
      <c r="H2925" t="s">
        <v>140</v>
      </c>
      <c r="I2925" t="s">
        <v>97</v>
      </c>
      <c r="J2925">
        <v>799</v>
      </c>
      <c r="K2925">
        <v>205</v>
      </c>
      <c r="L2925">
        <f t="shared" si="708"/>
        <v>594</v>
      </c>
      <c r="M2925">
        <v>240</v>
      </c>
      <c r="N2925">
        <f t="shared" si="709"/>
        <v>354</v>
      </c>
    </row>
    <row r="2926" spans="1:14" x14ac:dyDescent="0.2">
      <c r="A2926" t="s">
        <v>3657</v>
      </c>
      <c r="B2926" s="1" t="s">
        <v>3606</v>
      </c>
      <c r="C2926" t="s">
        <v>14</v>
      </c>
      <c r="D2926" t="s">
        <v>901</v>
      </c>
      <c r="E2926">
        <v>23</v>
      </c>
      <c r="F2926" t="s">
        <v>3249</v>
      </c>
      <c r="G2926">
        <v>2023</v>
      </c>
      <c r="H2926" t="s">
        <v>246</v>
      </c>
      <c r="I2926" t="s">
        <v>58</v>
      </c>
      <c r="J2926">
        <v>799</v>
      </c>
      <c r="K2926">
        <v>205</v>
      </c>
      <c r="L2926">
        <f t="shared" si="708"/>
        <v>594</v>
      </c>
      <c r="M2926">
        <v>240</v>
      </c>
      <c r="N2926">
        <f t="shared" si="709"/>
        <v>354</v>
      </c>
    </row>
    <row r="2927" spans="1:14" x14ac:dyDescent="0.2">
      <c r="A2927" t="s">
        <v>3490</v>
      </c>
      <c r="B2927" s="1" t="s">
        <v>3473</v>
      </c>
      <c r="C2927" t="s">
        <v>106</v>
      </c>
      <c r="D2927" t="s">
        <v>1215</v>
      </c>
      <c r="E2927">
        <v>14</v>
      </c>
      <c r="F2927" t="s">
        <v>3249</v>
      </c>
      <c r="G2927">
        <v>2023</v>
      </c>
      <c r="H2927" t="s">
        <v>246</v>
      </c>
      <c r="I2927" t="s">
        <v>58</v>
      </c>
      <c r="J2927">
        <v>-799</v>
      </c>
      <c r="K2927">
        <v>320</v>
      </c>
      <c r="L2927">
        <f t="shared" ref="L2927:L2930" si="710">J2927+K2927</f>
        <v>-479</v>
      </c>
      <c r="M2927">
        <v>240</v>
      </c>
      <c r="N2927">
        <f t="shared" ref="N2927:N2930" si="711">L2927+M2927</f>
        <v>-239</v>
      </c>
    </row>
    <row r="2928" spans="1:14" x14ac:dyDescent="0.2">
      <c r="A2928" t="s">
        <v>3512</v>
      </c>
      <c r="B2928" s="1" t="s">
        <v>3469</v>
      </c>
      <c r="C2928" t="s">
        <v>106</v>
      </c>
      <c r="D2928" t="s">
        <v>895</v>
      </c>
      <c r="E2928">
        <v>15</v>
      </c>
      <c r="F2928" t="s">
        <v>3249</v>
      </c>
      <c r="G2928">
        <v>2023</v>
      </c>
      <c r="H2928" t="s">
        <v>3513</v>
      </c>
      <c r="I2928" t="s">
        <v>97</v>
      </c>
      <c r="J2928">
        <v>-849</v>
      </c>
      <c r="K2928">
        <v>345</v>
      </c>
      <c r="L2928">
        <f t="shared" si="710"/>
        <v>-504</v>
      </c>
      <c r="M2928">
        <v>240</v>
      </c>
      <c r="N2928">
        <f t="shared" si="711"/>
        <v>-264</v>
      </c>
    </row>
    <row r="2929" spans="1:14" x14ac:dyDescent="0.2">
      <c r="A2929" t="s">
        <v>3511</v>
      </c>
      <c r="B2929" s="1" t="s">
        <v>3504</v>
      </c>
      <c r="C2929" t="s">
        <v>106</v>
      </c>
      <c r="D2929" t="s">
        <v>45</v>
      </c>
      <c r="E2929">
        <v>16</v>
      </c>
      <c r="F2929" t="s">
        <v>3249</v>
      </c>
      <c r="G2929">
        <v>2023</v>
      </c>
      <c r="H2929" t="s">
        <v>2564</v>
      </c>
      <c r="I2929" t="s">
        <v>62</v>
      </c>
      <c r="J2929">
        <v>-899</v>
      </c>
      <c r="K2929">
        <v>375</v>
      </c>
      <c r="L2929">
        <f t="shared" si="710"/>
        <v>-524</v>
      </c>
      <c r="M2929">
        <v>240</v>
      </c>
      <c r="N2929">
        <f t="shared" si="711"/>
        <v>-284</v>
      </c>
    </row>
    <row r="2930" spans="1:14" x14ac:dyDescent="0.2">
      <c r="A2930" t="s">
        <v>3547</v>
      </c>
      <c r="B2930" s="1" t="s">
        <v>3518</v>
      </c>
      <c r="C2930" t="s">
        <v>106</v>
      </c>
      <c r="D2930" t="s">
        <v>504</v>
      </c>
      <c r="E2930">
        <v>18</v>
      </c>
      <c r="F2930" t="s">
        <v>3249</v>
      </c>
      <c r="G2930">
        <v>2023</v>
      </c>
      <c r="H2930" t="s">
        <v>3548</v>
      </c>
      <c r="I2930" t="s">
        <v>19</v>
      </c>
      <c r="J2930">
        <v>-899</v>
      </c>
      <c r="K2930">
        <v>375</v>
      </c>
      <c r="L2930">
        <f t="shared" si="710"/>
        <v>-524</v>
      </c>
      <c r="M2930">
        <v>240</v>
      </c>
      <c r="N2930">
        <f t="shared" si="711"/>
        <v>-284</v>
      </c>
    </row>
    <row r="2931" spans="1:14" x14ac:dyDescent="0.2">
      <c r="A2931" t="s">
        <v>3675</v>
      </c>
      <c r="B2931" s="1" t="s">
        <v>3658</v>
      </c>
      <c r="C2931" t="s">
        <v>14</v>
      </c>
      <c r="D2931" t="s">
        <v>819</v>
      </c>
      <c r="E2931">
        <v>24</v>
      </c>
      <c r="F2931" t="s">
        <v>3249</v>
      </c>
      <c r="G2931">
        <v>2023</v>
      </c>
      <c r="H2931" t="s">
        <v>1521</v>
      </c>
      <c r="I2931" t="s">
        <v>122</v>
      </c>
      <c r="J2931">
        <v>999</v>
      </c>
      <c r="K2931">
        <v>325</v>
      </c>
      <c r="L2931">
        <f t="shared" ref="L2931:L2941" si="712">J2931-K2931</f>
        <v>674</v>
      </c>
      <c r="M2931">
        <v>240</v>
      </c>
      <c r="N2931">
        <f t="shared" ref="N2931:N2941" si="713">L2931-M2931</f>
        <v>434</v>
      </c>
    </row>
    <row r="2932" spans="1:14" x14ac:dyDescent="0.2">
      <c r="A2932" t="s">
        <v>3676</v>
      </c>
      <c r="B2932" s="1" t="s">
        <v>3658</v>
      </c>
      <c r="C2932" t="s">
        <v>14</v>
      </c>
      <c r="D2932" t="s">
        <v>881</v>
      </c>
      <c r="E2932">
        <v>24</v>
      </c>
      <c r="F2932" t="s">
        <v>3249</v>
      </c>
      <c r="G2932">
        <v>2023</v>
      </c>
      <c r="H2932" t="s">
        <v>882</v>
      </c>
      <c r="I2932" t="s">
        <v>883</v>
      </c>
      <c r="J2932">
        <v>799</v>
      </c>
      <c r="K2932">
        <v>205</v>
      </c>
      <c r="L2932">
        <f t="shared" si="712"/>
        <v>594</v>
      </c>
      <c r="M2932">
        <v>240</v>
      </c>
      <c r="N2932">
        <f t="shared" si="713"/>
        <v>354</v>
      </c>
    </row>
    <row r="2933" spans="1:14" x14ac:dyDescent="0.2">
      <c r="A2933" t="s">
        <v>3677</v>
      </c>
      <c r="B2933" s="1" t="s">
        <v>3658</v>
      </c>
      <c r="C2933" t="s">
        <v>14</v>
      </c>
      <c r="D2933" t="s">
        <v>169</v>
      </c>
      <c r="E2933">
        <v>24</v>
      </c>
      <c r="F2933" t="s">
        <v>3249</v>
      </c>
      <c r="G2933">
        <v>2023</v>
      </c>
      <c r="H2933" t="s">
        <v>272</v>
      </c>
      <c r="I2933" t="s">
        <v>23</v>
      </c>
      <c r="J2933">
        <v>799</v>
      </c>
      <c r="K2933">
        <v>205</v>
      </c>
      <c r="L2933">
        <f t="shared" si="712"/>
        <v>594</v>
      </c>
      <c r="M2933">
        <v>240</v>
      </c>
      <c r="N2933">
        <f t="shared" si="713"/>
        <v>354</v>
      </c>
    </row>
    <row r="2934" spans="1:14" x14ac:dyDescent="0.2">
      <c r="A2934" t="s">
        <v>3659</v>
      </c>
      <c r="B2934" s="1" t="s">
        <v>3658</v>
      </c>
      <c r="C2934" t="s">
        <v>14</v>
      </c>
      <c r="D2934" t="s">
        <v>993</v>
      </c>
      <c r="E2934">
        <v>24</v>
      </c>
      <c r="F2934" t="s">
        <v>3249</v>
      </c>
      <c r="G2934">
        <v>2023</v>
      </c>
      <c r="H2934" t="s">
        <v>1983</v>
      </c>
      <c r="I2934" t="s">
        <v>122</v>
      </c>
      <c r="J2934">
        <v>799</v>
      </c>
      <c r="K2934">
        <v>205</v>
      </c>
      <c r="L2934">
        <f t="shared" si="712"/>
        <v>594</v>
      </c>
      <c r="M2934">
        <v>240</v>
      </c>
      <c r="N2934">
        <f t="shared" si="713"/>
        <v>354</v>
      </c>
    </row>
    <row r="2935" spans="1:14" x14ac:dyDescent="0.2">
      <c r="A2935" t="s">
        <v>3678</v>
      </c>
      <c r="B2935" s="1" t="s">
        <v>3606</v>
      </c>
      <c r="C2935" t="s">
        <v>14</v>
      </c>
      <c r="D2935" t="s">
        <v>379</v>
      </c>
      <c r="E2935">
        <v>23</v>
      </c>
      <c r="F2935" t="s">
        <v>3249</v>
      </c>
      <c r="G2935">
        <v>2023</v>
      </c>
      <c r="H2935" t="s">
        <v>170</v>
      </c>
      <c r="I2935" t="s">
        <v>171</v>
      </c>
      <c r="J2935">
        <v>799</v>
      </c>
      <c r="K2935">
        <v>205</v>
      </c>
      <c r="L2935">
        <f t="shared" si="712"/>
        <v>594</v>
      </c>
      <c r="M2935">
        <v>240</v>
      </c>
      <c r="N2935">
        <f t="shared" si="713"/>
        <v>354</v>
      </c>
    </row>
    <row r="2936" spans="1:14" x14ac:dyDescent="0.2">
      <c r="A2936" t="s">
        <v>3679</v>
      </c>
      <c r="B2936" s="1" t="s">
        <v>3658</v>
      </c>
      <c r="C2936" t="s">
        <v>14</v>
      </c>
      <c r="D2936" t="s">
        <v>308</v>
      </c>
      <c r="E2936">
        <v>24</v>
      </c>
      <c r="F2936" t="s">
        <v>3249</v>
      </c>
      <c r="G2936">
        <v>2023</v>
      </c>
      <c r="H2936" t="s">
        <v>3680</v>
      </c>
      <c r="I2936" t="s">
        <v>62</v>
      </c>
      <c r="J2936">
        <v>899</v>
      </c>
      <c r="K2936">
        <v>295</v>
      </c>
      <c r="L2936">
        <f t="shared" si="712"/>
        <v>604</v>
      </c>
      <c r="M2936">
        <v>240</v>
      </c>
      <c r="N2936">
        <f t="shared" si="713"/>
        <v>364</v>
      </c>
    </row>
    <row r="2937" spans="1:14" x14ac:dyDescent="0.2">
      <c r="A2937" t="s">
        <v>3681</v>
      </c>
      <c r="B2937" s="1" t="s">
        <v>3606</v>
      </c>
      <c r="C2937" t="s">
        <v>14</v>
      </c>
      <c r="D2937" t="s">
        <v>1303</v>
      </c>
      <c r="E2937">
        <v>23</v>
      </c>
      <c r="F2937" t="s">
        <v>3249</v>
      </c>
      <c r="G2937">
        <v>2023</v>
      </c>
      <c r="H2937" t="s">
        <v>272</v>
      </c>
      <c r="I2937" t="s">
        <v>23</v>
      </c>
      <c r="J2937">
        <v>849</v>
      </c>
      <c r="K2937">
        <v>250</v>
      </c>
      <c r="L2937">
        <f t="shared" si="712"/>
        <v>599</v>
      </c>
      <c r="M2937">
        <v>240</v>
      </c>
      <c r="N2937">
        <f t="shared" si="713"/>
        <v>359</v>
      </c>
    </row>
    <row r="2938" spans="1:14" x14ac:dyDescent="0.2">
      <c r="A2938" t="s">
        <v>3682</v>
      </c>
      <c r="B2938" s="1" t="s">
        <v>3658</v>
      </c>
      <c r="C2938" t="s">
        <v>14</v>
      </c>
      <c r="D2938" t="s">
        <v>81</v>
      </c>
      <c r="E2938">
        <v>24</v>
      </c>
      <c r="F2938" t="s">
        <v>3249</v>
      </c>
      <c r="G2938">
        <v>2023</v>
      </c>
      <c r="H2938" t="s">
        <v>18</v>
      </c>
      <c r="I2938" t="s">
        <v>19</v>
      </c>
      <c r="J2938">
        <v>849</v>
      </c>
      <c r="K2938">
        <v>250</v>
      </c>
      <c r="L2938">
        <f t="shared" si="712"/>
        <v>599</v>
      </c>
      <c r="M2938">
        <v>240</v>
      </c>
      <c r="N2938">
        <f t="shared" si="713"/>
        <v>359</v>
      </c>
    </row>
    <row r="2939" spans="1:14" x14ac:dyDescent="0.2">
      <c r="A2939" t="s">
        <v>3683</v>
      </c>
      <c r="B2939" s="1" t="s">
        <v>3658</v>
      </c>
      <c r="C2939" t="s">
        <v>14</v>
      </c>
      <c r="D2939" t="s">
        <v>1218</v>
      </c>
      <c r="E2939">
        <v>24</v>
      </c>
      <c r="F2939" t="s">
        <v>3249</v>
      </c>
      <c r="G2939">
        <v>2023</v>
      </c>
      <c r="H2939" t="s">
        <v>567</v>
      </c>
      <c r="I2939" t="s">
        <v>23</v>
      </c>
      <c r="J2939">
        <v>799</v>
      </c>
      <c r="K2939">
        <v>205</v>
      </c>
      <c r="L2939">
        <f t="shared" si="712"/>
        <v>594</v>
      </c>
      <c r="M2939">
        <v>240</v>
      </c>
      <c r="N2939">
        <f t="shared" si="713"/>
        <v>354</v>
      </c>
    </row>
    <row r="2940" spans="1:14" x14ac:dyDescent="0.2">
      <c r="A2940" t="s">
        <v>3684</v>
      </c>
      <c r="B2940" s="1" t="s">
        <v>3658</v>
      </c>
      <c r="C2940" t="s">
        <v>14</v>
      </c>
      <c r="D2940" t="s">
        <v>1089</v>
      </c>
      <c r="E2940">
        <v>24</v>
      </c>
      <c r="F2940" t="s">
        <v>3249</v>
      </c>
      <c r="G2940">
        <v>2023</v>
      </c>
      <c r="H2940" t="s">
        <v>3685</v>
      </c>
      <c r="I2940" t="s">
        <v>135</v>
      </c>
      <c r="J2940">
        <v>799</v>
      </c>
      <c r="K2940">
        <v>205</v>
      </c>
      <c r="L2940">
        <f t="shared" si="712"/>
        <v>594</v>
      </c>
      <c r="M2940">
        <v>240</v>
      </c>
      <c r="N2940">
        <f t="shared" si="713"/>
        <v>354</v>
      </c>
    </row>
    <row r="2941" spans="1:14" x14ac:dyDescent="0.2">
      <c r="A2941" t="s">
        <v>3686</v>
      </c>
      <c r="B2941" s="1" t="s">
        <v>3658</v>
      </c>
      <c r="C2941" t="s">
        <v>14</v>
      </c>
      <c r="D2941" t="s">
        <v>993</v>
      </c>
      <c r="E2941">
        <v>24</v>
      </c>
      <c r="F2941" t="s">
        <v>3249</v>
      </c>
      <c r="G2941">
        <v>2023</v>
      </c>
      <c r="H2941" t="s">
        <v>3687</v>
      </c>
      <c r="I2941" t="s">
        <v>250</v>
      </c>
      <c r="J2941">
        <v>799</v>
      </c>
      <c r="K2941">
        <v>205</v>
      </c>
      <c r="L2941">
        <f t="shared" si="712"/>
        <v>594</v>
      </c>
      <c r="M2941">
        <v>240</v>
      </c>
      <c r="N2941">
        <f t="shared" si="713"/>
        <v>354</v>
      </c>
    </row>
    <row r="2942" spans="1:14" x14ac:dyDescent="0.2">
      <c r="A2942" t="s">
        <v>3536</v>
      </c>
      <c r="B2942" s="1" t="s">
        <v>3501</v>
      </c>
      <c r="C2942" t="s">
        <v>106</v>
      </c>
      <c r="D2942" t="s">
        <v>1141</v>
      </c>
      <c r="E2942">
        <v>17</v>
      </c>
      <c r="F2942" t="s">
        <v>3249</v>
      </c>
      <c r="G2942">
        <v>2023</v>
      </c>
      <c r="H2942" t="s">
        <v>18</v>
      </c>
      <c r="I2942" t="s">
        <v>19</v>
      </c>
      <c r="J2942">
        <v>-799</v>
      </c>
      <c r="K2942">
        <v>320</v>
      </c>
      <c r="L2942">
        <f>J2942+K2942</f>
        <v>-479</v>
      </c>
      <c r="M2942">
        <v>240</v>
      </c>
      <c r="N2942">
        <f>L2942+M2942</f>
        <v>-239</v>
      </c>
    </row>
    <row r="2943" spans="1:14" x14ac:dyDescent="0.2">
      <c r="A2943" t="s">
        <v>3688</v>
      </c>
      <c r="B2943" s="1" t="s">
        <v>3658</v>
      </c>
      <c r="C2943" t="s">
        <v>14</v>
      </c>
      <c r="D2943" t="s">
        <v>1012</v>
      </c>
      <c r="E2943">
        <v>24</v>
      </c>
      <c r="F2943" t="s">
        <v>3249</v>
      </c>
      <c r="G2943">
        <v>2023</v>
      </c>
      <c r="H2943" t="s">
        <v>104</v>
      </c>
      <c r="I2943" t="s">
        <v>62</v>
      </c>
      <c r="J2943">
        <v>799</v>
      </c>
      <c r="K2943">
        <v>205</v>
      </c>
      <c r="L2943">
        <f t="shared" ref="L2943:L2945" si="714">J2943-K2943</f>
        <v>594</v>
      </c>
      <c r="M2943">
        <v>240</v>
      </c>
      <c r="N2943">
        <f t="shared" ref="N2943:N2945" si="715">L2943-M2943</f>
        <v>354</v>
      </c>
    </row>
    <row r="2944" spans="1:14" x14ac:dyDescent="0.2">
      <c r="A2944" t="s">
        <v>3689</v>
      </c>
      <c r="B2944" s="1" t="s">
        <v>3658</v>
      </c>
      <c r="C2944" t="s">
        <v>14</v>
      </c>
      <c r="D2944" t="s">
        <v>1228</v>
      </c>
      <c r="E2944">
        <v>24</v>
      </c>
      <c r="F2944" t="s">
        <v>3249</v>
      </c>
      <c r="G2944">
        <v>2023</v>
      </c>
      <c r="H2944" t="s">
        <v>549</v>
      </c>
      <c r="I2944" t="s">
        <v>163</v>
      </c>
      <c r="J2944">
        <v>799</v>
      </c>
      <c r="K2944">
        <v>205</v>
      </c>
      <c r="L2944">
        <f t="shared" si="714"/>
        <v>594</v>
      </c>
      <c r="M2944">
        <v>240</v>
      </c>
      <c r="N2944">
        <f t="shared" si="715"/>
        <v>354</v>
      </c>
    </row>
    <row r="2945" spans="1:14" x14ac:dyDescent="0.2">
      <c r="A2945" t="s">
        <v>3690</v>
      </c>
      <c r="B2945" s="1" t="s">
        <v>3658</v>
      </c>
      <c r="C2945" t="s">
        <v>14</v>
      </c>
      <c r="D2945" t="s">
        <v>490</v>
      </c>
      <c r="E2945">
        <v>24</v>
      </c>
      <c r="F2945" t="s">
        <v>3249</v>
      </c>
      <c r="G2945">
        <v>2023</v>
      </c>
      <c r="H2945" t="s">
        <v>3691</v>
      </c>
      <c r="I2945" t="s">
        <v>253</v>
      </c>
      <c r="J2945">
        <v>899</v>
      </c>
      <c r="K2945">
        <v>295</v>
      </c>
      <c r="L2945">
        <f t="shared" si="714"/>
        <v>604</v>
      </c>
      <c r="M2945">
        <v>240</v>
      </c>
      <c r="N2945">
        <f t="shared" si="715"/>
        <v>364</v>
      </c>
    </row>
    <row r="2946" spans="1:14" x14ac:dyDescent="0.2">
      <c r="A2946" t="s">
        <v>3591</v>
      </c>
      <c r="B2946" s="1" t="s">
        <v>3576</v>
      </c>
      <c r="C2946" t="s">
        <v>106</v>
      </c>
      <c r="D2946" t="s">
        <v>940</v>
      </c>
      <c r="E2946">
        <v>20</v>
      </c>
      <c r="F2946" t="s">
        <v>3249</v>
      </c>
      <c r="G2946">
        <v>2023</v>
      </c>
      <c r="H2946" t="s">
        <v>49</v>
      </c>
      <c r="I2946" t="s">
        <v>32</v>
      </c>
      <c r="J2946">
        <v>-799</v>
      </c>
      <c r="K2946">
        <v>320</v>
      </c>
      <c r="L2946">
        <f>J2946+K2946</f>
        <v>-479</v>
      </c>
      <c r="M2946">
        <v>240</v>
      </c>
      <c r="N2946">
        <f>L2946+M2946</f>
        <v>-239</v>
      </c>
    </row>
    <row r="2947" spans="1:14" x14ac:dyDescent="0.2">
      <c r="A2947" t="s">
        <v>3693</v>
      </c>
      <c r="B2947" s="1" t="s">
        <v>3692</v>
      </c>
      <c r="C2947" t="s">
        <v>43</v>
      </c>
      <c r="D2947" t="s">
        <v>81</v>
      </c>
      <c r="E2947">
        <v>25</v>
      </c>
      <c r="F2947" t="s">
        <v>3249</v>
      </c>
      <c r="G2947">
        <v>2023</v>
      </c>
      <c r="H2947" t="s">
        <v>22</v>
      </c>
      <c r="I2947" t="s">
        <v>23</v>
      </c>
      <c r="J2947">
        <v>0</v>
      </c>
      <c r="K2947">
        <v>0</v>
      </c>
      <c r="L2947">
        <v>0</v>
      </c>
      <c r="M2947">
        <v>0</v>
      </c>
      <c r="N2947">
        <v>0</v>
      </c>
    </row>
    <row r="2948" spans="1:14" x14ac:dyDescent="0.2">
      <c r="A2948" t="s">
        <v>3601</v>
      </c>
      <c r="B2948" s="1" t="s">
        <v>3576</v>
      </c>
      <c r="C2948" t="s">
        <v>106</v>
      </c>
      <c r="D2948" t="s">
        <v>448</v>
      </c>
      <c r="E2948">
        <v>20</v>
      </c>
      <c r="F2948" t="s">
        <v>3249</v>
      </c>
      <c r="G2948">
        <v>2023</v>
      </c>
      <c r="H2948" t="s">
        <v>263</v>
      </c>
      <c r="I2948" t="s">
        <v>144</v>
      </c>
      <c r="J2948">
        <v>-899</v>
      </c>
      <c r="K2948">
        <v>375</v>
      </c>
      <c r="L2948">
        <f t="shared" ref="L2948:L2950" si="716">J2948+K2948</f>
        <v>-524</v>
      </c>
      <c r="M2948">
        <v>240</v>
      </c>
      <c r="N2948">
        <f t="shared" ref="N2948:N2950" si="717">L2948+M2948</f>
        <v>-284</v>
      </c>
    </row>
    <row r="2949" spans="1:14" x14ac:dyDescent="0.2">
      <c r="A2949" t="s">
        <v>3377</v>
      </c>
      <c r="B2949" s="1" t="s">
        <v>3345</v>
      </c>
      <c r="C2949" t="s">
        <v>106</v>
      </c>
      <c r="D2949" t="s">
        <v>3378</v>
      </c>
      <c r="E2949">
        <v>8</v>
      </c>
      <c r="F2949" t="s">
        <v>3249</v>
      </c>
      <c r="G2949">
        <v>2023</v>
      </c>
      <c r="H2949" t="s">
        <v>3379</v>
      </c>
      <c r="I2949" t="s">
        <v>62</v>
      </c>
      <c r="J2949">
        <v>-799</v>
      </c>
      <c r="K2949">
        <v>320</v>
      </c>
      <c r="L2949">
        <f t="shared" si="716"/>
        <v>-479</v>
      </c>
      <c r="M2949">
        <v>240</v>
      </c>
      <c r="N2949">
        <f t="shared" si="717"/>
        <v>-239</v>
      </c>
    </row>
    <row r="2950" spans="1:14" x14ac:dyDescent="0.2">
      <c r="A2950" t="s">
        <v>3628</v>
      </c>
      <c r="B2950" s="1" t="s">
        <v>3602</v>
      </c>
      <c r="C2950" t="s">
        <v>106</v>
      </c>
      <c r="D2950" t="s">
        <v>504</v>
      </c>
      <c r="E2950">
        <v>21</v>
      </c>
      <c r="F2950" t="s">
        <v>3249</v>
      </c>
      <c r="G2950">
        <v>2023</v>
      </c>
      <c r="H2950" t="s">
        <v>215</v>
      </c>
      <c r="I2950" t="s">
        <v>135</v>
      </c>
      <c r="J2950">
        <v>-899</v>
      </c>
      <c r="K2950">
        <v>375</v>
      </c>
      <c r="L2950">
        <f t="shared" si="716"/>
        <v>-524</v>
      </c>
      <c r="M2950">
        <v>240</v>
      </c>
      <c r="N2950">
        <f t="shared" si="717"/>
        <v>-284</v>
      </c>
    </row>
    <row r="2951" spans="1:14" x14ac:dyDescent="0.2">
      <c r="A2951" t="s">
        <v>3695</v>
      </c>
      <c r="B2951" s="1" t="s">
        <v>3694</v>
      </c>
      <c r="C2951" t="s">
        <v>43</v>
      </c>
      <c r="D2951" t="s">
        <v>448</v>
      </c>
      <c r="E2951">
        <v>26</v>
      </c>
      <c r="F2951" t="s">
        <v>3249</v>
      </c>
      <c r="G2951">
        <v>2023</v>
      </c>
      <c r="H2951" t="s">
        <v>314</v>
      </c>
      <c r="I2951" t="s">
        <v>58</v>
      </c>
      <c r="J2951">
        <v>0</v>
      </c>
      <c r="K2951">
        <v>0</v>
      </c>
      <c r="L2951">
        <v>0</v>
      </c>
      <c r="M2951">
        <v>0</v>
      </c>
      <c r="N2951">
        <v>0</v>
      </c>
    </row>
    <row r="2952" spans="1:14" x14ac:dyDescent="0.2">
      <c r="A2952" t="s">
        <v>3696</v>
      </c>
      <c r="B2952" s="1" t="s">
        <v>3692</v>
      </c>
      <c r="C2952" t="s">
        <v>43</v>
      </c>
      <c r="D2952" t="s">
        <v>819</v>
      </c>
      <c r="E2952">
        <v>25</v>
      </c>
      <c r="F2952" t="s">
        <v>3249</v>
      </c>
      <c r="G2952">
        <v>2023</v>
      </c>
      <c r="H2952" t="s">
        <v>246</v>
      </c>
      <c r="I2952" t="s">
        <v>58</v>
      </c>
      <c r="J2952">
        <v>0</v>
      </c>
      <c r="K2952">
        <v>0</v>
      </c>
      <c r="L2952">
        <v>0</v>
      </c>
      <c r="M2952">
        <v>0</v>
      </c>
      <c r="N2952">
        <v>0</v>
      </c>
    </row>
    <row r="2953" spans="1:14" x14ac:dyDescent="0.2">
      <c r="A2953" t="s">
        <v>3558</v>
      </c>
      <c r="B2953" s="1" t="s">
        <v>3551</v>
      </c>
      <c r="C2953" t="s">
        <v>106</v>
      </c>
      <c r="D2953" t="s">
        <v>3559</v>
      </c>
      <c r="E2953">
        <v>19</v>
      </c>
      <c r="F2953" t="s">
        <v>3249</v>
      </c>
      <c r="G2953">
        <v>2023</v>
      </c>
      <c r="H2953" t="s">
        <v>3560</v>
      </c>
      <c r="I2953" t="s">
        <v>62</v>
      </c>
      <c r="J2953">
        <v>-999</v>
      </c>
      <c r="K2953">
        <v>395</v>
      </c>
      <c r="L2953">
        <f>J2953+K2953</f>
        <v>-604</v>
      </c>
      <c r="M2953">
        <v>240</v>
      </c>
      <c r="N2953">
        <f>L2953+M2953</f>
        <v>-364</v>
      </c>
    </row>
    <row r="2954" spans="1:14" x14ac:dyDescent="0.2">
      <c r="A2954" t="s">
        <v>3698</v>
      </c>
      <c r="B2954" s="1" t="s">
        <v>3697</v>
      </c>
      <c r="C2954" t="s">
        <v>43</v>
      </c>
      <c r="D2954" t="s">
        <v>967</v>
      </c>
      <c r="E2954">
        <v>27</v>
      </c>
      <c r="F2954" t="s">
        <v>3249</v>
      </c>
      <c r="G2954">
        <v>2023</v>
      </c>
      <c r="H2954" t="s">
        <v>398</v>
      </c>
      <c r="I2954" t="s">
        <v>399</v>
      </c>
      <c r="J2954">
        <v>0</v>
      </c>
      <c r="K2954">
        <v>0</v>
      </c>
      <c r="L2954">
        <v>0</v>
      </c>
      <c r="M2954">
        <v>0</v>
      </c>
      <c r="N2954">
        <v>0</v>
      </c>
    </row>
    <row r="2955" spans="1:14" x14ac:dyDescent="0.2">
      <c r="A2955" t="s">
        <v>3699</v>
      </c>
      <c r="B2955" s="1" t="s">
        <v>3694</v>
      </c>
      <c r="C2955" t="s">
        <v>14</v>
      </c>
      <c r="D2955" t="s">
        <v>1508</v>
      </c>
      <c r="E2955">
        <v>26</v>
      </c>
      <c r="F2955" t="s">
        <v>3249</v>
      </c>
      <c r="G2955">
        <v>2023</v>
      </c>
      <c r="H2955" t="s">
        <v>246</v>
      </c>
      <c r="I2955" t="s">
        <v>58</v>
      </c>
      <c r="J2955">
        <v>999</v>
      </c>
      <c r="K2955">
        <v>325</v>
      </c>
      <c r="L2955">
        <f t="shared" ref="L2955:L2977" si="718">J2955-K2955</f>
        <v>674</v>
      </c>
      <c r="M2955">
        <v>240</v>
      </c>
      <c r="N2955">
        <f t="shared" ref="N2955:N2977" si="719">L2955-M2955</f>
        <v>434</v>
      </c>
    </row>
    <row r="2956" spans="1:14" x14ac:dyDescent="0.2">
      <c r="A2956" t="s">
        <v>3700</v>
      </c>
      <c r="B2956" s="1" t="s">
        <v>3694</v>
      </c>
      <c r="C2956" t="s">
        <v>14</v>
      </c>
      <c r="D2956" t="s">
        <v>81</v>
      </c>
      <c r="E2956">
        <v>26</v>
      </c>
      <c r="F2956" t="s">
        <v>3249</v>
      </c>
      <c r="G2956">
        <v>2023</v>
      </c>
      <c r="H2956" t="s">
        <v>2672</v>
      </c>
      <c r="I2956" t="s">
        <v>135</v>
      </c>
      <c r="J2956">
        <v>849</v>
      </c>
      <c r="K2956">
        <v>250</v>
      </c>
      <c r="L2956">
        <f t="shared" si="718"/>
        <v>599</v>
      </c>
      <c r="M2956">
        <v>240</v>
      </c>
      <c r="N2956">
        <f t="shared" si="719"/>
        <v>359</v>
      </c>
    </row>
    <row r="2957" spans="1:14" x14ac:dyDescent="0.2">
      <c r="A2957" t="s">
        <v>3701</v>
      </c>
      <c r="B2957" s="1" t="s">
        <v>3692</v>
      </c>
      <c r="C2957" t="s">
        <v>14</v>
      </c>
      <c r="D2957" t="s">
        <v>573</v>
      </c>
      <c r="E2957">
        <v>25</v>
      </c>
      <c r="F2957" t="s">
        <v>3249</v>
      </c>
      <c r="G2957">
        <v>2023</v>
      </c>
      <c r="H2957" t="s">
        <v>157</v>
      </c>
      <c r="I2957" t="s">
        <v>97</v>
      </c>
      <c r="J2957">
        <v>899</v>
      </c>
      <c r="K2957">
        <v>295</v>
      </c>
      <c r="L2957">
        <f t="shared" si="718"/>
        <v>604</v>
      </c>
      <c r="M2957">
        <v>240</v>
      </c>
      <c r="N2957">
        <f t="shared" si="719"/>
        <v>364</v>
      </c>
    </row>
    <row r="2958" spans="1:14" x14ac:dyDescent="0.2">
      <c r="A2958" t="s">
        <v>3702</v>
      </c>
      <c r="B2958" s="1" t="s">
        <v>3692</v>
      </c>
      <c r="C2958" t="s">
        <v>14</v>
      </c>
      <c r="D2958" t="s">
        <v>452</v>
      </c>
      <c r="E2958">
        <v>25</v>
      </c>
      <c r="F2958" t="s">
        <v>3249</v>
      </c>
      <c r="G2958">
        <v>2023</v>
      </c>
      <c r="H2958" t="s">
        <v>1417</v>
      </c>
      <c r="I2958" t="s">
        <v>37</v>
      </c>
      <c r="J2958">
        <v>799</v>
      </c>
      <c r="K2958">
        <v>205</v>
      </c>
      <c r="L2958">
        <f t="shared" si="718"/>
        <v>594</v>
      </c>
      <c r="M2958">
        <v>240</v>
      </c>
      <c r="N2958">
        <f t="shared" si="719"/>
        <v>354</v>
      </c>
    </row>
    <row r="2959" spans="1:14" x14ac:dyDescent="0.2">
      <c r="A2959" t="s">
        <v>3703</v>
      </c>
      <c r="B2959" s="1" t="s">
        <v>3692</v>
      </c>
      <c r="C2959" t="s">
        <v>14</v>
      </c>
      <c r="D2959" t="s">
        <v>1215</v>
      </c>
      <c r="E2959">
        <v>25</v>
      </c>
      <c r="F2959" t="s">
        <v>3249</v>
      </c>
      <c r="G2959">
        <v>2023</v>
      </c>
      <c r="H2959" t="s">
        <v>3704</v>
      </c>
      <c r="I2959" t="s">
        <v>122</v>
      </c>
      <c r="J2959">
        <v>799</v>
      </c>
      <c r="K2959">
        <v>205</v>
      </c>
      <c r="L2959">
        <f t="shared" si="718"/>
        <v>594</v>
      </c>
      <c r="M2959">
        <v>240</v>
      </c>
      <c r="N2959">
        <f t="shared" si="719"/>
        <v>354</v>
      </c>
    </row>
    <row r="2960" spans="1:14" x14ac:dyDescent="0.2">
      <c r="A2960" t="s">
        <v>3705</v>
      </c>
      <c r="B2960" s="1" t="s">
        <v>3692</v>
      </c>
      <c r="C2960" t="s">
        <v>14</v>
      </c>
      <c r="D2960" t="s">
        <v>452</v>
      </c>
      <c r="E2960">
        <v>25</v>
      </c>
      <c r="F2960" t="s">
        <v>3249</v>
      </c>
      <c r="G2960">
        <v>2023</v>
      </c>
      <c r="H2960" t="s">
        <v>18</v>
      </c>
      <c r="I2960" t="s">
        <v>19</v>
      </c>
      <c r="J2960">
        <v>1598</v>
      </c>
      <c r="K2960">
        <v>365</v>
      </c>
      <c r="L2960">
        <f t="shared" si="718"/>
        <v>1233</v>
      </c>
      <c r="M2960">
        <v>240</v>
      </c>
      <c r="N2960">
        <f t="shared" si="719"/>
        <v>993</v>
      </c>
    </row>
    <row r="2961" spans="1:14" x14ac:dyDescent="0.2">
      <c r="A2961" t="s">
        <v>3706</v>
      </c>
      <c r="B2961" s="1" t="s">
        <v>3692</v>
      </c>
      <c r="C2961" t="s">
        <v>14</v>
      </c>
      <c r="D2961" t="s">
        <v>844</v>
      </c>
      <c r="E2961">
        <v>25</v>
      </c>
      <c r="F2961" t="s">
        <v>3249</v>
      </c>
      <c r="G2961">
        <v>2023</v>
      </c>
      <c r="H2961" t="s">
        <v>1724</v>
      </c>
      <c r="I2961" t="s">
        <v>23</v>
      </c>
      <c r="J2961">
        <v>799</v>
      </c>
      <c r="K2961">
        <v>205</v>
      </c>
      <c r="L2961">
        <f t="shared" si="718"/>
        <v>594</v>
      </c>
      <c r="M2961">
        <v>240</v>
      </c>
      <c r="N2961">
        <f t="shared" si="719"/>
        <v>354</v>
      </c>
    </row>
    <row r="2962" spans="1:14" x14ac:dyDescent="0.2">
      <c r="A2962" t="s">
        <v>3707</v>
      </c>
      <c r="B2962" s="1" t="s">
        <v>3694</v>
      </c>
      <c r="C2962" t="s">
        <v>14</v>
      </c>
      <c r="D2962" t="s">
        <v>448</v>
      </c>
      <c r="E2962">
        <v>26</v>
      </c>
      <c r="F2962" t="s">
        <v>3249</v>
      </c>
      <c r="G2962">
        <v>2023</v>
      </c>
      <c r="H2962" t="s">
        <v>417</v>
      </c>
      <c r="I2962" t="s">
        <v>253</v>
      </c>
      <c r="J2962">
        <v>899</v>
      </c>
      <c r="K2962">
        <v>295</v>
      </c>
      <c r="L2962">
        <f t="shared" si="718"/>
        <v>604</v>
      </c>
      <c r="M2962">
        <v>240</v>
      </c>
      <c r="N2962">
        <f t="shared" si="719"/>
        <v>364</v>
      </c>
    </row>
    <row r="2963" spans="1:14" x14ac:dyDescent="0.2">
      <c r="A2963" t="s">
        <v>3708</v>
      </c>
      <c r="B2963" s="1" t="s">
        <v>3694</v>
      </c>
      <c r="C2963" t="s">
        <v>14</v>
      </c>
      <c r="D2963" t="s">
        <v>504</v>
      </c>
      <c r="E2963">
        <v>26</v>
      </c>
      <c r="F2963" t="s">
        <v>3249</v>
      </c>
      <c r="G2963">
        <v>2023</v>
      </c>
      <c r="H2963" t="s">
        <v>215</v>
      </c>
      <c r="I2963" t="s">
        <v>135</v>
      </c>
      <c r="J2963">
        <v>899</v>
      </c>
      <c r="K2963">
        <v>295</v>
      </c>
      <c r="L2963">
        <f t="shared" si="718"/>
        <v>604</v>
      </c>
      <c r="M2963">
        <v>240</v>
      </c>
      <c r="N2963">
        <f t="shared" si="719"/>
        <v>364</v>
      </c>
    </row>
    <row r="2964" spans="1:14" x14ac:dyDescent="0.2">
      <c r="A2964" t="s">
        <v>3709</v>
      </c>
      <c r="B2964" s="1" t="s">
        <v>3692</v>
      </c>
      <c r="C2964" t="s">
        <v>14</v>
      </c>
      <c r="D2964" t="s">
        <v>81</v>
      </c>
      <c r="E2964">
        <v>25</v>
      </c>
      <c r="F2964" t="s">
        <v>3249</v>
      </c>
      <c r="G2964">
        <v>2023</v>
      </c>
      <c r="H2964" t="s">
        <v>838</v>
      </c>
      <c r="I2964" t="s">
        <v>253</v>
      </c>
      <c r="J2964">
        <v>849</v>
      </c>
      <c r="K2964">
        <v>250</v>
      </c>
      <c r="L2964">
        <f t="shared" si="718"/>
        <v>599</v>
      </c>
      <c r="M2964">
        <v>240</v>
      </c>
      <c r="N2964">
        <f t="shared" si="719"/>
        <v>359</v>
      </c>
    </row>
    <row r="2965" spans="1:14" x14ac:dyDescent="0.2">
      <c r="A2965" t="s">
        <v>3710</v>
      </c>
      <c r="B2965" s="1" t="s">
        <v>3694</v>
      </c>
      <c r="C2965" t="s">
        <v>14</v>
      </c>
      <c r="D2965" t="s">
        <v>786</v>
      </c>
      <c r="E2965">
        <v>26</v>
      </c>
      <c r="F2965" t="s">
        <v>3249</v>
      </c>
      <c r="G2965">
        <v>2023</v>
      </c>
      <c r="H2965" t="s">
        <v>134</v>
      </c>
      <c r="I2965" t="s">
        <v>135</v>
      </c>
      <c r="J2965">
        <v>799</v>
      </c>
      <c r="K2965">
        <v>205</v>
      </c>
      <c r="L2965">
        <f t="shared" si="718"/>
        <v>594</v>
      </c>
      <c r="M2965">
        <v>240</v>
      </c>
      <c r="N2965">
        <f t="shared" si="719"/>
        <v>354</v>
      </c>
    </row>
    <row r="2966" spans="1:14" x14ac:dyDescent="0.2">
      <c r="A2966" t="s">
        <v>3711</v>
      </c>
      <c r="B2966" s="1" t="s">
        <v>3692</v>
      </c>
      <c r="C2966" t="s">
        <v>14</v>
      </c>
      <c r="D2966" t="s">
        <v>81</v>
      </c>
      <c r="E2966">
        <v>25</v>
      </c>
      <c r="F2966" t="s">
        <v>3249</v>
      </c>
      <c r="G2966">
        <v>2023</v>
      </c>
      <c r="H2966" t="s">
        <v>549</v>
      </c>
      <c r="I2966" t="s">
        <v>163</v>
      </c>
      <c r="J2966">
        <v>849</v>
      </c>
      <c r="K2966">
        <v>250</v>
      </c>
      <c r="L2966">
        <f t="shared" si="718"/>
        <v>599</v>
      </c>
      <c r="M2966">
        <v>240</v>
      </c>
      <c r="N2966">
        <f t="shared" si="719"/>
        <v>359</v>
      </c>
    </row>
    <row r="2967" spans="1:14" x14ac:dyDescent="0.2">
      <c r="A2967" t="s">
        <v>3712</v>
      </c>
      <c r="B2967" s="1" t="s">
        <v>3694</v>
      </c>
      <c r="C2967" t="s">
        <v>14</v>
      </c>
      <c r="D2967" t="s">
        <v>895</v>
      </c>
      <c r="E2967">
        <v>26</v>
      </c>
      <c r="F2967" t="s">
        <v>3249</v>
      </c>
      <c r="G2967">
        <v>2023</v>
      </c>
      <c r="H2967" t="s">
        <v>173</v>
      </c>
      <c r="I2967" t="s">
        <v>62</v>
      </c>
      <c r="J2967">
        <v>849</v>
      </c>
      <c r="K2967">
        <v>250</v>
      </c>
      <c r="L2967">
        <f t="shared" si="718"/>
        <v>599</v>
      </c>
      <c r="M2967">
        <v>240</v>
      </c>
      <c r="N2967">
        <f t="shared" si="719"/>
        <v>359</v>
      </c>
    </row>
    <row r="2968" spans="1:14" x14ac:dyDescent="0.2">
      <c r="A2968" t="s">
        <v>3713</v>
      </c>
      <c r="B2968" s="1" t="s">
        <v>3694</v>
      </c>
      <c r="C2968" t="s">
        <v>14</v>
      </c>
      <c r="D2968" t="s">
        <v>975</v>
      </c>
      <c r="E2968">
        <v>26</v>
      </c>
      <c r="F2968" t="s">
        <v>3249</v>
      </c>
      <c r="G2968">
        <v>2023</v>
      </c>
      <c r="H2968" t="s">
        <v>84</v>
      </c>
      <c r="I2968" t="s">
        <v>85</v>
      </c>
      <c r="J2968">
        <v>799</v>
      </c>
      <c r="K2968">
        <v>205</v>
      </c>
      <c r="L2968">
        <f t="shared" si="718"/>
        <v>594</v>
      </c>
      <c r="M2968">
        <v>240</v>
      </c>
      <c r="N2968">
        <f t="shared" si="719"/>
        <v>354</v>
      </c>
    </row>
    <row r="2969" spans="1:14" x14ac:dyDescent="0.2">
      <c r="A2969" t="s">
        <v>3714</v>
      </c>
      <c r="B2969" s="1" t="s">
        <v>3694</v>
      </c>
      <c r="C2969" t="s">
        <v>14</v>
      </c>
      <c r="D2969" t="s">
        <v>308</v>
      </c>
      <c r="E2969">
        <v>26</v>
      </c>
      <c r="F2969" t="s">
        <v>3249</v>
      </c>
      <c r="G2969">
        <v>2023</v>
      </c>
      <c r="H2969" t="s">
        <v>3715</v>
      </c>
      <c r="I2969" t="s">
        <v>62</v>
      </c>
      <c r="J2969">
        <v>899</v>
      </c>
      <c r="K2969">
        <v>295</v>
      </c>
      <c r="L2969">
        <f t="shared" si="718"/>
        <v>604</v>
      </c>
      <c r="M2969">
        <v>240</v>
      </c>
      <c r="N2969">
        <f t="shared" si="719"/>
        <v>364</v>
      </c>
    </row>
    <row r="2970" spans="1:14" x14ac:dyDescent="0.2">
      <c r="A2970" t="s">
        <v>3716</v>
      </c>
      <c r="B2970" s="1" t="s">
        <v>3694</v>
      </c>
      <c r="C2970" t="s">
        <v>14</v>
      </c>
      <c r="D2970" t="s">
        <v>133</v>
      </c>
      <c r="E2970">
        <v>26</v>
      </c>
      <c r="F2970" t="s">
        <v>3249</v>
      </c>
      <c r="G2970">
        <v>2023</v>
      </c>
      <c r="H2970" t="s">
        <v>104</v>
      </c>
      <c r="I2970" t="s">
        <v>62</v>
      </c>
      <c r="J2970">
        <v>799</v>
      </c>
      <c r="K2970">
        <v>205</v>
      </c>
      <c r="L2970">
        <f t="shared" si="718"/>
        <v>594</v>
      </c>
      <c r="M2970">
        <v>240</v>
      </c>
      <c r="N2970">
        <f t="shared" si="719"/>
        <v>354</v>
      </c>
    </row>
    <row r="2971" spans="1:14" x14ac:dyDescent="0.2">
      <c r="A2971" t="s">
        <v>3717</v>
      </c>
      <c r="B2971" s="1" t="s">
        <v>3694</v>
      </c>
      <c r="C2971" t="s">
        <v>14</v>
      </c>
      <c r="D2971" t="s">
        <v>993</v>
      </c>
      <c r="E2971">
        <v>26</v>
      </c>
      <c r="F2971" t="s">
        <v>3249</v>
      </c>
      <c r="G2971">
        <v>2023</v>
      </c>
      <c r="H2971" t="s">
        <v>157</v>
      </c>
      <c r="I2971" t="s">
        <v>97</v>
      </c>
      <c r="J2971">
        <v>799</v>
      </c>
      <c r="K2971">
        <v>205</v>
      </c>
      <c r="L2971">
        <f t="shared" si="718"/>
        <v>594</v>
      </c>
      <c r="M2971">
        <v>240</v>
      </c>
      <c r="N2971">
        <f t="shared" si="719"/>
        <v>354</v>
      </c>
    </row>
    <row r="2972" spans="1:14" x14ac:dyDescent="0.2">
      <c r="A2972" t="s">
        <v>3718</v>
      </c>
      <c r="B2972" s="1" t="s">
        <v>3692</v>
      </c>
      <c r="C2972" t="s">
        <v>14</v>
      </c>
      <c r="D2972" t="s">
        <v>490</v>
      </c>
      <c r="E2972">
        <v>25</v>
      </c>
      <c r="F2972" t="s">
        <v>3249</v>
      </c>
      <c r="G2972">
        <v>2023</v>
      </c>
      <c r="H2972" t="s">
        <v>2782</v>
      </c>
      <c r="I2972" t="s">
        <v>502</v>
      </c>
      <c r="J2972">
        <v>899</v>
      </c>
      <c r="K2972">
        <v>295</v>
      </c>
      <c r="L2972">
        <f t="shared" si="718"/>
        <v>604</v>
      </c>
      <c r="M2972">
        <v>240</v>
      </c>
      <c r="N2972">
        <f t="shared" si="719"/>
        <v>364</v>
      </c>
    </row>
    <row r="2973" spans="1:14" x14ac:dyDescent="0.2">
      <c r="A2973" t="s">
        <v>3719</v>
      </c>
      <c r="B2973" s="1" t="s">
        <v>3692</v>
      </c>
      <c r="C2973" t="s">
        <v>14</v>
      </c>
      <c r="D2973" t="s">
        <v>915</v>
      </c>
      <c r="E2973">
        <v>25</v>
      </c>
      <c r="F2973" t="s">
        <v>3249</v>
      </c>
      <c r="G2973">
        <v>2023</v>
      </c>
      <c r="H2973" t="s">
        <v>832</v>
      </c>
      <c r="I2973" t="s">
        <v>122</v>
      </c>
      <c r="J2973">
        <v>799</v>
      </c>
      <c r="K2973">
        <v>205</v>
      </c>
      <c r="L2973">
        <f t="shared" si="718"/>
        <v>594</v>
      </c>
      <c r="M2973">
        <v>240</v>
      </c>
      <c r="N2973">
        <f t="shared" si="719"/>
        <v>354</v>
      </c>
    </row>
    <row r="2974" spans="1:14" x14ac:dyDescent="0.2">
      <c r="A2974" t="s">
        <v>3720</v>
      </c>
      <c r="B2974" s="1" t="s">
        <v>3692</v>
      </c>
      <c r="C2974" t="s">
        <v>14</v>
      </c>
      <c r="D2974" t="s">
        <v>893</v>
      </c>
      <c r="E2974">
        <v>25</v>
      </c>
      <c r="F2974" t="s">
        <v>3249</v>
      </c>
      <c r="G2974">
        <v>2023</v>
      </c>
      <c r="H2974" t="s">
        <v>260</v>
      </c>
      <c r="I2974" t="s">
        <v>28</v>
      </c>
      <c r="J2974">
        <v>849</v>
      </c>
      <c r="K2974">
        <v>250</v>
      </c>
      <c r="L2974">
        <f t="shared" si="718"/>
        <v>599</v>
      </c>
      <c r="M2974">
        <v>240</v>
      </c>
      <c r="N2974">
        <f t="shared" si="719"/>
        <v>359</v>
      </c>
    </row>
    <row r="2975" spans="1:14" x14ac:dyDescent="0.2">
      <c r="A2975" t="s">
        <v>3721</v>
      </c>
      <c r="B2975" s="1" t="s">
        <v>3692</v>
      </c>
      <c r="C2975" t="s">
        <v>14</v>
      </c>
      <c r="D2975" t="s">
        <v>133</v>
      </c>
      <c r="E2975">
        <v>25</v>
      </c>
      <c r="F2975" t="s">
        <v>3249</v>
      </c>
      <c r="G2975">
        <v>2023</v>
      </c>
      <c r="H2975" t="s">
        <v>2564</v>
      </c>
      <c r="I2975" t="s">
        <v>62</v>
      </c>
      <c r="J2975">
        <v>799</v>
      </c>
      <c r="K2975">
        <v>205</v>
      </c>
      <c r="L2975">
        <f t="shared" si="718"/>
        <v>594</v>
      </c>
      <c r="M2975">
        <v>240</v>
      </c>
      <c r="N2975">
        <f t="shared" si="719"/>
        <v>354</v>
      </c>
    </row>
    <row r="2976" spans="1:14" x14ac:dyDescent="0.2">
      <c r="A2976" t="s">
        <v>3722</v>
      </c>
      <c r="B2976" s="1" t="s">
        <v>3692</v>
      </c>
      <c r="C2976" t="s">
        <v>14</v>
      </c>
      <c r="D2976" t="s">
        <v>133</v>
      </c>
      <c r="E2976">
        <v>25</v>
      </c>
      <c r="F2976" t="s">
        <v>3249</v>
      </c>
      <c r="G2976">
        <v>2023</v>
      </c>
      <c r="H2976" t="s">
        <v>3723</v>
      </c>
      <c r="I2976" t="s">
        <v>250</v>
      </c>
      <c r="J2976">
        <v>799</v>
      </c>
      <c r="K2976">
        <v>205</v>
      </c>
      <c r="L2976">
        <f t="shared" si="718"/>
        <v>594</v>
      </c>
      <c r="M2976">
        <v>240</v>
      </c>
      <c r="N2976">
        <f t="shared" si="719"/>
        <v>354</v>
      </c>
    </row>
    <row r="2977" spans="1:14" x14ac:dyDescent="0.2">
      <c r="A2977" t="s">
        <v>3724</v>
      </c>
      <c r="B2977" s="1" t="s">
        <v>3694</v>
      </c>
      <c r="C2977" t="s">
        <v>14</v>
      </c>
      <c r="D2977" t="s">
        <v>169</v>
      </c>
      <c r="E2977">
        <v>26</v>
      </c>
      <c r="F2977" t="s">
        <v>3249</v>
      </c>
      <c r="G2977">
        <v>2023</v>
      </c>
      <c r="H2977" t="s">
        <v>3725</v>
      </c>
      <c r="I2977" t="s">
        <v>163</v>
      </c>
      <c r="J2977">
        <v>799</v>
      </c>
      <c r="K2977">
        <v>205</v>
      </c>
      <c r="L2977">
        <f t="shared" si="718"/>
        <v>594</v>
      </c>
      <c r="M2977">
        <v>240</v>
      </c>
      <c r="N2977">
        <f t="shared" si="719"/>
        <v>354</v>
      </c>
    </row>
    <row r="2978" spans="1:14" x14ac:dyDescent="0.2">
      <c r="A2978" t="s">
        <v>3646</v>
      </c>
      <c r="B2978" s="1" t="s">
        <v>3602</v>
      </c>
      <c r="C2978" t="s">
        <v>106</v>
      </c>
      <c r="D2978" t="s">
        <v>893</v>
      </c>
      <c r="E2978">
        <v>21</v>
      </c>
      <c r="F2978" t="s">
        <v>3249</v>
      </c>
      <c r="G2978">
        <v>2023</v>
      </c>
      <c r="H2978" t="s">
        <v>272</v>
      </c>
      <c r="I2978" t="s">
        <v>23</v>
      </c>
      <c r="J2978">
        <v>-849</v>
      </c>
      <c r="K2978">
        <v>345</v>
      </c>
      <c r="L2978">
        <f t="shared" ref="L2978:L2979" si="720">J2978+K2978</f>
        <v>-504</v>
      </c>
      <c r="M2978">
        <v>240</v>
      </c>
      <c r="N2978">
        <f t="shared" ref="N2978:N2979" si="721">L2978+M2978</f>
        <v>-264</v>
      </c>
    </row>
    <row r="2979" spans="1:14" x14ac:dyDescent="0.2">
      <c r="A2979" t="s">
        <v>3596</v>
      </c>
      <c r="B2979" s="1" t="s">
        <v>3576</v>
      </c>
      <c r="C2979" t="s">
        <v>106</v>
      </c>
      <c r="D2979" t="s">
        <v>1560</v>
      </c>
      <c r="E2979">
        <v>20</v>
      </c>
      <c r="F2979" t="s">
        <v>3249</v>
      </c>
      <c r="G2979">
        <v>2023</v>
      </c>
      <c r="H2979" t="s">
        <v>157</v>
      </c>
      <c r="I2979" t="s">
        <v>97</v>
      </c>
      <c r="J2979">
        <v>-799</v>
      </c>
      <c r="K2979">
        <v>320</v>
      </c>
      <c r="L2979">
        <f t="shared" si="720"/>
        <v>-479</v>
      </c>
      <c r="M2979">
        <v>240</v>
      </c>
      <c r="N2979">
        <f t="shared" si="721"/>
        <v>-239</v>
      </c>
    </row>
    <row r="2980" spans="1:14" x14ac:dyDescent="0.2">
      <c r="A2980" t="s">
        <v>3726</v>
      </c>
      <c r="B2980" s="1" t="s">
        <v>3697</v>
      </c>
      <c r="C2980" t="s">
        <v>43</v>
      </c>
      <c r="D2980" t="s">
        <v>81</v>
      </c>
      <c r="E2980">
        <v>27</v>
      </c>
      <c r="F2980" t="s">
        <v>3249</v>
      </c>
      <c r="G2980">
        <v>2023</v>
      </c>
      <c r="H2980" t="s">
        <v>3727</v>
      </c>
      <c r="I2980" t="s">
        <v>28</v>
      </c>
      <c r="J2980">
        <v>0</v>
      </c>
      <c r="K2980">
        <v>0</v>
      </c>
      <c r="L2980">
        <v>0</v>
      </c>
      <c r="M2980">
        <v>0</v>
      </c>
      <c r="N2980">
        <v>0</v>
      </c>
    </row>
    <row r="2981" spans="1:14" x14ac:dyDescent="0.2">
      <c r="A2981" t="s">
        <v>3611</v>
      </c>
      <c r="B2981" s="1" t="s">
        <v>3602</v>
      </c>
      <c r="C2981" t="s">
        <v>106</v>
      </c>
      <c r="D2981" t="s">
        <v>1567</v>
      </c>
      <c r="E2981">
        <v>21</v>
      </c>
      <c r="F2981" t="s">
        <v>3249</v>
      </c>
      <c r="G2981">
        <v>2023</v>
      </c>
      <c r="H2981" t="s">
        <v>3612</v>
      </c>
      <c r="I2981" t="s">
        <v>85</v>
      </c>
      <c r="J2981">
        <v>-849</v>
      </c>
      <c r="K2981">
        <v>345</v>
      </c>
      <c r="L2981">
        <f>J2981+K2981</f>
        <v>-504</v>
      </c>
      <c r="M2981">
        <v>240</v>
      </c>
      <c r="N2981">
        <f>L2981+M2981</f>
        <v>-264</v>
      </c>
    </row>
    <row r="2982" spans="1:14" x14ac:dyDescent="0.2">
      <c r="A2982" t="s">
        <v>3729</v>
      </c>
      <c r="B2982" s="1" t="s">
        <v>3728</v>
      </c>
      <c r="C2982" t="s">
        <v>43</v>
      </c>
      <c r="D2982" t="s">
        <v>242</v>
      </c>
      <c r="E2982">
        <v>28</v>
      </c>
      <c r="F2982" t="s">
        <v>3249</v>
      </c>
      <c r="G2982">
        <v>2023</v>
      </c>
      <c r="H2982" t="s">
        <v>3730</v>
      </c>
      <c r="I2982" t="s">
        <v>23</v>
      </c>
      <c r="J2982">
        <v>0</v>
      </c>
      <c r="K2982">
        <v>0</v>
      </c>
      <c r="L2982">
        <v>0</v>
      </c>
      <c r="M2982">
        <v>0</v>
      </c>
      <c r="N2982">
        <v>0</v>
      </c>
    </row>
    <row r="2983" spans="1:14" x14ac:dyDescent="0.2">
      <c r="A2983" t="s">
        <v>3729</v>
      </c>
      <c r="B2983" s="1" t="s">
        <v>3728</v>
      </c>
      <c r="C2983" t="s">
        <v>43</v>
      </c>
      <c r="D2983" t="s">
        <v>445</v>
      </c>
      <c r="E2983">
        <v>28</v>
      </c>
      <c r="F2983" t="s">
        <v>3249</v>
      </c>
      <c r="G2983">
        <v>2023</v>
      </c>
      <c r="H2983" t="s">
        <v>3730</v>
      </c>
      <c r="I2983" t="s">
        <v>23</v>
      </c>
      <c r="J2983">
        <v>0</v>
      </c>
      <c r="K2983">
        <v>0</v>
      </c>
      <c r="L2983">
        <v>0</v>
      </c>
      <c r="M2983">
        <v>0</v>
      </c>
      <c r="N2983">
        <v>0</v>
      </c>
    </row>
    <row r="2984" spans="1:14" x14ac:dyDescent="0.2">
      <c r="A2984" t="s">
        <v>3514</v>
      </c>
      <c r="B2984" s="1" t="s">
        <v>3501</v>
      </c>
      <c r="C2984" t="s">
        <v>106</v>
      </c>
      <c r="D2984" t="s">
        <v>1548</v>
      </c>
      <c r="E2984">
        <v>17</v>
      </c>
      <c r="F2984" t="s">
        <v>3249</v>
      </c>
      <c r="G2984">
        <v>2023</v>
      </c>
      <c r="H2984" t="s">
        <v>3515</v>
      </c>
      <c r="I2984" t="s">
        <v>62</v>
      </c>
      <c r="J2984">
        <v>-799</v>
      </c>
      <c r="K2984">
        <v>320</v>
      </c>
      <c r="L2984">
        <f>J2984+K2984</f>
        <v>-479</v>
      </c>
      <c r="M2984">
        <v>240</v>
      </c>
      <c r="N2984">
        <f>L2984+M2984</f>
        <v>-239</v>
      </c>
    </row>
    <row r="2985" spans="1:14" x14ac:dyDescent="0.2">
      <c r="A2985" t="s">
        <v>3731</v>
      </c>
      <c r="B2985" s="1" t="s">
        <v>3697</v>
      </c>
      <c r="C2985" t="s">
        <v>14</v>
      </c>
      <c r="D2985" t="s">
        <v>379</v>
      </c>
      <c r="E2985">
        <v>27</v>
      </c>
      <c r="F2985" t="s">
        <v>3249</v>
      </c>
      <c r="G2985">
        <v>2023</v>
      </c>
      <c r="H2985" t="s">
        <v>1282</v>
      </c>
      <c r="I2985" t="s">
        <v>502</v>
      </c>
      <c r="J2985">
        <v>799</v>
      </c>
      <c r="K2985">
        <v>205</v>
      </c>
      <c r="L2985">
        <f t="shared" ref="L2985:L3000" si="722">J2985-K2985</f>
        <v>594</v>
      </c>
      <c r="M2985">
        <v>240</v>
      </c>
      <c r="N2985">
        <f t="shared" ref="N2985:N3000" si="723">L2985-M2985</f>
        <v>354</v>
      </c>
    </row>
    <row r="2986" spans="1:14" x14ac:dyDescent="0.2">
      <c r="A2986" t="s">
        <v>3732</v>
      </c>
      <c r="B2986" s="1" t="s">
        <v>3697</v>
      </c>
      <c r="C2986" t="s">
        <v>14</v>
      </c>
      <c r="D2986" t="s">
        <v>809</v>
      </c>
      <c r="E2986">
        <v>27</v>
      </c>
      <c r="F2986" t="s">
        <v>3249</v>
      </c>
      <c r="G2986">
        <v>2023</v>
      </c>
      <c r="H2986" t="s">
        <v>91</v>
      </c>
      <c r="I2986" t="s">
        <v>23</v>
      </c>
      <c r="J2986">
        <v>999</v>
      </c>
      <c r="K2986">
        <v>325</v>
      </c>
      <c r="L2986">
        <f t="shared" si="722"/>
        <v>674</v>
      </c>
      <c r="M2986">
        <v>240</v>
      </c>
      <c r="N2986">
        <f t="shared" si="723"/>
        <v>434</v>
      </c>
    </row>
    <row r="2987" spans="1:14" x14ac:dyDescent="0.2">
      <c r="A2987" t="s">
        <v>3733</v>
      </c>
      <c r="B2987" s="1" t="s">
        <v>3694</v>
      </c>
      <c r="C2987" t="s">
        <v>14</v>
      </c>
      <c r="D2987" t="s">
        <v>891</v>
      </c>
      <c r="E2987">
        <v>26</v>
      </c>
      <c r="F2987" t="s">
        <v>3249</v>
      </c>
      <c r="G2987">
        <v>2023</v>
      </c>
      <c r="H2987" t="s">
        <v>215</v>
      </c>
      <c r="I2987" t="s">
        <v>135</v>
      </c>
      <c r="J2987">
        <v>849</v>
      </c>
      <c r="K2987">
        <v>250</v>
      </c>
      <c r="L2987">
        <f t="shared" si="722"/>
        <v>599</v>
      </c>
      <c r="M2987">
        <v>240</v>
      </c>
      <c r="N2987">
        <f t="shared" si="723"/>
        <v>359</v>
      </c>
    </row>
    <row r="2988" spans="1:14" x14ac:dyDescent="0.2">
      <c r="A2988" t="s">
        <v>3734</v>
      </c>
      <c r="B2988" s="1" t="s">
        <v>3697</v>
      </c>
      <c r="C2988" t="s">
        <v>14</v>
      </c>
      <c r="D2988" t="s">
        <v>573</v>
      </c>
      <c r="E2988">
        <v>27</v>
      </c>
      <c r="F2988" t="s">
        <v>3249</v>
      </c>
      <c r="G2988">
        <v>2023</v>
      </c>
      <c r="H2988" t="s">
        <v>3735</v>
      </c>
      <c r="I2988" t="s">
        <v>85</v>
      </c>
      <c r="J2988">
        <v>899</v>
      </c>
      <c r="K2988">
        <v>295</v>
      </c>
      <c r="L2988">
        <f t="shared" si="722"/>
        <v>604</v>
      </c>
      <c r="M2988">
        <v>240</v>
      </c>
      <c r="N2988">
        <f t="shared" si="723"/>
        <v>364</v>
      </c>
    </row>
    <row r="2989" spans="1:14" x14ac:dyDescent="0.2">
      <c r="A2989" t="s">
        <v>3736</v>
      </c>
      <c r="B2989" s="1" t="s">
        <v>3697</v>
      </c>
      <c r="C2989" t="s">
        <v>14</v>
      </c>
      <c r="D2989" t="s">
        <v>881</v>
      </c>
      <c r="E2989">
        <v>27</v>
      </c>
      <c r="F2989" t="s">
        <v>3249</v>
      </c>
      <c r="G2989">
        <v>2023</v>
      </c>
      <c r="H2989" t="s">
        <v>567</v>
      </c>
      <c r="I2989" t="s">
        <v>23</v>
      </c>
      <c r="J2989">
        <v>799</v>
      </c>
      <c r="K2989">
        <v>205</v>
      </c>
      <c r="L2989">
        <f t="shared" si="722"/>
        <v>594</v>
      </c>
      <c r="M2989">
        <v>240</v>
      </c>
      <c r="N2989">
        <f t="shared" si="723"/>
        <v>354</v>
      </c>
    </row>
    <row r="2990" spans="1:14" x14ac:dyDescent="0.2">
      <c r="A2990" t="s">
        <v>3737</v>
      </c>
      <c r="B2990" s="1" t="s">
        <v>3697</v>
      </c>
      <c r="C2990" t="s">
        <v>14</v>
      </c>
      <c r="D2990" t="s">
        <v>786</v>
      </c>
      <c r="E2990">
        <v>27</v>
      </c>
      <c r="F2990" t="s">
        <v>3249</v>
      </c>
      <c r="G2990">
        <v>2023</v>
      </c>
      <c r="H2990" t="s">
        <v>3738</v>
      </c>
      <c r="I2990" t="s">
        <v>163</v>
      </c>
      <c r="J2990">
        <v>799</v>
      </c>
      <c r="K2990">
        <v>205</v>
      </c>
      <c r="L2990">
        <f t="shared" si="722"/>
        <v>594</v>
      </c>
      <c r="M2990">
        <v>240</v>
      </c>
      <c r="N2990">
        <f t="shared" si="723"/>
        <v>354</v>
      </c>
    </row>
    <row r="2991" spans="1:14" x14ac:dyDescent="0.2">
      <c r="A2991" t="s">
        <v>3739</v>
      </c>
      <c r="B2991" s="1" t="s">
        <v>3697</v>
      </c>
      <c r="C2991" t="s">
        <v>14</v>
      </c>
      <c r="D2991" t="s">
        <v>45</v>
      </c>
      <c r="E2991">
        <v>27</v>
      </c>
      <c r="F2991" t="s">
        <v>3249</v>
      </c>
      <c r="G2991">
        <v>2023</v>
      </c>
      <c r="H2991" t="s">
        <v>1245</v>
      </c>
      <c r="I2991" t="s">
        <v>502</v>
      </c>
      <c r="J2991">
        <v>899</v>
      </c>
      <c r="K2991">
        <v>295</v>
      </c>
      <c r="L2991">
        <f t="shared" si="722"/>
        <v>604</v>
      </c>
      <c r="M2991">
        <v>240</v>
      </c>
      <c r="N2991">
        <f t="shared" si="723"/>
        <v>364</v>
      </c>
    </row>
    <row r="2992" spans="1:14" x14ac:dyDescent="0.2">
      <c r="A2992" t="s">
        <v>3740</v>
      </c>
      <c r="B2992" s="1" t="s">
        <v>3697</v>
      </c>
      <c r="C2992" t="s">
        <v>14</v>
      </c>
      <c r="D2992" t="s">
        <v>379</v>
      </c>
      <c r="E2992">
        <v>27</v>
      </c>
      <c r="F2992" t="s">
        <v>3249</v>
      </c>
      <c r="G2992">
        <v>2023</v>
      </c>
      <c r="H2992" t="s">
        <v>1282</v>
      </c>
      <c r="I2992" t="s">
        <v>502</v>
      </c>
      <c r="J2992">
        <v>799</v>
      </c>
      <c r="K2992">
        <v>205</v>
      </c>
      <c r="L2992">
        <f t="shared" si="722"/>
        <v>594</v>
      </c>
      <c r="M2992">
        <v>240</v>
      </c>
      <c r="N2992">
        <f t="shared" si="723"/>
        <v>354</v>
      </c>
    </row>
    <row r="2993" spans="1:14" x14ac:dyDescent="0.2">
      <c r="A2993" t="s">
        <v>3741</v>
      </c>
      <c r="B2993" s="1" t="s">
        <v>3697</v>
      </c>
      <c r="C2993" t="s">
        <v>14</v>
      </c>
      <c r="D2993" t="s">
        <v>448</v>
      </c>
      <c r="E2993">
        <v>27</v>
      </c>
      <c r="F2993" t="s">
        <v>3249</v>
      </c>
      <c r="G2993">
        <v>2023</v>
      </c>
      <c r="H2993" t="s">
        <v>3553</v>
      </c>
      <c r="I2993" t="s">
        <v>23</v>
      </c>
      <c r="J2993">
        <v>899</v>
      </c>
      <c r="K2993">
        <v>295</v>
      </c>
      <c r="L2993">
        <f t="shared" si="722"/>
        <v>604</v>
      </c>
      <c r="M2993">
        <v>240</v>
      </c>
      <c r="N2993">
        <f t="shared" si="723"/>
        <v>364</v>
      </c>
    </row>
    <row r="2994" spans="1:14" x14ac:dyDescent="0.2">
      <c r="A2994" t="s">
        <v>3742</v>
      </c>
      <c r="B2994" s="1" t="s">
        <v>3694</v>
      </c>
      <c r="C2994" t="s">
        <v>14</v>
      </c>
      <c r="D2994" t="s">
        <v>1218</v>
      </c>
      <c r="E2994">
        <v>26</v>
      </c>
      <c r="F2994" t="s">
        <v>3249</v>
      </c>
      <c r="G2994">
        <v>2023</v>
      </c>
      <c r="H2994" t="s">
        <v>3743</v>
      </c>
      <c r="I2994" t="s">
        <v>62</v>
      </c>
      <c r="J2994">
        <v>799</v>
      </c>
      <c r="K2994">
        <v>205</v>
      </c>
      <c r="L2994">
        <f t="shared" si="722"/>
        <v>594</v>
      </c>
      <c r="M2994">
        <v>240</v>
      </c>
      <c r="N2994">
        <f t="shared" si="723"/>
        <v>354</v>
      </c>
    </row>
    <row r="2995" spans="1:14" x14ac:dyDescent="0.2">
      <c r="A2995" t="s">
        <v>3744</v>
      </c>
      <c r="B2995" s="1" t="s">
        <v>3697</v>
      </c>
      <c r="C2995" t="s">
        <v>14</v>
      </c>
      <c r="D2995" t="s">
        <v>548</v>
      </c>
      <c r="E2995">
        <v>27</v>
      </c>
      <c r="F2995" t="s">
        <v>3249</v>
      </c>
      <c r="G2995">
        <v>2023</v>
      </c>
      <c r="H2995" t="s">
        <v>336</v>
      </c>
      <c r="I2995" t="s">
        <v>58</v>
      </c>
      <c r="J2995">
        <v>899</v>
      </c>
      <c r="K2995">
        <v>295</v>
      </c>
      <c r="L2995">
        <f t="shared" si="722"/>
        <v>604</v>
      </c>
      <c r="M2995">
        <v>240</v>
      </c>
      <c r="N2995">
        <f t="shared" si="723"/>
        <v>364</v>
      </c>
    </row>
    <row r="2996" spans="1:14" x14ac:dyDescent="0.2">
      <c r="A2996" t="s">
        <v>3745</v>
      </c>
      <c r="B2996" s="1" t="s">
        <v>3694</v>
      </c>
      <c r="C2996" t="s">
        <v>14</v>
      </c>
      <c r="D2996" t="s">
        <v>379</v>
      </c>
      <c r="E2996">
        <v>26</v>
      </c>
      <c r="F2996" t="s">
        <v>3249</v>
      </c>
      <c r="G2996">
        <v>2023</v>
      </c>
      <c r="H2996" t="s">
        <v>705</v>
      </c>
      <c r="I2996" t="s">
        <v>62</v>
      </c>
      <c r="J2996">
        <v>799</v>
      </c>
      <c r="K2996">
        <v>205</v>
      </c>
      <c r="L2996">
        <f t="shared" si="722"/>
        <v>594</v>
      </c>
      <c r="M2996">
        <v>240</v>
      </c>
      <c r="N2996">
        <f t="shared" si="723"/>
        <v>354</v>
      </c>
    </row>
    <row r="2997" spans="1:14" x14ac:dyDescent="0.2">
      <c r="A2997" t="s">
        <v>3746</v>
      </c>
      <c r="B2997" s="1" t="s">
        <v>3697</v>
      </c>
      <c r="C2997" t="s">
        <v>14</v>
      </c>
      <c r="D2997" t="s">
        <v>45</v>
      </c>
      <c r="E2997">
        <v>27</v>
      </c>
      <c r="F2997" t="s">
        <v>3249</v>
      </c>
      <c r="G2997">
        <v>2023</v>
      </c>
      <c r="H2997" t="s">
        <v>3747</v>
      </c>
      <c r="I2997" t="s">
        <v>19</v>
      </c>
      <c r="J2997">
        <v>899</v>
      </c>
      <c r="K2997">
        <v>295</v>
      </c>
      <c r="L2997">
        <f t="shared" si="722"/>
        <v>604</v>
      </c>
      <c r="M2997">
        <v>240</v>
      </c>
      <c r="N2997">
        <f t="shared" si="723"/>
        <v>364</v>
      </c>
    </row>
    <row r="2998" spans="1:14" x14ac:dyDescent="0.2">
      <c r="A2998" t="s">
        <v>3695</v>
      </c>
      <c r="B2998" s="1" t="s">
        <v>3694</v>
      </c>
      <c r="C2998" t="s">
        <v>14</v>
      </c>
      <c r="D2998" t="s">
        <v>448</v>
      </c>
      <c r="E2998">
        <v>26</v>
      </c>
      <c r="F2998" t="s">
        <v>3249</v>
      </c>
      <c r="G2998">
        <v>2023</v>
      </c>
      <c r="H2998" t="s">
        <v>314</v>
      </c>
      <c r="I2998" t="s">
        <v>58</v>
      </c>
      <c r="J2998">
        <v>899</v>
      </c>
      <c r="K2998">
        <v>295</v>
      </c>
      <c r="L2998">
        <f t="shared" si="722"/>
        <v>604</v>
      </c>
      <c r="M2998">
        <v>240</v>
      </c>
      <c r="N2998">
        <f t="shared" si="723"/>
        <v>364</v>
      </c>
    </row>
    <row r="2999" spans="1:14" x14ac:dyDescent="0.2">
      <c r="A2999" t="s">
        <v>3748</v>
      </c>
      <c r="B2999" s="1" t="s">
        <v>3697</v>
      </c>
      <c r="C2999" t="s">
        <v>14</v>
      </c>
      <c r="D2999" t="s">
        <v>819</v>
      </c>
      <c r="E2999">
        <v>27</v>
      </c>
      <c r="F2999" t="s">
        <v>3249</v>
      </c>
      <c r="G2999">
        <v>2023</v>
      </c>
      <c r="H2999" t="s">
        <v>208</v>
      </c>
      <c r="I2999" t="s">
        <v>97</v>
      </c>
      <c r="J2999">
        <v>999</v>
      </c>
      <c r="K2999">
        <v>325</v>
      </c>
      <c r="L2999">
        <f t="shared" si="722"/>
        <v>674</v>
      </c>
      <c r="M2999">
        <v>240</v>
      </c>
      <c r="N2999">
        <f t="shared" si="723"/>
        <v>434</v>
      </c>
    </row>
    <row r="3000" spans="1:14" x14ac:dyDescent="0.2">
      <c r="A3000" t="s">
        <v>3749</v>
      </c>
      <c r="B3000" s="1" t="s">
        <v>3697</v>
      </c>
      <c r="C3000" t="s">
        <v>14</v>
      </c>
      <c r="D3000" t="s">
        <v>573</v>
      </c>
      <c r="E3000">
        <v>27</v>
      </c>
      <c r="F3000" t="s">
        <v>3249</v>
      </c>
      <c r="G3000">
        <v>2023</v>
      </c>
      <c r="H3000" t="s">
        <v>3747</v>
      </c>
      <c r="I3000" t="s">
        <v>19</v>
      </c>
      <c r="J3000">
        <v>899</v>
      </c>
      <c r="K3000">
        <v>295</v>
      </c>
      <c r="L3000">
        <f t="shared" si="722"/>
        <v>604</v>
      </c>
      <c r="M3000">
        <v>240</v>
      </c>
      <c r="N3000">
        <f t="shared" si="723"/>
        <v>364</v>
      </c>
    </row>
    <row r="3001" spans="1:14" x14ac:dyDescent="0.2">
      <c r="A3001" t="s">
        <v>3267</v>
      </c>
      <c r="B3001" s="1" t="s">
        <v>3259</v>
      </c>
      <c r="C3001" t="s">
        <v>106</v>
      </c>
      <c r="D3001" t="s">
        <v>993</v>
      </c>
      <c r="E3001">
        <v>2</v>
      </c>
      <c r="F3001" t="s">
        <v>3249</v>
      </c>
      <c r="G3001">
        <v>2023</v>
      </c>
      <c r="H3001" t="s">
        <v>170</v>
      </c>
      <c r="I3001" t="s">
        <v>171</v>
      </c>
      <c r="J3001">
        <v>-799</v>
      </c>
      <c r="K3001">
        <v>320</v>
      </c>
      <c r="L3001">
        <f>J3001+K3001</f>
        <v>-479</v>
      </c>
      <c r="M3001">
        <v>240</v>
      </c>
      <c r="N3001">
        <f>L3001+M3001</f>
        <v>-239</v>
      </c>
    </row>
    <row r="3002" spans="1:14" x14ac:dyDescent="0.2">
      <c r="A3002" t="s">
        <v>3750</v>
      </c>
      <c r="B3002" s="1" t="s">
        <v>3694</v>
      </c>
      <c r="C3002" t="s">
        <v>14</v>
      </c>
      <c r="D3002" t="s">
        <v>81</v>
      </c>
      <c r="E3002">
        <v>26</v>
      </c>
      <c r="F3002" t="s">
        <v>3249</v>
      </c>
      <c r="G3002">
        <v>2023</v>
      </c>
      <c r="H3002" t="s">
        <v>104</v>
      </c>
      <c r="I3002" t="s">
        <v>62</v>
      </c>
      <c r="J3002">
        <v>849</v>
      </c>
      <c r="K3002">
        <v>250</v>
      </c>
      <c r="L3002">
        <f t="shared" ref="L3002:L3007" si="724">J3002-K3002</f>
        <v>599</v>
      </c>
      <c r="M3002">
        <v>240</v>
      </c>
      <c r="N3002">
        <f t="shared" ref="N3002:N3007" si="725">L3002-M3002</f>
        <v>359</v>
      </c>
    </row>
    <row r="3003" spans="1:14" x14ac:dyDescent="0.2">
      <c r="A3003" t="s">
        <v>3751</v>
      </c>
      <c r="B3003" s="1" t="s">
        <v>3697</v>
      </c>
      <c r="C3003" t="s">
        <v>14</v>
      </c>
      <c r="D3003" t="s">
        <v>425</v>
      </c>
      <c r="E3003">
        <v>27</v>
      </c>
      <c r="F3003" t="s">
        <v>3249</v>
      </c>
      <c r="G3003">
        <v>2023</v>
      </c>
      <c r="H3003" t="s">
        <v>3752</v>
      </c>
      <c r="I3003" t="s">
        <v>257</v>
      </c>
      <c r="J3003">
        <v>799</v>
      </c>
      <c r="K3003">
        <v>205</v>
      </c>
      <c r="L3003">
        <f t="shared" si="724"/>
        <v>594</v>
      </c>
      <c r="M3003">
        <v>240</v>
      </c>
      <c r="N3003">
        <f t="shared" si="725"/>
        <v>354</v>
      </c>
    </row>
    <row r="3004" spans="1:14" x14ac:dyDescent="0.2">
      <c r="A3004" t="s">
        <v>3753</v>
      </c>
      <c r="B3004" s="1" t="s">
        <v>3697</v>
      </c>
      <c r="C3004" t="s">
        <v>14</v>
      </c>
      <c r="D3004" t="s">
        <v>81</v>
      </c>
      <c r="E3004">
        <v>27</v>
      </c>
      <c r="F3004" t="s">
        <v>3249</v>
      </c>
      <c r="G3004">
        <v>2023</v>
      </c>
      <c r="H3004" t="s">
        <v>185</v>
      </c>
      <c r="I3004" t="s">
        <v>62</v>
      </c>
      <c r="J3004">
        <v>849</v>
      </c>
      <c r="K3004">
        <v>250</v>
      </c>
      <c r="L3004">
        <f t="shared" si="724"/>
        <v>599</v>
      </c>
      <c r="M3004">
        <v>240</v>
      </c>
      <c r="N3004">
        <f t="shared" si="725"/>
        <v>359</v>
      </c>
    </row>
    <row r="3005" spans="1:14" x14ac:dyDescent="0.2">
      <c r="A3005" t="s">
        <v>3754</v>
      </c>
      <c r="B3005" s="1" t="s">
        <v>3697</v>
      </c>
      <c r="C3005" t="s">
        <v>14</v>
      </c>
      <c r="D3005" t="s">
        <v>452</v>
      </c>
      <c r="E3005">
        <v>27</v>
      </c>
      <c r="F3005" t="s">
        <v>3249</v>
      </c>
      <c r="G3005">
        <v>2023</v>
      </c>
      <c r="H3005" t="s">
        <v>3755</v>
      </c>
      <c r="I3005" t="s">
        <v>1742</v>
      </c>
      <c r="J3005">
        <v>799</v>
      </c>
      <c r="K3005">
        <v>205</v>
      </c>
      <c r="L3005">
        <f t="shared" si="724"/>
        <v>594</v>
      </c>
      <c r="M3005">
        <v>240</v>
      </c>
      <c r="N3005">
        <f t="shared" si="725"/>
        <v>354</v>
      </c>
    </row>
    <row r="3006" spans="1:14" x14ac:dyDescent="0.2">
      <c r="A3006" t="s">
        <v>3756</v>
      </c>
      <c r="B3006" s="1" t="s">
        <v>3697</v>
      </c>
      <c r="C3006" t="s">
        <v>14</v>
      </c>
      <c r="D3006" t="s">
        <v>81</v>
      </c>
      <c r="E3006">
        <v>27</v>
      </c>
      <c r="F3006" t="s">
        <v>3249</v>
      </c>
      <c r="G3006">
        <v>2023</v>
      </c>
      <c r="H3006" t="s">
        <v>3612</v>
      </c>
      <c r="I3006" t="s">
        <v>85</v>
      </c>
      <c r="J3006">
        <v>849</v>
      </c>
      <c r="K3006">
        <v>250</v>
      </c>
      <c r="L3006">
        <f t="shared" si="724"/>
        <v>599</v>
      </c>
      <c r="M3006">
        <v>240</v>
      </c>
      <c r="N3006">
        <f t="shared" si="725"/>
        <v>359</v>
      </c>
    </row>
    <row r="3007" spans="1:14" x14ac:dyDescent="0.2">
      <c r="A3007" t="s">
        <v>3757</v>
      </c>
      <c r="B3007" s="1" t="s">
        <v>3694</v>
      </c>
      <c r="C3007" t="s">
        <v>14</v>
      </c>
      <c r="D3007" t="s">
        <v>169</v>
      </c>
      <c r="E3007">
        <v>26</v>
      </c>
      <c r="F3007" t="s">
        <v>3249</v>
      </c>
      <c r="G3007">
        <v>2023</v>
      </c>
      <c r="H3007" t="s">
        <v>3758</v>
      </c>
      <c r="I3007" t="s">
        <v>28</v>
      </c>
      <c r="J3007">
        <v>799</v>
      </c>
      <c r="K3007">
        <v>205</v>
      </c>
      <c r="L3007">
        <f t="shared" si="724"/>
        <v>594</v>
      </c>
      <c r="M3007">
        <v>240</v>
      </c>
      <c r="N3007">
        <f t="shared" si="725"/>
        <v>354</v>
      </c>
    </row>
    <row r="3008" spans="1:14" x14ac:dyDescent="0.2">
      <c r="A3008" t="s">
        <v>3717</v>
      </c>
      <c r="B3008" s="1" t="s">
        <v>3694</v>
      </c>
      <c r="C3008" t="s">
        <v>106</v>
      </c>
      <c r="D3008" t="s">
        <v>993</v>
      </c>
      <c r="E3008">
        <v>26</v>
      </c>
      <c r="F3008" t="s">
        <v>3249</v>
      </c>
      <c r="G3008">
        <v>2023</v>
      </c>
      <c r="H3008" t="s">
        <v>157</v>
      </c>
      <c r="I3008" t="s">
        <v>97</v>
      </c>
      <c r="J3008">
        <v>-799</v>
      </c>
      <c r="K3008">
        <v>320</v>
      </c>
      <c r="L3008">
        <f>J3008+K3008</f>
        <v>-479</v>
      </c>
      <c r="M3008">
        <v>240</v>
      </c>
      <c r="N3008">
        <f>L3008+M3008</f>
        <v>-239</v>
      </c>
    </row>
    <row r="3009" spans="1:14" x14ac:dyDescent="0.2">
      <c r="A3009" t="s">
        <v>3759</v>
      </c>
      <c r="B3009" s="1" t="s">
        <v>3728</v>
      </c>
      <c r="C3009" t="s">
        <v>43</v>
      </c>
      <c r="D3009" t="s">
        <v>133</v>
      </c>
      <c r="E3009">
        <v>28</v>
      </c>
      <c r="F3009" t="s">
        <v>3249</v>
      </c>
      <c r="G3009">
        <v>2023</v>
      </c>
      <c r="H3009" t="s">
        <v>3760</v>
      </c>
      <c r="I3009" t="s">
        <v>97</v>
      </c>
      <c r="J3009">
        <v>0</v>
      </c>
      <c r="K3009">
        <v>0</v>
      </c>
      <c r="L3009">
        <v>0</v>
      </c>
      <c r="M3009">
        <v>0</v>
      </c>
      <c r="N3009">
        <v>0</v>
      </c>
    </row>
    <row r="3010" spans="1:14" x14ac:dyDescent="0.2">
      <c r="A3010" t="s">
        <v>3762</v>
      </c>
      <c r="B3010" s="1" t="s">
        <v>3761</v>
      </c>
      <c r="C3010" t="s">
        <v>43</v>
      </c>
      <c r="D3010" t="s">
        <v>798</v>
      </c>
      <c r="E3010">
        <v>29</v>
      </c>
      <c r="F3010" t="s">
        <v>3249</v>
      </c>
      <c r="G3010">
        <v>2023</v>
      </c>
      <c r="H3010" t="s">
        <v>3763</v>
      </c>
      <c r="I3010" t="s">
        <v>135</v>
      </c>
      <c r="J3010">
        <v>0</v>
      </c>
      <c r="K3010">
        <v>0</v>
      </c>
      <c r="L3010">
        <v>0</v>
      </c>
      <c r="M3010">
        <v>0</v>
      </c>
      <c r="N3010">
        <v>0</v>
      </c>
    </row>
    <row r="3011" spans="1:14" x14ac:dyDescent="0.2">
      <c r="A3011" t="s">
        <v>3640</v>
      </c>
      <c r="B3011" s="1" t="s">
        <v>3602</v>
      </c>
      <c r="C3011" t="s">
        <v>106</v>
      </c>
      <c r="D3011" t="s">
        <v>1218</v>
      </c>
      <c r="E3011">
        <v>21</v>
      </c>
      <c r="F3011" t="s">
        <v>3249</v>
      </c>
      <c r="G3011">
        <v>2023</v>
      </c>
      <c r="H3011" t="s">
        <v>3641</v>
      </c>
      <c r="I3011" t="s">
        <v>253</v>
      </c>
      <c r="J3011">
        <v>-799</v>
      </c>
      <c r="K3011">
        <v>320</v>
      </c>
      <c r="L3011">
        <f>J3011+K3011</f>
        <v>-479</v>
      </c>
      <c r="M3011">
        <v>240</v>
      </c>
      <c r="N3011">
        <f>L3011+M3011</f>
        <v>-239</v>
      </c>
    </row>
    <row r="3012" spans="1:14" x14ac:dyDescent="0.2">
      <c r="A3012" t="s">
        <v>3764</v>
      </c>
      <c r="B3012" s="1" t="s">
        <v>3761</v>
      </c>
      <c r="C3012" t="s">
        <v>43</v>
      </c>
      <c r="D3012" t="s">
        <v>1215</v>
      </c>
      <c r="E3012">
        <v>29</v>
      </c>
      <c r="F3012" t="s">
        <v>3249</v>
      </c>
      <c r="G3012">
        <v>2023</v>
      </c>
      <c r="H3012" t="s">
        <v>395</v>
      </c>
      <c r="I3012" t="s">
        <v>28</v>
      </c>
      <c r="J3012">
        <v>0</v>
      </c>
      <c r="K3012">
        <v>0</v>
      </c>
      <c r="L3012">
        <v>0</v>
      </c>
      <c r="M3012">
        <v>0</v>
      </c>
      <c r="N3012">
        <v>0</v>
      </c>
    </row>
    <row r="3013" spans="1:14" x14ac:dyDescent="0.2">
      <c r="A3013" t="s">
        <v>3765</v>
      </c>
      <c r="B3013" s="1" t="s">
        <v>3728</v>
      </c>
      <c r="C3013" t="s">
        <v>43</v>
      </c>
      <c r="D3013" t="s">
        <v>1508</v>
      </c>
      <c r="E3013">
        <v>28</v>
      </c>
      <c r="F3013" t="s">
        <v>3249</v>
      </c>
      <c r="G3013">
        <v>2023</v>
      </c>
      <c r="H3013" t="s">
        <v>1128</v>
      </c>
      <c r="I3013" t="s">
        <v>97</v>
      </c>
      <c r="J3013">
        <v>0</v>
      </c>
      <c r="K3013">
        <v>0</v>
      </c>
      <c r="L3013">
        <v>0</v>
      </c>
      <c r="M3013">
        <v>0</v>
      </c>
      <c r="N3013">
        <v>0</v>
      </c>
    </row>
    <row r="3014" spans="1:14" x14ac:dyDescent="0.2">
      <c r="A3014" t="s">
        <v>3765</v>
      </c>
      <c r="B3014" s="1" t="s">
        <v>3728</v>
      </c>
      <c r="C3014" t="s">
        <v>43</v>
      </c>
      <c r="D3014" t="s">
        <v>1338</v>
      </c>
      <c r="E3014">
        <v>28</v>
      </c>
      <c r="F3014" t="s">
        <v>3249</v>
      </c>
      <c r="G3014">
        <v>2023</v>
      </c>
      <c r="H3014" t="s">
        <v>1128</v>
      </c>
      <c r="I3014" t="s">
        <v>97</v>
      </c>
      <c r="J3014">
        <v>0</v>
      </c>
      <c r="K3014">
        <v>0</v>
      </c>
      <c r="L3014">
        <v>0</v>
      </c>
      <c r="M3014">
        <v>0</v>
      </c>
      <c r="N3014">
        <v>0</v>
      </c>
    </row>
    <row r="3015" spans="1:14" x14ac:dyDescent="0.2">
      <c r="A3015" t="s">
        <v>3681</v>
      </c>
      <c r="B3015" s="1" t="s">
        <v>3606</v>
      </c>
      <c r="C3015" t="s">
        <v>106</v>
      </c>
      <c r="D3015" t="s">
        <v>1303</v>
      </c>
      <c r="E3015">
        <v>23</v>
      </c>
      <c r="F3015" t="s">
        <v>3249</v>
      </c>
      <c r="G3015">
        <v>2023</v>
      </c>
      <c r="H3015" t="s">
        <v>272</v>
      </c>
      <c r="I3015" t="s">
        <v>23</v>
      </c>
      <c r="J3015">
        <v>-849</v>
      </c>
      <c r="K3015">
        <v>345</v>
      </c>
      <c r="L3015">
        <f t="shared" ref="L3015:L3017" si="726">J3015+K3015</f>
        <v>-504</v>
      </c>
      <c r="M3015">
        <v>240</v>
      </c>
      <c r="N3015">
        <f t="shared" ref="N3015:N3017" si="727">L3015+M3015</f>
        <v>-264</v>
      </c>
    </row>
    <row r="3016" spans="1:14" x14ac:dyDescent="0.2">
      <c r="A3016" t="s">
        <v>3708</v>
      </c>
      <c r="B3016" s="1" t="s">
        <v>3694</v>
      </c>
      <c r="C3016" t="s">
        <v>106</v>
      </c>
      <c r="D3016" t="s">
        <v>504</v>
      </c>
      <c r="E3016">
        <v>26</v>
      </c>
      <c r="F3016" t="s">
        <v>3249</v>
      </c>
      <c r="G3016">
        <v>2023</v>
      </c>
      <c r="H3016" t="s">
        <v>215</v>
      </c>
      <c r="I3016" t="s">
        <v>135</v>
      </c>
      <c r="J3016">
        <v>-899</v>
      </c>
      <c r="K3016">
        <v>375</v>
      </c>
      <c r="L3016">
        <f t="shared" si="726"/>
        <v>-524</v>
      </c>
      <c r="M3016">
        <v>240</v>
      </c>
      <c r="N3016">
        <f t="shared" si="727"/>
        <v>-284</v>
      </c>
    </row>
    <row r="3017" spans="1:14" x14ac:dyDescent="0.2">
      <c r="A3017" t="s">
        <v>3663</v>
      </c>
      <c r="B3017" s="1" t="s">
        <v>3606</v>
      </c>
      <c r="C3017" t="s">
        <v>106</v>
      </c>
      <c r="D3017" t="s">
        <v>81</v>
      </c>
      <c r="E3017">
        <v>23</v>
      </c>
      <c r="F3017" t="s">
        <v>3249</v>
      </c>
      <c r="G3017">
        <v>2023</v>
      </c>
      <c r="H3017" t="s">
        <v>3655</v>
      </c>
      <c r="I3017" t="s">
        <v>135</v>
      </c>
      <c r="J3017">
        <v>-849</v>
      </c>
      <c r="K3017">
        <v>345</v>
      </c>
      <c r="L3017">
        <f t="shared" si="726"/>
        <v>-504</v>
      </c>
      <c r="M3017">
        <v>240</v>
      </c>
      <c r="N3017">
        <f t="shared" si="727"/>
        <v>-264</v>
      </c>
    </row>
    <row r="3018" spans="1:14" x14ac:dyDescent="0.2">
      <c r="A3018" t="s">
        <v>3766</v>
      </c>
      <c r="B3018" s="1" t="s">
        <v>3761</v>
      </c>
      <c r="C3018" t="s">
        <v>14</v>
      </c>
      <c r="D3018" t="s">
        <v>2750</v>
      </c>
      <c r="E3018">
        <v>29</v>
      </c>
      <c r="F3018" t="s">
        <v>3249</v>
      </c>
      <c r="G3018">
        <v>2023</v>
      </c>
      <c r="H3018" t="s">
        <v>3767</v>
      </c>
      <c r="I3018" t="s">
        <v>28</v>
      </c>
      <c r="J3018">
        <v>849</v>
      </c>
      <c r="K3018">
        <v>250</v>
      </c>
      <c r="L3018">
        <f t="shared" ref="L3018:L3027" si="728">J3018-K3018</f>
        <v>599</v>
      </c>
      <c r="M3018">
        <v>240</v>
      </c>
      <c r="N3018">
        <f t="shared" ref="N3018:N3027" si="729">L3018-M3018</f>
        <v>359</v>
      </c>
    </row>
    <row r="3019" spans="1:14" x14ac:dyDescent="0.2">
      <c r="A3019" t="s">
        <v>3768</v>
      </c>
      <c r="B3019" s="1" t="s">
        <v>3728</v>
      </c>
      <c r="C3019" t="s">
        <v>14</v>
      </c>
      <c r="D3019" t="s">
        <v>242</v>
      </c>
      <c r="E3019">
        <v>28</v>
      </c>
      <c r="F3019" t="s">
        <v>3249</v>
      </c>
      <c r="G3019">
        <v>2023</v>
      </c>
      <c r="H3019" t="s">
        <v>2162</v>
      </c>
      <c r="I3019" t="s">
        <v>2162</v>
      </c>
      <c r="J3019">
        <v>899</v>
      </c>
      <c r="K3019">
        <v>295</v>
      </c>
      <c r="L3019">
        <f t="shared" si="728"/>
        <v>604</v>
      </c>
      <c r="M3019">
        <v>240</v>
      </c>
      <c r="N3019">
        <f t="shared" si="729"/>
        <v>364</v>
      </c>
    </row>
    <row r="3020" spans="1:14" x14ac:dyDescent="0.2">
      <c r="A3020" t="s">
        <v>3769</v>
      </c>
      <c r="B3020" s="1" t="s">
        <v>3728</v>
      </c>
      <c r="C3020" t="s">
        <v>14</v>
      </c>
      <c r="D3020" t="s">
        <v>242</v>
      </c>
      <c r="E3020">
        <v>28</v>
      </c>
      <c r="F3020" t="s">
        <v>3249</v>
      </c>
      <c r="G3020">
        <v>2023</v>
      </c>
      <c r="H3020" t="s">
        <v>3770</v>
      </c>
      <c r="I3020" t="s">
        <v>502</v>
      </c>
      <c r="J3020">
        <v>899</v>
      </c>
      <c r="K3020">
        <v>295</v>
      </c>
      <c r="L3020">
        <f t="shared" si="728"/>
        <v>604</v>
      </c>
      <c r="M3020">
        <v>240</v>
      </c>
      <c r="N3020">
        <f t="shared" si="729"/>
        <v>364</v>
      </c>
    </row>
    <row r="3021" spans="1:14" x14ac:dyDescent="0.2">
      <c r="A3021" t="s">
        <v>3771</v>
      </c>
      <c r="B3021" s="1" t="s">
        <v>3697</v>
      </c>
      <c r="C3021" t="s">
        <v>14</v>
      </c>
      <c r="D3021" t="s">
        <v>1548</v>
      </c>
      <c r="E3021">
        <v>27</v>
      </c>
      <c r="F3021" t="s">
        <v>3249</v>
      </c>
      <c r="G3021">
        <v>2023</v>
      </c>
      <c r="H3021" t="s">
        <v>3772</v>
      </c>
      <c r="I3021" t="s">
        <v>23</v>
      </c>
      <c r="J3021">
        <v>799</v>
      </c>
      <c r="K3021">
        <v>205</v>
      </c>
      <c r="L3021">
        <f t="shared" si="728"/>
        <v>594</v>
      </c>
      <c r="M3021">
        <v>240</v>
      </c>
      <c r="N3021">
        <f t="shared" si="729"/>
        <v>354</v>
      </c>
    </row>
    <row r="3022" spans="1:14" x14ac:dyDescent="0.2">
      <c r="A3022" t="s">
        <v>3773</v>
      </c>
      <c r="B3022" s="1" t="s">
        <v>3728</v>
      </c>
      <c r="C3022" t="s">
        <v>14</v>
      </c>
      <c r="D3022" t="s">
        <v>81</v>
      </c>
      <c r="E3022">
        <v>28</v>
      </c>
      <c r="F3022" t="s">
        <v>3249</v>
      </c>
      <c r="G3022">
        <v>2023</v>
      </c>
      <c r="H3022" t="s">
        <v>3774</v>
      </c>
      <c r="I3022" t="s">
        <v>28</v>
      </c>
      <c r="J3022">
        <v>849</v>
      </c>
      <c r="K3022">
        <v>250</v>
      </c>
      <c r="L3022">
        <f t="shared" si="728"/>
        <v>599</v>
      </c>
      <c r="M3022">
        <v>240</v>
      </c>
      <c r="N3022">
        <f t="shared" si="729"/>
        <v>359</v>
      </c>
    </row>
    <row r="3023" spans="1:14" x14ac:dyDescent="0.2">
      <c r="A3023" t="s">
        <v>3775</v>
      </c>
      <c r="B3023" s="1" t="s">
        <v>3728</v>
      </c>
      <c r="C3023" t="s">
        <v>14</v>
      </c>
      <c r="D3023" t="s">
        <v>1338</v>
      </c>
      <c r="E3023">
        <v>28</v>
      </c>
      <c r="F3023" t="s">
        <v>3249</v>
      </c>
      <c r="G3023">
        <v>2023</v>
      </c>
      <c r="H3023" t="s">
        <v>215</v>
      </c>
      <c r="I3023" t="s">
        <v>135</v>
      </c>
      <c r="J3023">
        <v>799</v>
      </c>
      <c r="K3023">
        <v>205</v>
      </c>
      <c r="L3023">
        <f t="shared" si="728"/>
        <v>594</v>
      </c>
      <c r="M3023">
        <v>240</v>
      </c>
      <c r="N3023">
        <f t="shared" si="729"/>
        <v>354</v>
      </c>
    </row>
    <row r="3024" spans="1:14" x14ac:dyDescent="0.2">
      <c r="A3024" t="s">
        <v>3776</v>
      </c>
      <c r="B3024" s="1" t="s">
        <v>3728</v>
      </c>
      <c r="C3024" t="s">
        <v>14</v>
      </c>
      <c r="D3024" t="s">
        <v>81</v>
      </c>
      <c r="E3024">
        <v>28</v>
      </c>
      <c r="F3024" t="s">
        <v>3249</v>
      </c>
      <c r="G3024">
        <v>2023</v>
      </c>
      <c r="H3024" t="s">
        <v>84</v>
      </c>
      <c r="I3024" t="s">
        <v>85</v>
      </c>
      <c r="J3024">
        <v>849</v>
      </c>
      <c r="K3024">
        <v>250</v>
      </c>
      <c r="L3024">
        <f t="shared" si="728"/>
        <v>599</v>
      </c>
      <c r="M3024">
        <v>240</v>
      </c>
      <c r="N3024">
        <f t="shared" si="729"/>
        <v>359</v>
      </c>
    </row>
    <row r="3025" spans="1:14" x14ac:dyDescent="0.2">
      <c r="A3025" t="s">
        <v>3729</v>
      </c>
      <c r="B3025" s="1" t="s">
        <v>3728</v>
      </c>
      <c r="C3025" t="s">
        <v>14</v>
      </c>
      <c r="D3025" t="s">
        <v>242</v>
      </c>
      <c r="E3025">
        <v>28</v>
      </c>
      <c r="F3025" t="s">
        <v>3249</v>
      </c>
      <c r="G3025">
        <v>2023</v>
      </c>
      <c r="H3025" t="s">
        <v>3730</v>
      </c>
      <c r="I3025" t="s">
        <v>23</v>
      </c>
      <c r="J3025">
        <v>899</v>
      </c>
      <c r="K3025">
        <v>295</v>
      </c>
      <c r="L3025">
        <f t="shared" si="728"/>
        <v>604</v>
      </c>
      <c r="M3025">
        <v>240</v>
      </c>
      <c r="N3025">
        <f t="shared" si="729"/>
        <v>364</v>
      </c>
    </row>
    <row r="3026" spans="1:14" x14ac:dyDescent="0.2">
      <c r="A3026" t="s">
        <v>3729</v>
      </c>
      <c r="B3026" s="1" t="s">
        <v>3728</v>
      </c>
      <c r="C3026" t="s">
        <v>14</v>
      </c>
      <c r="D3026" t="s">
        <v>445</v>
      </c>
      <c r="E3026">
        <v>28</v>
      </c>
      <c r="F3026" t="s">
        <v>3249</v>
      </c>
      <c r="G3026">
        <v>2023</v>
      </c>
      <c r="H3026" t="s">
        <v>3730</v>
      </c>
      <c r="I3026" t="s">
        <v>23</v>
      </c>
      <c r="J3026">
        <v>899</v>
      </c>
      <c r="K3026">
        <v>295</v>
      </c>
      <c r="L3026">
        <f t="shared" si="728"/>
        <v>604</v>
      </c>
      <c r="M3026">
        <v>240</v>
      </c>
      <c r="N3026">
        <f t="shared" si="729"/>
        <v>364</v>
      </c>
    </row>
    <row r="3027" spans="1:14" x14ac:dyDescent="0.2">
      <c r="A3027" t="s">
        <v>3777</v>
      </c>
      <c r="B3027" s="1" t="s">
        <v>3728</v>
      </c>
      <c r="C3027" t="s">
        <v>14</v>
      </c>
      <c r="D3027" t="s">
        <v>242</v>
      </c>
      <c r="E3027">
        <v>28</v>
      </c>
      <c r="F3027" t="s">
        <v>3249</v>
      </c>
      <c r="G3027">
        <v>2023</v>
      </c>
      <c r="H3027" t="s">
        <v>170</v>
      </c>
      <c r="I3027" t="s">
        <v>171</v>
      </c>
      <c r="J3027">
        <v>899</v>
      </c>
      <c r="K3027">
        <v>295</v>
      </c>
      <c r="L3027">
        <f t="shared" si="728"/>
        <v>604</v>
      </c>
      <c r="M3027">
        <v>240</v>
      </c>
      <c r="N3027">
        <f t="shared" si="729"/>
        <v>364</v>
      </c>
    </row>
    <row r="3028" spans="1:14" x14ac:dyDescent="0.2">
      <c r="A3028" t="s">
        <v>3778</v>
      </c>
      <c r="B3028" s="1" t="s">
        <v>3728</v>
      </c>
      <c r="C3028" t="s">
        <v>20</v>
      </c>
      <c r="D3028" t="s">
        <v>1228</v>
      </c>
      <c r="E3028">
        <v>28</v>
      </c>
      <c r="F3028" t="s">
        <v>3249</v>
      </c>
      <c r="G3028">
        <v>2023</v>
      </c>
      <c r="H3028" t="s">
        <v>549</v>
      </c>
      <c r="I3028" t="s">
        <v>163</v>
      </c>
      <c r="J3028">
        <v>0</v>
      </c>
      <c r="K3028">
        <v>0</v>
      </c>
      <c r="L3028">
        <v>0</v>
      </c>
      <c r="M3028">
        <v>0</v>
      </c>
      <c r="N3028">
        <v>0</v>
      </c>
    </row>
    <row r="3029" spans="1:14" x14ac:dyDescent="0.2">
      <c r="A3029" t="s">
        <v>3779</v>
      </c>
      <c r="B3029" s="1" t="s">
        <v>3761</v>
      </c>
      <c r="C3029" t="s">
        <v>14</v>
      </c>
      <c r="D3029" t="s">
        <v>169</v>
      </c>
      <c r="E3029">
        <v>29</v>
      </c>
      <c r="F3029" t="s">
        <v>3249</v>
      </c>
      <c r="G3029">
        <v>2023</v>
      </c>
      <c r="H3029" t="s">
        <v>3780</v>
      </c>
      <c r="I3029" t="s">
        <v>62</v>
      </c>
      <c r="J3029">
        <v>799</v>
      </c>
      <c r="K3029">
        <v>205</v>
      </c>
      <c r="L3029">
        <f t="shared" ref="L3029:L3048" si="730">J3029-K3029</f>
        <v>594</v>
      </c>
      <c r="M3029">
        <v>240</v>
      </c>
      <c r="N3029">
        <f t="shared" ref="N3029:N3048" si="731">L3029-M3029</f>
        <v>354</v>
      </c>
    </row>
    <row r="3030" spans="1:14" x14ac:dyDescent="0.2">
      <c r="A3030" t="s">
        <v>3781</v>
      </c>
      <c r="B3030" s="1" t="s">
        <v>3728</v>
      </c>
      <c r="C3030" t="s">
        <v>14</v>
      </c>
      <c r="D3030" t="s">
        <v>169</v>
      </c>
      <c r="E3030">
        <v>28</v>
      </c>
      <c r="F3030" t="s">
        <v>3249</v>
      </c>
      <c r="G3030">
        <v>2023</v>
      </c>
      <c r="H3030" t="s">
        <v>91</v>
      </c>
      <c r="I3030" t="s">
        <v>23</v>
      </c>
      <c r="J3030">
        <v>799</v>
      </c>
      <c r="K3030">
        <v>205</v>
      </c>
      <c r="L3030">
        <f t="shared" si="730"/>
        <v>594</v>
      </c>
      <c r="M3030">
        <v>240</v>
      </c>
      <c r="N3030">
        <f t="shared" si="731"/>
        <v>354</v>
      </c>
    </row>
    <row r="3031" spans="1:14" x14ac:dyDescent="0.2">
      <c r="A3031" t="s">
        <v>3782</v>
      </c>
      <c r="B3031" s="1" t="s">
        <v>3761</v>
      </c>
      <c r="C3031" t="s">
        <v>14</v>
      </c>
      <c r="D3031" t="s">
        <v>923</v>
      </c>
      <c r="E3031">
        <v>29</v>
      </c>
      <c r="F3031" t="s">
        <v>3249</v>
      </c>
      <c r="G3031">
        <v>2023</v>
      </c>
      <c r="H3031" t="s">
        <v>157</v>
      </c>
      <c r="I3031" t="s">
        <v>97</v>
      </c>
      <c r="J3031">
        <v>849</v>
      </c>
      <c r="K3031">
        <v>250</v>
      </c>
      <c r="L3031">
        <f t="shared" si="730"/>
        <v>599</v>
      </c>
      <c r="M3031">
        <v>240</v>
      </c>
      <c r="N3031">
        <f t="shared" si="731"/>
        <v>359</v>
      </c>
    </row>
    <row r="3032" spans="1:14" x14ac:dyDescent="0.2">
      <c r="A3032" t="s">
        <v>3783</v>
      </c>
      <c r="B3032" s="1" t="s">
        <v>3761</v>
      </c>
      <c r="C3032" t="s">
        <v>14</v>
      </c>
      <c r="D3032" t="s">
        <v>1037</v>
      </c>
      <c r="E3032">
        <v>29</v>
      </c>
      <c r="F3032" t="s">
        <v>3249</v>
      </c>
      <c r="G3032">
        <v>2023</v>
      </c>
      <c r="H3032" t="s">
        <v>3784</v>
      </c>
      <c r="I3032" t="s">
        <v>502</v>
      </c>
      <c r="J3032">
        <v>799</v>
      </c>
      <c r="K3032">
        <v>205</v>
      </c>
      <c r="L3032">
        <f t="shared" si="730"/>
        <v>594</v>
      </c>
      <c r="M3032">
        <v>240</v>
      </c>
      <c r="N3032">
        <f t="shared" si="731"/>
        <v>354</v>
      </c>
    </row>
    <row r="3033" spans="1:14" x14ac:dyDescent="0.2">
      <c r="A3033" t="s">
        <v>3785</v>
      </c>
      <c r="B3033" s="1" t="s">
        <v>3728</v>
      </c>
      <c r="C3033" t="s">
        <v>14</v>
      </c>
      <c r="D3033" t="s">
        <v>1448</v>
      </c>
      <c r="E3033">
        <v>28</v>
      </c>
      <c r="F3033" t="s">
        <v>3249</v>
      </c>
      <c r="G3033">
        <v>2023</v>
      </c>
      <c r="H3033" t="s">
        <v>3786</v>
      </c>
      <c r="I3033" t="s">
        <v>85</v>
      </c>
      <c r="J3033">
        <v>849</v>
      </c>
      <c r="K3033">
        <v>250</v>
      </c>
      <c r="L3033">
        <f t="shared" si="730"/>
        <v>599</v>
      </c>
      <c r="M3033">
        <v>240</v>
      </c>
      <c r="N3033">
        <f t="shared" si="731"/>
        <v>359</v>
      </c>
    </row>
    <row r="3034" spans="1:14" x14ac:dyDescent="0.2">
      <c r="A3034" t="s">
        <v>3787</v>
      </c>
      <c r="B3034" s="1" t="s">
        <v>3761</v>
      </c>
      <c r="C3034" t="s">
        <v>14</v>
      </c>
      <c r="D3034" t="s">
        <v>897</v>
      </c>
      <c r="E3034">
        <v>29</v>
      </c>
      <c r="F3034" t="s">
        <v>3249</v>
      </c>
      <c r="G3034">
        <v>2023</v>
      </c>
      <c r="H3034" t="s">
        <v>3788</v>
      </c>
      <c r="I3034" t="s">
        <v>28</v>
      </c>
      <c r="J3034">
        <v>799</v>
      </c>
      <c r="K3034">
        <v>205</v>
      </c>
      <c r="L3034">
        <f t="shared" si="730"/>
        <v>594</v>
      </c>
      <c r="M3034">
        <v>240</v>
      </c>
      <c r="N3034">
        <f t="shared" si="731"/>
        <v>354</v>
      </c>
    </row>
    <row r="3035" spans="1:14" x14ac:dyDescent="0.2">
      <c r="A3035" t="s">
        <v>3789</v>
      </c>
      <c r="B3035" s="1" t="s">
        <v>3761</v>
      </c>
      <c r="C3035" t="s">
        <v>14</v>
      </c>
      <c r="D3035" t="s">
        <v>133</v>
      </c>
      <c r="E3035">
        <v>29</v>
      </c>
      <c r="F3035" t="s">
        <v>3249</v>
      </c>
      <c r="G3035">
        <v>2023</v>
      </c>
      <c r="H3035" t="s">
        <v>84</v>
      </c>
      <c r="I3035" t="s">
        <v>85</v>
      </c>
      <c r="J3035">
        <v>799</v>
      </c>
      <c r="K3035">
        <v>205</v>
      </c>
      <c r="L3035">
        <f t="shared" si="730"/>
        <v>594</v>
      </c>
      <c r="M3035">
        <v>240</v>
      </c>
      <c r="N3035">
        <f t="shared" si="731"/>
        <v>354</v>
      </c>
    </row>
    <row r="3036" spans="1:14" x14ac:dyDescent="0.2">
      <c r="A3036" t="s">
        <v>3790</v>
      </c>
      <c r="B3036" s="1" t="s">
        <v>3761</v>
      </c>
      <c r="C3036" t="s">
        <v>14</v>
      </c>
      <c r="D3036" t="s">
        <v>1182</v>
      </c>
      <c r="E3036">
        <v>29</v>
      </c>
      <c r="F3036" t="s">
        <v>3249</v>
      </c>
      <c r="G3036">
        <v>2023</v>
      </c>
      <c r="H3036" t="s">
        <v>3515</v>
      </c>
      <c r="I3036" t="s">
        <v>62</v>
      </c>
      <c r="J3036">
        <v>799</v>
      </c>
      <c r="K3036">
        <v>205</v>
      </c>
      <c r="L3036">
        <f t="shared" si="730"/>
        <v>594</v>
      </c>
      <c r="M3036">
        <v>240</v>
      </c>
      <c r="N3036">
        <f t="shared" si="731"/>
        <v>354</v>
      </c>
    </row>
    <row r="3037" spans="1:14" x14ac:dyDescent="0.2">
      <c r="A3037" t="s">
        <v>3791</v>
      </c>
      <c r="B3037" s="1" t="s">
        <v>3761</v>
      </c>
      <c r="C3037" t="s">
        <v>14</v>
      </c>
      <c r="D3037" t="s">
        <v>133</v>
      </c>
      <c r="E3037">
        <v>29</v>
      </c>
      <c r="F3037" t="s">
        <v>3249</v>
      </c>
      <c r="G3037">
        <v>2023</v>
      </c>
      <c r="H3037" t="s">
        <v>3001</v>
      </c>
      <c r="I3037" t="s">
        <v>253</v>
      </c>
      <c r="J3037">
        <v>799</v>
      </c>
      <c r="K3037">
        <v>205</v>
      </c>
      <c r="L3037">
        <f t="shared" si="730"/>
        <v>594</v>
      </c>
      <c r="M3037">
        <v>240</v>
      </c>
      <c r="N3037">
        <f t="shared" si="731"/>
        <v>354</v>
      </c>
    </row>
    <row r="3038" spans="1:14" x14ac:dyDescent="0.2">
      <c r="A3038" t="s">
        <v>3792</v>
      </c>
      <c r="B3038" s="1" t="s">
        <v>3761</v>
      </c>
      <c r="C3038" t="s">
        <v>14</v>
      </c>
      <c r="D3038" t="s">
        <v>792</v>
      </c>
      <c r="E3038">
        <v>29</v>
      </c>
      <c r="F3038" t="s">
        <v>3249</v>
      </c>
      <c r="G3038">
        <v>2023</v>
      </c>
      <c r="H3038" t="s">
        <v>157</v>
      </c>
      <c r="I3038" t="s">
        <v>97</v>
      </c>
      <c r="J3038">
        <v>849</v>
      </c>
      <c r="K3038">
        <v>250</v>
      </c>
      <c r="L3038">
        <f t="shared" si="730"/>
        <v>599</v>
      </c>
      <c r="M3038">
        <v>240</v>
      </c>
      <c r="N3038">
        <f t="shared" si="731"/>
        <v>359</v>
      </c>
    </row>
    <row r="3039" spans="1:14" x14ac:dyDescent="0.2">
      <c r="A3039" t="s">
        <v>3793</v>
      </c>
      <c r="B3039" s="1" t="s">
        <v>3728</v>
      </c>
      <c r="C3039" t="s">
        <v>14</v>
      </c>
      <c r="D3039" t="s">
        <v>1699</v>
      </c>
      <c r="E3039">
        <v>28</v>
      </c>
      <c r="F3039" t="s">
        <v>3249</v>
      </c>
      <c r="G3039">
        <v>2023</v>
      </c>
      <c r="H3039" t="s">
        <v>208</v>
      </c>
      <c r="I3039" t="s">
        <v>97</v>
      </c>
      <c r="J3039">
        <v>799</v>
      </c>
      <c r="K3039">
        <v>205</v>
      </c>
      <c r="L3039">
        <f t="shared" si="730"/>
        <v>594</v>
      </c>
      <c r="M3039">
        <v>240</v>
      </c>
      <c r="N3039">
        <f t="shared" si="731"/>
        <v>354</v>
      </c>
    </row>
    <row r="3040" spans="1:14" x14ac:dyDescent="0.2">
      <c r="A3040" t="s">
        <v>3794</v>
      </c>
      <c r="B3040" s="1" t="s">
        <v>3728</v>
      </c>
      <c r="C3040" t="s">
        <v>14</v>
      </c>
      <c r="D3040" t="s">
        <v>1105</v>
      </c>
      <c r="E3040">
        <v>28</v>
      </c>
      <c r="F3040" t="s">
        <v>3249</v>
      </c>
      <c r="G3040">
        <v>2023</v>
      </c>
      <c r="H3040" t="s">
        <v>3287</v>
      </c>
      <c r="I3040" t="s">
        <v>250</v>
      </c>
      <c r="J3040">
        <v>849</v>
      </c>
      <c r="K3040">
        <v>250</v>
      </c>
      <c r="L3040">
        <f t="shared" si="730"/>
        <v>599</v>
      </c>
      <c r="M3040">
        <v>240</v>
      </c>
      <c r="N3040">
        <f t="shared" si="731"/>
        <v>359</v>
      </c>
    </row>
    <row r="3041" spans="1:14" x14ac:dyDescent="0.2">
      <c r="A3041" t="s">
        <v>3795</v>
      </c>
      <c r="B3041" s="1" t="s">
        <v>3728</v>
      </c>
      <c r="C3041" t="s">
        <v>14</v>
      </c>
      <c r="D3041" t="s">
        <v>993</v>
      </c>
      <c r="E3041">
        <v>28</v>
      </c>
      <c r="F3041" t="s">
        <v>3249</v>
      </c>
      <c r="G3041">
        <v>2023</v>
      </c>
      <c r="H3041" t="s">
        <v>3796</v>
      </c>
      <c r="I3041" t="s">
        <v>85</v>
      </c>
      <c r="J3041">
        <v>799</v>
      </c>
      <c r="K3041">
        <v>205</v>
      </c>
      <c r="L3041">
        <f t="shared" si="730"/>
        <v>594</v>
      </c>
      <c r="M3041">
        <v>240</v>
      </c>
      <c r="N3041">
        <f t="shared" si="731"/>
        <v>354</v>
      </c>
    </row>
    <row r="3042" spans="1:14" x14ac:dyDescent="0.2">
      <c r="A3042" t="s">
        <v>3797</v>
      </c>
      <c r="B3042" s="1" t="s">
        <v>3761</v>
      </c>
      <c r="C3042" t="s">
        <v>14</v>
      </c>
      <c r="D3042" t="s">
        <v>901</v>
      </c>
      <c r="E3042">
        <v>29</v>
      </c>
      <c r="F3042" t="s">
        <v>3249</v>
      </c>
      <c r="G3042">
        <v>2023</v>
      </c>
      <c r="H3042" t="s">
        <v>3798</v>
      </c>
      <c r="I3042" t="s">
        <v>122</v>
      </c>
      <c r="J3042">
        <v>799</v>
      </c>
      <c r="K3042">
        <v>205</v>
      </c>
      <c r="L3042">
        <f t="shared" si="730"/>
        <v>594</v>
      </c>
      <c r="M3042">
        <v>240</v>
      </c>
      <c r="N3042">
        <f t="shared" si="731"/>
        <v>354</v>
      </c>
    </row>
    <row r="3043" spans="1:14" x14ac:dyDescent="0.2">
      <c r="A3043" t="s">
        <v>3799</v>
      </c>
      <c r="B3043" s="1" t="s">
        <v>3761</v>
      </c>
      <c r="C3043" t="s">
        <v>14</v>
      </c>
      <c r="D3043" t="s">
        <v>448</v>
      </c>
      <c r="E3043">
        <v>29</v>
      </c>
      <c r="F3043" t="s">
        <v>3249</v>
      </c>
      <c r="G3043">
        <v>2023</v>
      </c>
      <c r="H3043" t="s">
        <v>802</v>
      </c>
      <c r="I3043" t="s">
        <v>23</v>
      </c>
      <c r="J3043">
        <v>899</v>
      </c>
      <c r="K3043">
        <v>295</v>
      </c>
      <c r="L3043">
        <f t="shared" si="730"/>
        <v>604</v>
      </c>
      <c r="M3043">
        <v>240</v>
      </c>
      <c r="N3043">
        <f t="shared" si="731"/>
        <v>364</v>
      </c>
    </row>
    <row r="3044" spans="1:14" x14ac:dyDescent="0.2">
      <c r="A3044" t="s">
        <v>3800</v>
      </c>
      <c r="B3044" s="1" t="s">
        <v>3761</v>
      </c>
      <c r="C3044" t="s">
        <v>14</v>
      </c>
      <c r="D3044" t="s">
        <v>901</v>
      </c>
      <c r="E3044">
        <v>29</v>
      </c>
      <c r="F3044" t="s">
        <v>3249</v>
      </c>
      <c r="G3044">
        <v>2023</v>
      </c>
      <c r="H3044" t="s">
        <v>3801</v>
      </c>
      <c r="I3044" t="s">
        <v>19</v>
      </c>
      <c r="J3044">
        <v>799</v>
      </c>
      <c r="K3044">
        <v>205</v>
      </c>
      <c r="L3044">
        <f t="shared" si="730"/>
        <v>594</v>
      </c>
      <c r="M3044">
        <v>240</v>
      </c>
      <c r="N3044">
        <f t="shared" si="731"/>
        <v>354</v>
      </c>
    </row>
    <row r="3045" spans="1:14" x14ac:dyDescent="0.2">
      <c r="A3045" t="s">
        <v>3802</v>
      </c>
      <c r="B3045" s="1" t="s">
        <v>3728</v>
      </c>
      <c r="C3045" t="s">
        <v>14</v>
      </c>
      <c r="D3045" t="s">
        <v>490</v>
      </c>
      <c r="E3045">
        <v>28</v>
      </c>
      <c r="F3045" t="s">
        <v>3249</v>
      </c>
      <c r="G3045">
        <v>2023</v>
      </c>
      <c r="H3045" t="s">
        <v>1230</v>
      </c>
      <c r="I3045" t="s">
        <v>28</v>
      </c>
      <c r="J3045">
        <v>899</v>
      </c>
      <c r="K3045">
        <v>295</v>
      </c>
      <c r="L3045">
        <f t="shared" si="730"/>
        <v>604</v>
      </c>
      <c r="M3045">
        <v>240</v>
      </c>
      <c r="N3045">
        <f t="shared" si="731"/>
        <v>364</v>
      </c>
    </row>
    <row r="3046" spans="1:14" x14ac:dyDescent="0.2">
      <c r="A3046" t="s">
        <v>3803</v>
      </c>
      <c r="B3046" s="1" t="s">
        <v>3761</v>
      </c>
      <c r="C3046" t="s">
        <v>14</v>
      </c>
      <c r="D3046" t="s">
        <v>380</v>
      </c>
      <c r="E3046">
        <v>29</v>
      </c>
      <c r="F3046" t="s">
        <v>3249</v>
      </c>
      <c r="G3046">
        <v>2023</v>
      </c>
      <c r="H3046" t="s">
        <v>1991</v>
      </c>
      <c r="I3046" t="s">
        <v>23</v>
      </c>
      <c r="J3046">
        <v>849</v>
      </c>
      <c r="K3046">
        <v>250</v>
      </c>
      <c r="L3046">
        <f t="shared" si="730"/>
        <v>599</v>
      </c>
      <c r="M3046">
        <v>240</v>
      </c>
      <c r="N3046">
        <f t="shared" si="731"/>
        <v>359</v>
      </c>
    </row>
    <row r="3047" spans="1:14" x14ac:dyDescent="0.2">
      <c r="A3047" t="s">
        <v>3804</v>
      </c>
      <c r="B3047" s="1" t="s">
        <v>3728</v>
      </c>
      <c r="C3047" t="s">
        <v>14</v>
      </c>
      <c r="D3047" t="s">
        <v>445</v>
      </c>
      <c r="E3047">
        <v>28</v>
      </c>
      <c r="F3047" t="s">
        <v>3249</v>
      </c>
      <c r="G3047">
        <v>2023</v>
      </c>
      <c r="H3047" t="s">
        <v>3638</v>
      </c>
      <c r="I3047" t="s">
        <v>19</v>
      </c>
      <c r="J3047">
        <v>899</v>
      </c>
      <c r="K3047">
        <v>295</v>
      </c>
      <c r="L3047">
        <f t="shared" si="730"/>
        <v>604</v>
      </c>
      <c r="M3047">
        <v>240</v>
      </c>
      <c r="N3047">
        <f t="shared" si="731"/>
        <v>364</v>
      </c>
    </row>
    <row r="3048" spans="1:14" x14ac:dyDescent="0.2">
      <c r="A3048" t="s">
        <v>3805</v>
      </c>
      <c r="B3048" s="1" t="s">
        <v>3761</v>
      </c>
      <c r="C3048" t="s">
        <v>14</v>
      </c>
      <c r="D3048" t="s">
        <v>1218</v>
      </c>
      <c r="E3048">
        <v>29</v>
      </c>
      <c r="F3048" t="s">
        <v>3249</v>
      </c>
      <c r="G3048">
        <v>2023</v>
      </c>
      <c r="H3048" t="s">
        <v>170</v>
      </c>
      <c r="I3048" t="s">
        <v>171</v>
      </c>
      <c r="J3048">
        <v>799</v>
      </c>
      <c r="K3048">
        <v>205</v>
      </c>
      <c r="L3048">
        <f t="shared" si="730"/>
        <v>594</v>
      </c>
      <c r="M3048">
        <v>240</v>
      </c>
      <c r="N3048">
        <f t="shared" si="731"/>
        <v>354</v>
      </c>
    </row>
    <row r="3049" spans="1:14" x14ac:dyDescent="0.2">
      <c r="A3049" t="s">
        <v>3657</v>
      </c>
      <c r="B3049" s="1" t="s">
        <v>3606</v>
      </c>
      <c r="C3049" t="s">
        <v>106</v>
      </c>
      <c r="D3049" t="s">
        <v>901</v>
      </c>
      <c r="E3049">
        <v>23</v>
      </c>
      <c r="F3049" t="s">
        <v>3249</v>
      </c>
      <c r="G3049">
        <v>2023</v>
      </c>
      <c r="H3049" t="s">
        <v>246</v>
      </c>
      <c r="I3049" t="s">
        <v>58</v>
      </c>
      <c r="J3049">
        <v>-799</v>
      </c>
      <c r="K3049">
        <v>320</v>
      </c>
      <c r="L3049">
        <f t="shared" ref="L3049:L3055" si="732">J3049+K3049</f>
        <v>-479</v>
      </c>
      <c r="M3049">
        <v>240</v>
      </c>
      <c r="N3049">
        <f t="shared" ref="N3049:N3055" si="733">L3049+M3049</f>
        <v>-239</v>
      </c>
    </row>
    <row r="3050" spans="1:14" x14ac:dyDescent="0.2">
      <c r="A3050" t="s">
        <v>3562</v>
      </c>
      <c r="B3050" s="1" t="s">
        <v>3551</v>
      </c>
      <c r="C3050" t="s">
        <v>106</v>
      </c>
      <c r="D3050" t="s">
        <v>242</v>
      </c>
      <c r="E3050">
        <v>19</v>
      </c>
      <c r="F3050" t="s">
        <v>3249</v>
      </c>
      <c r="G3050">
        <v>2023</v>
      </c>
      <c r="H3050" t="s">
        <v>3563</v>
      </c>
      <c r="I3050" t="s">
        <v>85</v>
      </c>
      <c r="J3050">
        <v>-899</v>
      </c>
      <c r="K3050">
        <v>375</v>
      </c>
      <c r="L3050">
        <f t="shared" si="732"/>
        <v>-524</v>
      </c>
      <c r="M3050">
        <v>240</v>
      </c>
      <c r="N3050">
        <f t="shared" si="733"/>
        <v>-284</v>
      </c>
    </row>
    <row r="3051" spans="1:14" x14ac:dyDescent="0.2">
      <c r="A3051" t="s">
        <v>3682</v>
      </c>
      <c r="B3051" s="1" t="s">
        <v>3658</v>
      </c>
      <c r="C3051" t="s">
        <v>106</v>
      </c>
      <c r="D3051" t="s">
        <v>81</v>
      </c>
      <c r="E3051">
        <v>24</v>
      </c>
      <c r="F3051" t="s">
        <v>3249</v>
      </c>
      <c r="G3051">
        <v>2023</v>
      </c>
      <c r="H3051" t="s">
        <v>18</v>
      </c>
      <c r="I3051" t="s">
        <v>19</v>
      </c>
      <c r="J3051">
        <v>-849</v>
      </c>
      <c r="K3051">
        <v>345</v>
      </c>
      <c r="L3051">
        <f t="shared" si="732"/>
        <v>-504</v>
      </c>
      <c r="M3051">
        <v>240</v>
      </c>
      <c r="N3051">
        <f t="shared" si="733"/>
        <v>-264</v>
      </c>
    </row>
    <row r="3052" spans="1:14" x14ac:dyDescent="0.2">
      <c r="A3052" t="s">
        <v>3629</v>
      </c>
      <c r="B3052" s="1" t="s">
        <v>3602</v>
      </c>
      <c r="C3052" t="s">
        <v>106</v>
      </c>
      <c r="D3052" t="s">
        <v>895</v>
      </c>
      <c r="E3052">
        <v>21</v>
      </c>
      <c r="F3052" t="s">
        <v>3249</v>
      </c>
      <c r="G3052">
        <v>2023</v>
      </c>
      <c r="H3052" t="s">
        <v>3612</v>
      </c>
      <c r="I3052" t="s">
        <v>85</v>
      </c>
      <c r="J3052">
        <v>-849</v>
      </c>
      <c r="K3052">
        <v>345</v>
      </c>
      <c r="L3052">
        <f t="shared" si="732"/>
        <v>-504</v>
      </c>
      <c r="M3052">
        <v>240</v>
      </c>
      <c r="N3052">
        <f t="shared" si="733"/>
        <v>-264</v>
      </c>
    </row>
    <row r="3053" spans="1:14" x14ac:dyDescent="0.2">
      <c r="A3053" t="s">
        <v>3639</v>
      </c>
      <c r="B3053" s="1" t="s">
        <v>3604</v>
      </c>
      <c r="C3053" t="s">
        <v>106</v>
      </c>
      <c r="D3053" t="s">
        <v>940</v>
      </c>
      <c r="E3053">
        <v>22</v>
      </c>
      <c r="F3053" t="s">
        <v>3249</v>
      </c>
      <c r="G3053">
        <v>2023</v>
      </c>
      <c r="H3053" t="s">
        <v>3612</v>
      </c>
      <c r="I3053" t="s">
        <v>85</v>
      </c>
      <c r="J3053">
        <v>-799</v>
      </c>
      <c r="K3053">
        <v>320</v>
      </c>
      <c r="L3053">
        <f t="shared" si="732"/>
        <v>-479</v>
      </c>
      <c r="M3053">
        <v>240</v>
      </c>
      <c r="N3053">
        <f t="shared" si="733"/>
        <v>-239</v>
      </c>
    </row>
    <row r="3054" spans="1:14" x14ac:dyDescent="0.2">
      <c r="A3054" t="s">
        <v>3669</v>
      </c>
      <c r="B3054" s="1" t="s">
        <v>3606</v>
      </c>
      <c r="C3054" t="s">
        <v>106</v>
      </c>
      <c r="D3054" t="s">
        <v>3670</v>
      </c>
      <c r="E3054">
        <v>23</v>
      </c>
      <c r="F3054" t="s">
        <v>3249</v>
      </c>
      <c r="G3054">
        <v>2023</v>
      </c>
      <c r="H3054" t="s">
        <v>2491</v>
      </c>
      <c r="I3054" t="s">
        <v>97</v>
      </c>
      <c r="J3054">
        <v>-999</v>
      </c>
      <c r="K3054">
        <v>395</v>
      </c>
      <c r="L3054">
        <f t="shared" si="732"/>
        <v>-604</v>
      </c>
      <c r="M3054">
        <v>240</v>
      </c>
      <c r="N3054">
        <f t="shared" si="733"/>
        <v>-364</v>
      </c>
    </row>
    <row r="3055" spans="1:14" x14ac:dyDescent="0.2">
      <c r="A3055" t="s">
        <v>3671</v>
      </c>
      <c r="B3055" s="1" t="s">
        <v>3606</v>
      </c>
      <c r="C3055" t="s">
        <v>106</v>
      </c>
      <c r="D3055" t="s">
        <v>3672</v>
      </c>
      <c r="E3055">
        <v>23</v>
      </c>
      <c r="F3055" t="s">
        <v>3249</v>
      </c>
      <c r="G3055">
        <v>2023</v>
      </c>
      <c r="H3055" t="s">
        <v>2491</v>
      </c>
      <c r="I3055" t="s">
        <v>97</v>
      </c>
      <c r="J3055">
        <v>-999</v>
      </c>
      <c r="K3055">
        <v>395</v>
      </c>
      <c r="L3055">
        <f t="shared" si="732"/>
        <v>-604</v>
      </c>
      <c r="M3055">
        <v>240</v>
      </c>
      <c r="N3055">
        <f t="shared" si="733"/>
        <v>-364</v>
      </c>
    </row>
    <row r="3056" spans="1:14" x14ac:dyDescent="0.2">
      <c r="A3056" t="s">
        <v>3807</v>
      </c>
      <c r="B3056" s="1" t="s">
        <v>3806</v>
      </c>
      <c r="C3056" t="s">
        <v>20</v>
      </c>
      <c r="D3056" t="s">
        <v>926</v>
      </c>
      <c r="E3056">
        <v>30</v>
      </c>
      <c r="F3056" t="s">
        <v>3249</v>
      </c>
      <c r="G3056">
        <v>2023</v>
      </c>
      <c r="H3056" t="s">
        <v>3738</v>
      </c>
      <c r="I3056" t="s">
        <v>163</v>
      </c>
      <c r="J3056">
        <v>0</v>
      </c>
      <c r="K3056">
        <v>0</v>
      </c>
      <c r="L3056">
        <v>0</v>
      </c>
      <c r="M3056">
        <v>0</v>
      </c>
      <c r="N3056">
        <v>0</v>
      </c>
    </row>
    <row r="3057" spans="1:14" x14ac:dyDescent="0.2">
      <c r="A3057" t="s">
        <v>3808</v>
      </c>
      <c r="B3057" s="1" t="s">
        <v>3806</v>
      </c>
      <c r="C3057" t="s">
        <v>14</v>
      </c>
      <c r="D3057" t="s">
        <v>504</v>
      </c>
      <c r="E3057">
        <v>30</v>
      </c>
      <c r="F3057" t="s">
        <v>3249</v>
      </c>
      <c r="G3057">
        <v>2023</v>
      </c>
      <c r="H3057" t="s">
        <v>3809</v>
      </c>
      <c r="I3057" t="s">
        <v>58</v>
      </c>
      <c r="J3057">
        <v>899</v>
      </c>
      <c r="K3057">
        <v>295</v>
      </c>
      <c r="L3057">
        <f t="shared" ref="L3057:L3068" si="734">J3057-K3057</f>
        <v>604</v>
      </c>
      <c r="M3057">
        <v>240</v>
      </c>
      <c r="N3057">
        <f t="shared" ref="N3057:N3068" si="735">L3057-M3057</f>
        <v>364</v>
      </c>
    </row>
    <row r="3058" spans="1:14" x14ac:dyDescent="0.2">
      <c r="A3058" t="s">
        <v>3810</v>
      </c>
      <c r="B3058" s="1" t="s">
        <v>3806</v>
      </c>
      <c r="C3058" t="s">
        <v>14</v>
      </c>
      <c r="D3058" t="s">
        <v>1556</v>
      </c>
      <c r="E3058">
        <v>30</v>
      </c>
      <c r="F3058" t="s">
        <v>3249</v>
      </c>
      <c r="G3058">
        <v>2023</v>
      </c>
      <c r="H3058" t="s">
        <v>104</v>
      </c>
      <c r="I3058" t="s">
        <v>62</v>
      </c>
      <c r="J3058">
        <v>899</v>
      </c>
      <c r="K3058">
        <v>295</v>
      </c>
      <c r="L3058">
        <f t="shared" si="734"/>
        <v>604</v>
      </c>
      <c r="M3058">
        <v>240</v>
      </c>
      <c r="N3058">
        <f t="shared" si="735"/>
        <v>364</v>
      </c>
    </row>
    <row r="3059" spans="1:14" x14ac:dyDescent="0.2">
      <c r="A3059" t="s">
        <v>3811</v>
      </c>
      <c r="B3059" s="1" t="s">
        <v>3761</v>
      </c>
      <c r="C3059" t="s">
        <v>14</v>
      </c>
      <c r="D3059" t="s">
        <v>1105</v>
      </c>
      <c r="E3059">
        <v>29</v>
      </c>
      <c r="F3059" t="s">
        <v>3249</v>
      </c>
      <c r="G3059">
        <v>2023</v>
      </c>
      <c r="H3059" t="s">
        <v>84</v>
      </c>
      <c r="I3059" t="s">
        <v>85</v>
      </c>
      <c r="J3059">
        <v>849</v>
      </c>
      <c r="K3059">
        <v>250</v>
      </c>
      <c r="L3059">
        <f t="shared" si="734"/>
        <v>599</v>
      </c>
      <c r="M3059">
        <v>240</v>
      </c>
      <c r="N3059">
        <f t="shared" si="735"/>
        <v>359</v>
      </c>
    </row>
    <row r="3060" spans="1:14" x14ac:dyDescent="0.2">
      <c r="A3060" t="s">
        <v>3812</v>
      </c>
      <c r="B3060" s="1" t="s">
        <v>3806</v>
      </c>
      <c r="C3060" t="s">
        <v>14</v>
      </c>
      <c r="D3060" t="s">
        <v>3813</v>
      </c>
      <c r="E3060">
        <v>30</v>
      </c>
      <c r="F3060" t="s">
        <v>3249</v>
      </c>
      <c r="G3060">
        <v>2023</v>
      </c>
      <c r="H3060" t="s">
        <v>3814</v>
      </c>
      <c r="I3060" t="s">
        <v>58</v>
      </c>
      <c r="J3060">
        <v>799</v>
      </c>
      <c r="K3060">
        <v>205</v>
      </c>
      <c r="L3060">
        <f t="shared" si="734"/>
        <v>594</v>
      </c>
      <c r="M3060">
        <v>240</v>
      </c>
      <c r="N3060">
        <f t="shared" si="735"/>
        <v>354</v>
      </c>
    </row>
    <row r="3061" spans="1:14" x14ac:dyDescent="0.2">
      <c r="A3061" t="s">
        <v>3815</v>
      </c>
      <c r="B3061" s="1" t="s">
        <v>3806</v>
      </c>
      <c r="C3061" t="s">
        <v>14</v>
      </c>
      <c r="D3061" t="s">
        <v>81</v>
      </c>
      <c r="E3061">
        <v>30</v>
      </c>
      <c r="F3061" t="s">
        <v>3249</v>
      </c>
      <c r="G3061">
        <v>2023</v>
      </c>
      <c r="H3061" t="s">
        <v>104</v>
      </c>
      <c r="I3061" t="s">
        <v>62</v>
      </c>
      <c r="J3061">
        <v>849</v>
      </c>
      <c r="K3061">
        <v>250</v>
      </c>
      <c r="L3061">
        <f t="shared" si="734"/>
        <v>599</v>
      </c>
      <c r="M3061">
        <v>240</v>
      </c>
      <c r="N3061">
        <f t="shared" si="735"/>
        <v>359</v>
      </c>
    </row>
    <row r="3062" spans="1:14" x14ac:dyDescent="0.2">
      <c r="A3062" t="s">
        <v>3816</v>
      </c>
      <c r="B3062" s="1" t="s">
        <v>3806</v>
      </c>
      <c r="C3062" t="s">
        <v>14</v>
      </c>
      <c r="D3062" t="s">
        <v>1472</v>
      </c>
      <c r="E3062">
        <v>30</v>
      </c>
      <c r="F3062" t="s">
        <v>3249</v>
      </c>
      <c r="G3062">
        <v>2023</v>
      </c>
      <c r="H3062" t="s">
        <v>170</v>
      </c>
      <c r="I3062" t="s">
        <v>171</v>
      </c>
      <c r="J3062">
        <v>799</v>
      </c>
      <c r="K3062">
        <v>205</v>
      </c>
      <c r="L3062">
        <f t="shared" si="734"/>
        <v>594</v>
      </c>
      <c r="M3062">
        <v>240</v>
      </c>
      <c r="N3062">
        <f t="shared" si="735"/>
        <v>354</v>
      </c>
    </row>
    <row r="3063" spans="1:14" x14ac:dyDescent="0.2">
      <c r="A3063" t="s">
        <v>3817</v>
      </c>
      <c r="B3063" s="1" t="s">
        <v>3806</v>
      </c>
      <c r="C3063" t="s">
        <v>14</v>
      </c>
      <c r="D3063" t="s">
        <v>380</v>
      </c>
      <c r="E3063">
        <v>30</v>
      </c>
      <c r="F3063" t="s">
        <v>3249</v>
      </c>
      <c r="G3063">
        <v>2023</v>
      </c>
      <c r="H3063" t="s">
        <v>31</v>
      </c>
      <c r="I3063" t="s">
        <v>32</v>
      </c>
      <c r="J3063">
        <v>849</v>
      </c>
      <c r="K3063">
        <v>250</v>
      </c>
      <c r="L3063">
        <f t="shared" si="734"/>
        <v>599</v>
      </c>
      <c r="M3063">
        <v>240</v>
      </c>
      <c r="N3063">
        <f t="shared" si="735"/>
        <v>359</v>
      </c>
    </row>
    <row r="3064" spans="1:14" x14ac:dyDescent="0.2">
      <c r="A3064" t="s">
        <v>3818</v>
      </c>
      <c r="B3064" s="1" t="s">
        <v>3806</v>
      </c>
      <c r="C3064" t="s">
        <v>14</v>
      </c>
      <c r="D3064" t="s">
        <v>379</v>
      </c>
      <c r="E3064">
        <v>30</v>
      </c>
      <c r="F3064" t="s">
        <v>3249</v>
      </c>
      <c r="G3064">
        <v>2023</v>
      </c>
      <c r="H3064" t="s">
        <v>84</v>
      </c>
      <c r="I3064" t="s">
        <v>85</v>
      </c>
      <c r="J3064">
        <v>799</v>
      </c>
      <c r="K3064">
        <v>205</v>
      </c>
      <c r="L3064">
        <f t="shared" si="734"/>
        <v>594</v>
      </c>
      <c r="M3064">
        <v>240</v>
      </c>
      <c r="N3064">
        <f t="shared" si="735"/>
        <v>354</v>
      </c>
    </row>
    <row r="3065" spans="1:14" x14ac:dyDescent="0.2">
      <c r="A3065" t="s">
        <v>3819</v>
      </c>
      <c r="B3065" s="1" t="s">
        <v>3806</v>
      </c>
      <c r="C3065" t="s">
        <v>14</v>
      </c>
      <c r="D3065" t="s">
        <v>133</v>
      </c>
      <c r="E3065">
        <v>30</v>
      </c>
      <c r="F3065" t="s">
        <v>3249</v>
      </c>
      <c r="G3065">
        <v>2023</v>
      </c>
      <c r="H3065" t="s">
        <v>530</v>
      </c>
      <c r="I3065" t="s">
        <v>23</v>
      </c>
      <c r="J3065">
        <v>799</v>
      </c>
      <c r="K3065">
        <v>205</v>
      </c>
      <c r="L3065">
        <f t="shared" si="734"/>
        <v>594</v>
      </c>
      <c r="M3065">
        <v>240</v>
      </c>
      <c r="N3065">
        <f t="shared" si="735"/>
        <v>354</v>
      </c>
    </row>
    <row r="3066" spans="1:14" x14ac:dyDescent="0.2">
      <c r="A3066" t="s">
        <v>3820</v>
      </c>
      <c r="B3066" s="1" t="s">
        <v>3806</v>
      </c>
      <c r="C3066" t="s">
        <v>14</v>
      </c>
      <c r="D3066" t="s">
        <v>81</v>
      </c>
      <c r="E3066">
        <v>30</v>
      </c>
      <c r="F3066" t="s">
        <v>3249</v>
      </c>
      <c r="G3066">
        <v>2023</v>
      </c>
      <c r="H3066" t="s">
        <v>49</v>
      </c>
      <c r="I3066" t="s">
        <v>32</v>
      </c>
      <c r="J3066">
        <v>849</v>
      </c>
      <c r="K3066">
        <v>250</v>
      </c>
      <c r="L3066">
        <f t="shared" si="734"/>
        <v>599</v>
      </c>
      <c r="M3066">
        <v>240</v>
      </c>
      <c r="N3066">
        <f t="shared" si="735"/>
        <v>359</v>
      </c>
    </row>
    <row r="3067" spans="1:14" x14ac:dyDescent="0.2">
      <c r="A3067" t="s">
        <v>3821</v>
      </c>
      <c r="B3067" s="1" t="s">
        <v>3806</v>
      </c>
      <c r="C3067" t="s">
        <v>14</v>
      </c>
      <c r="D3067" t="s">
        <v>812</v>
      </c>
      <c r="E3067">
        <v>30</v>
      </c>
      <c r="F3067" t="s">
        <v>3249</v>
      </c>
      <c r="G3067">
        <v>2023</v>
      </c>
      <c r="H3067" t="s">
        <v>1696</v>
      </c>
      <c r="I3067" t="s">
        <v>23</v>
      </c>
      <c r="J3067">
        <v>999</v>
      </c>
      <c r="K3067">
        <v>325</v>
      </c>
      <c r="L3067">
        <f t="shared" si="734"/>
        <v>674</v>
      </c>
      <c r="M3067">
        <v>240</v>
      </c>
      <c r="N3067">
        <f t="shared" si="735"/>
        <v>434</v>
      </c>
    </row>
    <row r="3068" spans="1:14" x14ac:dyDescent="0.2">
      <c r="A3068" t="s">
        <v>3822</v>
      </c>
      <c r="B3068" s="1" t="s">
        <v>3806</v>
      </c>
      <c r="C3068" t="s">
        <v>14</v>
      </c>
      <c r="D3068" t="s">
        <v>967</v>
      </c>
      <c r="E3068">
        <v>30</v>
      </c>
      <c r="F3068" t="s">
        <v>3249</v>
      </c>
      <c r="G3068">
        <v>2023</v>
      </c>
      <c r="H3068" t="s">
        <v>3823</v>
      </c>
      <c r="I3068" t="s">
        <v>122</v>
      </c>
      <c r="J3068">
        <v>799</v>
      </c>
      <c r="K3068">
        <v>205</v>
      </c>
      <c r="L3068">
        <f t="shared" si="734"/>
        <v>594</v>
      </c>
      <c r="M3068">
        <v>240</v>
      </c>
      <c r="N3068">
        <f t="shared" si="735"/>
        <v>354</v>
      </c>
    </row>
    <row r="3069" spans="1:14" x14ac:dyDescent="0.2">
      <c r="A3069" t="s">
        <v>3824</v>
      </c>
      <c r="B3069" s="1" t="s">
        <v>3806</v>
      </c>
      <c r="C3069" t="s">
        <v>20</v>
      </c>
      <c r="D3069" t="s">
        <v>809</v>
      </c>
      <c r="E3069">
        <v>30</v>
      </c>
      <c r="F3069" t="s">
        <v>3249</v>
      </c>
      <c r="G3069">
        <v>2023</v>
      </c>
      <c r="H3069" t="s">
        <v>965</v>
      </c>
      <c r="I3069" t="s">
        <v>122</v>
      </c>
      <c r="J3069">
        <v>0</v>
      </c>
      <c r="K3069">
        <v>0</v>
      </c>
      <c r="L3069">
        <v>0</v>
      </c>
      <c r="M3069">
        <v>0</v>
      </c>
      <c r="N3069">
        <v>0</v>
      </c>
    </row>
    <row r="3070" spans="1:14" x14ac:dyDescent="0.2">
      <c r="A3070" t="s">
        <v>3825</v>
      </c>
      <c r="B3070" s="1" t="s">
        <v>3806</v>
      </c>
      <c r="C3070" t="s">
        <v>14</v>
      </c>
      <c r="D3070" t="s">
        <v>169</v>
      </c>
      <c r="E3070">
        <v>30</v>
      </c>
      <c r="F3070" t="s">
        <v>3249</v>
      </c>
      <c r="G3070">
        <v>2023</v>
      </c>
      <c r="H3070" t="s">
        <v>1128</v>
      </c>
      <c r="I3070" t="s">
        <v>97</v>
      </c>
      <c r="J3070">
        <v>799</v>
      </c>
      <c r="K3070">
        <v>205</v>
      </c>
      <c r="L3070">
        <f t="shared" ref="L3070:L3085" si="736">J3070-K3070</f>
        <v>594</v>
      </c>
      <c r="M3070">
        <v>240</v>
      </c>
      <c r="N3070">
        <f t="shared" ref="N3070:N3085" si="737">L3070-M3070</f>
        <v>354</v>
      </c>
    </row>
    <row r="3071" spans="1:14" x14ac:dyDescent="0.2">
      <c r="A3071" t="s">
        <v>3826</v>
      </c>
      <c r="B3071" s="1" t="s">
        <v>3806</v>
      </c>
      <c r="C3071" t="s">
        <v>14</v>
      </c>
      <c r="D3071" t="s">
        <v>3827</v>
      </c>
      <c r="E3071">
        <v>30</v>
      </c>
      <c r="F3071" t="s">
        <v>3249</v>
      </c>
      <c r="G3071">
        <v>2023</v>
      </c>
      <c r="H3071" t="s">
        <v>838</v>
      </c>
      <c r="I3071" t="s">
        <v>253</v>
      </c>
      <c r="J3071">
        <v>799</v>
      </c>
      <c r="K3071">
        <v>205</v>
      </c>
      <c r="L3071">
        <f t="shared" si="736"/>
        <v>594</v>
      </c>
      <c r="M3071">
        <v>240</v>
      </c>
      <c r="N3071">
        <f t="shared" si="737"/>
        <v>354</v>
      </c>
    </row>
    <row r="3072" spans="1:14" x14ac:dyDescent="0.2">
      <c r="A3072" t="s">
        <v>3828</v>
      </c>
      <c r="B3072" s="1" t="s">
        <v>3806</v>
      </c>
      <c r="C3072" t="s">
        <v>14</v>
      </c>
      <c r="D3072" t="s">
        <v>81</v>
      </c>
      <c r="E3072">
        <v>30</v>
      </c>
      <c r="F3072" t="s">
        <v>3249</v>
      </c>
      <c r="G3072">
        <v>2023</v>
      </c>
      <c r="H3072" t="s">
        <v>101</v>
      </c>
      <c r="I3072" t="s">
        <v>62</v>
      </c>
      <c r="J3072">
        <v>849</v>
      </c>
      <c r="K3072">
        <v>250</v>
      </c>
      <c r="L3072">
        <f t="shared" si="736"/>
        <v>599</v>
      </c>
      <c r="M3072">
        <v>240</v>
      </c>
      <c r="N3072">
        <f t="shared" si="737"/>
        <v>359</v>
      </c>
    </row>
    <row r="3073" spans="1:14" x14ac:dyDescent="0.2">
      <c r="A3073" t="s">
        <v>3829</v>
      </c>
      <c r="B3073" s="1" t="s">
        <v>3761</v>
      </c>
      <c r="C3073" t="s">
        <v>14</v>
      </c>
      <c r="D3073" t="s">
        <v>504</v>
      </c>
      <c r="E3073">
        <v>29</v>
      </c>
      <c r="F3073" t="s">
        <v>3249</v>
      </c>
      <c r="G3073">
        <v>2023</v>
      </c>
      <c r="H3073" t="s">
        <v>173</v>
      </c>
      <c r="I3073" t="s">
        <v>62</v>
      </c>
      <c r="J3073">
        <v>899</v>
      </c>
      <c r="K3073">
        <v>295</v>
      </c>
      <c r="L3073">
        <f t="shared" si="736"/>
        <v>604</v>
      </c>
      <c r="M3073">
        <v>240</v>
      </c>
      <c r="N3073">
        <f t="shared" si="737"/>
        <v>364</v>
      </c>
    </row>
    <row r="3074" spans="1:14" x14ac:dyDescent="0.2">
      <c r="A3074" t="s">
        <v>3830</v>
      </c>
      <c r="B3074" s="1" t="s">
        <v>3806</v>
      </c>
      <c r="C3074" t="s">
        <v>14</v>
      </c>
      <c r="D3074" t="s">
        <v>1047</v>
      </c>
      <c r="E3074">
        <v>30</v>
      </c>
      <c r="F3074" t="s">
        <v>3249</v>
      </c>
      <c r="G3074">
        <v>2023</v>
      </c>
      <c r="H3074" t="s">
        <v>263</v>
      </c>
      <c r="I3074" t="s">
        <v>144</v>
      </c>
      <c r="J3074">
        <v>799</v>
      </c>
      <c r="K3074">
        <v>205</v>
      </c>
      <c r="L3074">
        <f t="shared" si="736"/>
        <v>594</v>
      </c>
      <c r="M3074">
        <v>240</v>
      </c>
      <c r="N3074">
        <f t="shared" si="737"/>
        <v>354</v>
      </c>
    </row>
    <row r="3075" spans="1:14" x14ac:dyDescent="0.2">
      <c r="A3075" t="s">
        <v>3831</v>
      </c>
      <c r="B3075" s="1" t="s">
        <v>3806</v>
      </c>
      <c r="C3075" t="s">
        <v>14</v>
      </c>
      <c r="D3075" t="s">
        <v>81</v>
      </c>
      <c r="E3075">
        <v>30</v>
      </c>
      <c r="F3075" t="s">
        <v>3249</v>
      </c>
      <c r="G3075">
        <v>2023</v>
      </c>
      <c r="H3075" t="s">
        <v>1245</v>
      </c>
      <c r="I3075" t="s">
        <v>502</v>
      </c>
      <c r="J3075">
        <v>849</v>
      </c>
      <c r="K3075">
        <v>250</v>
      </c>
      <c r="L3075">
        <f t="shared" si="736"/>
        <v>599</v>
      </c>
      <c r="M3075">
        <v>240</v>
      </c>
      <c r="N3075">
        <f t="shared" si="737"/>
        <v>359</v>
      </c>
    </row>
    <row r="3076" spans="1:14" x14ac:dyDescent="0.2">
      <c r="A3076" t="s">
        <v>3832</v>
      </c>
      <c r="B3076" s="1" t="s">
        <v>3806</v>
      </c>
      <c r="C3076" t="s">
        <v>14</v>
      </c>
      <c r="D3076" t="s">
        <v>1354</v>
      </c>
      <c r="E3076">
        <v>30</v>
      </c>
      <c r="F3076" t="s">
        <v>3249</v>
      </c>
      <c r="G3076">
        <v>2023</v>
      </c>
      <c r="H3076" t="s">
        <v>296</v>
      </c>
      <c r="I3076" t="s">
        <v>85</v>
      </c>
      <c r="J3076">
        <v>799</v>
      </c>
      <c r="K3076">
        <v>205</v>
      </c>
      <c r="L3076">
        <f t="shared" si="736"/>
        <v>594</v>
      </c>
      <c r="M3076">
        <v>240</v>
      </c>
      <c r="N3076">
        <f t="shared" si="737"/>
        <v>354</v>
      </c>
    </row>
    <row r="3077" spans="1:14" x14ac:dyDescent="0.2">
      <c r="A3077" t="s">
        <v>3833</v>
      </c>
      <c r="B3077" s="1" t="s">
        <v>3806</v>
      </c>
      <c r="C3077" t="s">
        <v>14</v>
      </c>
      <c r="D3077" t="s">
        <v>448</v>
      </c>
      <c r="E3077">
        <v>30</v>
      </c>
      <c r="F3077" t="s">
        <v>3249</v>
      </c>
      <c r="G3077">
        <v>2023</v>
      </c>
      <c r="H3077" t="s">
        <v>170</v>
      </c>
      <c r="I3077" t="s">
        <v>171</v>
      </c>
      <c r="J3077">
        <v>899</v>
      </c>
      <c r="K3077">
        <v>295</v>
      </c>
      <c r="L3077">
        <f t="shared" si="736"/>
        <v>604</v>
      </c>
      <c r="M3077">
        <v>240</v>
      </c>
      <c r="N3077">
        <f t="shared" si="737"/>
        <v>364</v>
      </c>
    </row>
    <row r="3078" spans="1:14" x14ac:dyDescent="0.2">
      <c r="A3078" t="s">
        <v>3834</v>
      </c>
      <c r="B3078" s="1" t="s">
        <v>3806</v>
      </c>
      <c r="C3078" t="s">
        <v>14</v>
      </c>
      <c r="D3078" t="s">
        <v>284</v>
      </c>
      <c r="E3078">
        <v>30</v>
      </c>
      <c r="F3078" t="s">
        <v>3249</v>
      </c>
      <c r="G3078">
        <v>2023</v>
      </c>
      <c r="H3078" t="s">
        <v>3835</v>
      </c>
      <c r="I3078" t="s">
        <v>257</v>
      </c>
      <c r="J3078">
        <v>899</v>
      </c>
      <c r="K3078">
        <v>295</v>
      </c>
      <c r="L3078">
        <f t="shared" si="736"/>
        <v>604</v>
      </c>
      <c r="M3078">
        <v>240</v>
      </c>
      <c r="N3078">
        <f t="shared" si="737"/>
        <v>364</v>
      </c>
    </row>
    <row r="3079" spans="1:14" x14ac:dyDescent="0.2">
      <c r="A3079" t="s">
        <v>3836</v>
      </c>
      <c r="B3079" s="1" t="s">
        <v>3806</v>
      </c>
      <c r="C3079" t="s">
        <v>14</v>
      </c>
      <c r="D3079" t="s">
        <v>379</v>
      </c>
      <c r="E3079">
        <v>30</v>
      </c>
      <c r="F3079" t="s">
        <v>3249</v>
      </c>
      <c r="G3079">
        <v>2023</v>
      </c>
      <c r="H3079" t="s">
        <v>3837</v>
      </c>
      <c r="I3079" t="s">
        <v>23</v>
      </c>
      <c r="J3079">
        <v>799</v>
      </c>
      <c r="K3079">
        <v>205</v>
      </c>
      <c r="L3079">
        <f t="shared" si="736"/>
        <v>594</v>
      </c>
      <c r="M3079">
        <v>240</v>
      </c>
      <c r="N3079">
        <f t="shared" si="737"/>
        <v>354</v>
      </c>
    </row>
    <row r="3080" spans="1:14" x14ac:dyDescent="0.2">
      <c r="A3080" t="s">
        <v>3838</v>
      </c>
      <c r="B3080" s="1" t="s">
        <v>3806</v>
      </c>
      <c r="C3080" t="s">
        <v>14</v>
      </c>
      <c r="D3080" t="s">
        <v>81</v>
      </c>
      <c r="E3080">
        <v>30</v>
      </c>
      <c r="F3080" t="s">
        <v>3249</v>
      </c>
      <c r="G3080">
        <v>2023</v>
      </c>
      <c r="H3080" t="s">
        <v>215</v>
      </c>
      <c r="I3080" t="s">
        <v>135</v>
      </c>
      <c r="J3080">
        <v>849</v>
      </c>
      <c r="K3080">
        <v>250</v>
      </c>
      <c r="L3080">
        <f t="shared" si="736"/>
        <v>599</v>
      </c>
      <c r="M3080">
        <v>240</v>
      </c>
      <c r="N3080">
        <f t="shared" si="737"/>
        <v>359</v>
      </c>
    </row>
    <row r="3081" spans="1:14" x14ac:dyDescent="0.2">
      <c r="A3081" t="s">
        <v>3839</v>
      </c>
      <c r="B3081" s="1" t="s">
        <v>3806</v>
      </c>
      <c r="C3081" t="s">
        <v>14</v>
      </c>
      <c r="D3081" t="s">
        <v>1076</v>
      </c>
      <c r="E3081">
        <v>30</v>
      </c>
      <c r="F3081" t="s">
        <v>3249</v>
      </c>
      <c r="G3081">
        <v>2023</v>
      </c>
      <c r="H3081" t="s">
        <v>170</v>
      </c>
      <c r="I3081" t="s">
        <v>171</v>
      </c>
      <c r="J3081">
        <v>849</v>
      </c>
      <c r="K3081">
        <v>250</v>
      </c>
      <c r="L3081">
        <f t="shared" si="736"/>
        <v>599</v>
      </c>
      <c r="M3081">
        <v>240</v>
      </c>
      <c r="N3081">
        <f t="shared" si="737"/>
        <v>359</v>
      </c>
    </row>
    <row r="3082" spans="1:14" x14ac:dyDescent="0.2">
      <c r="A3082" t="s">
        <v>3840</v>
      </c>
      <c r="B3082" s="1" t="s">
        <v>3761</v>
      </c>
      <c r="C3082" t="s">
        <v>14</v>
      </c>
      <c r="D3082" t="s">
        <v>1338</v>
      </c>
      <c r="E3082">
        <v>29</v>
      </c>
      <c r="F3082" t="s">
        <v>3249</v>
      </c>
      <c r="G3082">
        <v>2023</v>
      </c>
      <c r="H3082" t="s">
        <v>641</v>
      </c>
      <c r="I3082" t="s">
        <v>122</v>
      </c>
      <c r="J3082">
        <v>799</v>
      </c>
      <c r="K3082">
        <v>205</v>
      </c>
      <c r="L3082">
        <f t="shared" si="736"/>
        <v>594</v>
      </c>
      <c r="M3082">
        <v>240</v>
      </c>
      <c r="N3082">
        <f t="shared" si="737"/>
        <v>354</v>
      </c>
    </row>
    <row r="3083" spans="1:14" x14ac:dyDescent="0.2">
      <c r="A3083" t="s">
        <v>3841</v>
      </c>
      <c r="B3083" s="1" t="s">
        <v>3806</v>
      </c>
      <c r="C3083" t="s">
        <v>14</v>
      </c>
      <c r="D3083" t="s">
        <v>448</v>
      </c>
      <c r="E3083">
        <v>30</v>
      </c>
      <c r="F3083" t="s">
        <v>3249</v>
      </c>
      <c r="G3083">
        <v>2023</v>
      </c>
      <c r="H3083" t="s">
        <v>2049</v>
      </c>
      <c r="I3083" t="s">
        <v>85</v>
      </c>
      <c r="J3083">
        <v>899</v>
      </c>
      <c r="K3083">
        <v>295</v>
      </c>
      <c r="L3083">
        <f t="shared" si="736"/>
        <v>604</v>
      </c>
      <c r="M3083">
        <v>240</v>
      </c>
      <c r="N3083">
        <f t="shared" si="737"/>
        <v>364</v>
      </c>
    </row>
    <row r="3084" spans="1:14" x14ac:dyDescent="0.2">
      <c r="A3084" t="s">
        <v>3842</v>
      </c>
      <c r="B3084" s="1" t="s">
        <v>3761</v>
      </c>
      <c r="C3084" t="s">
        <v>14</v>
      </c>
      <c r="D3084" t="s">
        <v>81</v>
      </c>
      <c r="E3084">
        <v>29</v>
      </c>
      <c r="F3084" t="s">
        <v>3249</v>
      </c>
      <c r="G3084">
        <v>2023</v>
      </c>
      <c r="H3084" t="s">
        <v>3843</v>
      </c>
      <c r="I3084" t="s">
        <v>171</v>
      </c>
      <c r="J3084">
        <v>849</v>
      </c>
      <c r="K3084">
        <v>250</v>
      </c>
      <c r="L3084">
        <f t="shared" si="736"/>
        <v>599</v>
      </c>
      <c r="M3084">
        <v>240</v>
      </c>
      <c r="N3084">
        <f t="shared" si="737"/>
        <v>359</v>
      </c>
    </row>
    <row r="3085" spans="1:14" x14ac:dyDescent="0.2">
      <c r="A3085" t="s">
        <v>3844</v>
      </c>
      <c r="B3085" s="1" t="s">
        <v>3806</v>
      </c>
      <c r="C3085" t="s">
        <v>14</v>
      </c>
      <c r="D3085" t="s">
        <v>380</v>
      </c>
      <c r="E3085">
        <v>30</v>
      </c>
      <c r="F3085" t="s">
        <v>3249</v>
      </c>
      <c r="G3085">
        <v>2023</v>
      </c>
      <c r="H3085" t="s">
        <v>1866</v>
      </c>
      <c r="I3085" t="s">
        <v>455</v>
      </c>
      <c r="J3085">
        <v>849</v>
      </c>
      <c r="K3085">
        <v>250</v>
      </c>
      <c r="L3085">
        <f t="shared" si="736"/>
        <v>599</v>
      </c>
      <c r="M3085">
        <v>240</v>
      </c>
      <c r="N3085">
        <f t="shared" si="737"/>
        <v>359</v>
      </c>
    </row>
    <row r="3086" spans="1:14" x14ac:dyDescent="0.2">
      <c r="A3086" t="s">
        <v>3688</v>
      </c>
      <c r="B3086" s="1" t="s">
        <v>3658</v>
      </c>
      <c r="C3086" t="s">
        <v>106</v>
      </c>
      <c r="D3086" t="s">
        <v>1012</v>
      </c>
      <c r="E3086">
        <v>24</v>
      </c>
      <c r="F3086" t="s">
        <v>3249</v>
      </c>
      <c r="G3086">
        <v>2023</v>
      </c>
      <c r="H3086" t="s">
        <v>104</v>
      </c>
      <c r="I3086" t="s">
        <v>62</v>
      </c>
      <c r="J3086">
        <v>-799</v>
      </c>
      <c r="K3086">
        <v>320</v>
      </c>
      <c r="L3086">
        <f>J3086+K3086</f>
        <v>-479</v>
      </c>
      <c r="M3086">
        <v>240</v>
      </c>
      <c r="N3086">
        <f>L3086+M3086</f>
        <v>-239</v>
      </c>
    </row>
    <row r="3087" spans="1:14" x14ac:dyDescent="0.2">
      <c r="A3087" t="s">
        <v>3846</v>
      </c>
      <c r="B3087" s="1" t="s">
        <v>3845</v>
      </c>
      <c r="C3087" t="s">
        <v>43</v>
      </c>
      <c r="D3087" t="s">
        <v>452</v>
      </c>
      <c r="E3087">
        <v>31</v>
      </c>
      <c r="F3087" t="s">
        <v>3249</v>
      </c>
      <c r="G3087">
        <v>2023</v>
      </c>
      <c r="H3087" t="s">
        <v>1115</v>
      </c>
      <c r="I3087" t="s">
        <v>135</v>
      </c>
      <c r="J3087">
        <v>0</v>
      </c>
      <c r="K3087">
        <v>0</v>
      </c>
      <c r="L3087">
        <v>0</v>
      </c>
      <c r="M3087">
        <v>0</v>
      </c>
      <c r="N3087">
        <v>0</v>
      </c>
    </row>
    <row r="3088" spans="1:14" x14ac:dyDescent="0.2">
      <c r="A3088" t="s">
        <v>3847</v>
      </c>
      <c r="B3088" s="1" t="s">
        <v>3845</v>
      </c>
      <c r="C3088" t="s">
        <v>43</v>
      </c>
      <c r="D3088" t="s">
        <v>81</v>
      </c>
      <c r="E3088">
        <v>31</v>
      </c>
      <c r="F3088" t="s">
        <v>3249</v>
      </c>
      <c r="G3088">
        <v>2023</v>
      </c>
      <c r="H3088" t="s">
        <v>246</v>
      </c>
      <c r="I3088" t="s">
        <v>58</v>
      </c>
      <c r="J3088">
        <v>0</v>
      </c>
      <c r="K3088">
        <v>0</v>
      </c>
      <c r="L3088">
        <v>0</v>
      </c>
      <c r="M3088">
        <v>0</v>
      </c>
      <c r="N3088">
        <v>0</v>
      </c>
    </row>
    <row r="3089" spans="1:14" x14ac:dyDescent="0.2">
      <c r="A3089" t="s">
        <v>3848</v>
      </c>
      <c r="B3089" s="1" t="s">
        <v>3845</v>
      </c>
      <c r="C3089" t="s">
        <v>43</v>
      </c>
      <c r="D3089" t="s">
        <v>1168</v>
      </c>
      <c r="E3089">
        <v>31</v>
      </c>
      <c r="F3089" t="s">
        <v>3249</v>
      </c>
      <c r="G3089">
        <v>2023</v>
      </c>
      <c r="H3089" t="s">
        <v>193</v>
      </c>
      <c r="I3089" t="s">
        <v>62</v>
      </c>
      <c r="J3089">
        <v>0</v>
      </c>
      <c r="K3089">
        <v>0</v>
      </c>
      <c r="L3089">
        <v>0</v>
      </c>
      <c r="M3089">
        <v>0</v>
      </c>
      <c r="N3089">
        <v>0</v>
      </c>
    </row>
    <row r="3090" spans="1:14" x14ac:dyDescent="0.2">
      <c r="A3090" t="s">
        <v>3849</v>
      </c>
      <c r="B3090" s="1" t="s">
        <v>3845</v>
      </c>
      <c r="C3090" t="s">
        <v>43</v>
      </c>
      <c r="D3090" t="s">
        <v>81</v>
      </c>
      <c r="E3090">
        <v>31</v>
      </c>
      <c r="F3090" t="s">
        <v>3249</v>
      </c>
      <c r="G3090">
        <v>2023</v>
      </c>
      <c r="H3090" t="s">
        <v>3767</v>
      </c>
      <c r="I3090" t="s">
        <v>28</v>
      </c>
      <c r="J3090">
        <v>0</v>
      </c>
      <c r="K3090">
        <v>0</v>
      </c>
      <c r="L3090">
        <v>0</v>
      </c>
      <c r="M3090">
        <v>0</v>
      </c>
      <c r="N3090">
        <v>0</v>
      </c>
    </row>
    <row r="3091" spans="1:14" x14ac:dyDescent="0.2">
      <c r="A3091" t="s">
        <v>3850</v>
      </c>
      <c r="B3091" s="1" t="s">
        <v>3845</v>
      </c>
      <c r="C3091" t="s">
        <v>14</v>
      </c>
      <c r="D3091" t="s">
        <v>274</v>
      </c>
      <c r="E3091">
        <v>31</v>
      </c>
      <c r="F3091" t="s">
        <v>3249</v>
      </c>
      <c r="G3091">
        <v>2023</v>
      </c>
      <c r="H3091" t="s">
        <v>913</v>
      </c>
      <c r="I3091" t="s">
        <v>163</v>
      </c>
      <c r="J3091">
        <v>799</v>
      </c>
      <c r="K3091">
        <v>205</v>
      </c>
      <c r="L3091">
        <f t="shared" ref="L3091:L3117" si="738">J3091-K3091</f>
        <v>594</v>
      </c>
      <c r="M3091">
        <v>240</v>
      </c>
      <c r="N3091">
        <f t="shared" ref="N3091:N3117" si="739">L3091-M3091</f>
        <v>354</v>
      </c>
    </row>
    <row r="3092" spans="1:14" x14ac:dyDescent="0.2">
      <c r="A3092" t="s">
        <v>3851</v>
      </c>
      <c r="B3092" s="1" t="s">
        <v>3845</v>
      </c>
      <c r="C3092" t="s">
        <v>14</v>
      </c>
      <c r="D3092" t="s">
        <v>274</v>
      </c>
      <c r="E3092">
        <v>31</v>
      </c>
      <c r="F3092" t="s">
        <v>3249</v>
      </c>
      <c r="G3092">
        <v>2023</v>
      </c>
      <c r="H3092" t="s">
        <v>3852</v>
      </c>
      <c r="I3092" t="s">
        <v>160</v>
      </c>
      <c r="J3092">
        <v>799</v>
      </c>
      <c r="K3092">
        <v>205</v>
      </c>
      <c r="L3092">
        <f t="shared" si="738"/>
        <v>594</v>
      </c>
      <c r="M3092">
        <v>240</v>
      </c>
      <c r="N3092">
        <f t="shared" si="739"/>
        <v>354</v>
      </c>
    </row>
    <row r="3093" spans="1:14" x14ac:dyDescent="0.2">
      <c r="A3093" t="s">
        <v>3848</v>
      </c>
      <c r="B3093" s="1" t="s">
        <v>3845</v>
      </c>
      <c r="C3093" t="s">
        <v>14</v>
      </c>
      <c r="D3093" t="s">
        <v>1168</v>
      </c>
      <c r="E3093">
        <v>31</v>
      </c>
      <c r="F3093" t="s">
        <v>3249</v>
      </c>
      <c r="G3093">
        <v>2023</v>
      </c>
      <c r="H3093" t="s">
        <v>193</v>
      </c>
      <c r="I3093" t="s">
        <v>62</v>
      </c>
      <c r="J3093">
        <v>799</v>
      </c>
      <c r="K3093">
        <v>205</v>
      </c>
      <c r="L3093">
        <f t="shared" si="738"/>
        <v>594</v>
      </c>
      <c r="M3093">
        <v>240</v>
      </c>
      <c r="N3093">
        <f t="shared" si="739"/>
        <v>354</v>
      </c>
    </row>
    <row r="3094" spans="1:14" x14ac:dyDescent="0.2">
      <c r="A3094" t="s">
        <v>3853</v>
      </c>
      <c r="B3094" s="1" t="s">
        <v>3845</v>
      </c>
      <c r="C3094" t="s">
        <v>14</v>
      </c>
      <c r="D3094" t="s">
        <v>452</v>
      </c>
      <c r="E3094">
        <v>31</v>
      </c>
      <c r="F3094" t="s">
        <v>3249</v>
      </c>
      <c r="G3094">
        <v>2023</v>
      </c>
      <c r="H3094" t="s">
        <v>104</v>
      </c>
      <c r="I3094" t="s">
        <v>62</v>
      </c>
      <c r="J3094">
        <v>799</v>
      </c>
      <c r="K3094">
        <v>205</v>
      </c>
      <c r="L3094">
        <f t="shared" si="738"/>
        <v>594</v>
      </c>
      <c r="M3094">
        <v>240</v>
      </c>
      <c r="N3094">
        <f t="shared" si="739"/>
        <v>354</v>
      </c>
    </row>
    <row r="3095" spans="1:14" x14ac:dyDescent="0.2">
      <c r="A3095" t="s">
        <v>3854</v>
      </c>
      <c r="B3095" s="1" t="s">
        <v>3845</v>
      </c>
      <c r="C3095" t="s">
        <v>14</v>
      </c>
      <c r="D3095" t="s">
        <v>863</v>
      </c>
      <c r="E3095">
        <v>31</v>
      </c>
      <c r="F3095" t="s">
        <v>3249</v>
      </c>
      <c r="G3095">
        <v>2023</v>
      </c>
      <c r="H3095" t="s">
        <v>49</v>
      </c>
      <c r="I3095" t="s">
        <v>32</v>
      </c>
      <c r="J3095">
        <v>799</v>
      </c>
      <c r="K3095">
        <v>205</v>
      </c>
      <c r="L3095">
        <f t="shared" si="738"/>
        <v>594</v>
      </c>
      <c r="M3095">
        <v>240</v>
      </c>
      <c r="N3095">
        <f t="shared" si="739"/>
        <v>354</v>
      </c>
    </row>
    <row r="3096" spans="1:14" x14ac:dyDescent="0.2">
      <c r="A3096" t="s">
        <v>3855</v>
      </c>
      <c r="B3096" s="1" t="s">
        <v>3845</v>
      </c>
      <c r="C3096" t="s">
        <v>14</v>
      </c>
      <c r="D3096" t="s">
        <v>881</v>
      </c>
      <c r="E3096">
        <v>31</v>
      </c>
      <c r="F3096" t="s">
        <v>3249</v>
      </c>
      <c r="G3096">
        <v>2023</v>
      </c>
      <c r="H3096" t="s">
        <v>3856</v>
      </c>
      <c r="I3096" t="s">
        <v>23</v>
      </c>
      <c r="J3096">
        <v>799</v>
      </c>
      <c r="K3096">
        <v>205</v>
      </c>
      <c r="L3096">
        <f t="shared" si="738"/>
        <v>594</v>
      </c>
      <c r="M3096">
        <v>240</v>
      </c>
      <c r="N3096">
        <f t="shared" si="739"/>
        <v>354</v>
      </c>
    </row>
    <row r="3097" spans="1:14" x14ac:dyDescent="0.2">
      <c r="A3097" t="s">
        <v>3857</v>
      </c>
      <c r="B3097" s="1" t="s">
        <v>3845</v>
      </c>
      <c r="C3097" t="s">
        <v>14</v>
      </c>
      <c r="D3097" t="s">
        <v>379</v>
      </c>
      <c r="E3097">
        <v>31</v>
      </c>
      <c r="F3097" t="s">
        <v>3249</v>
      </c>
      <c r="G3097">
        <v>2023</v>
      </c>
      <c r="H3097" t="s">
        <v>235</v>
      </c>
      <c r="I3097" t="s">
        <v>62</v>
      </c>
      <c r="J3097">
        <v>799</v>
      </c>
      <c r="K3097">
        <v>205</v>
      </c>
      <c r="L3097">
        <f t="shared" si="738"/>
        <v>594</v>
      </c>
      <c r="M3097">
        <v>240</v>
      </c>
      <c r="N3097">
        <f t="shared" si="739"/>
        <v>354</v>
      </c>
    </row>
    <row r="3098" spans="1:14" x14ac:dyDescent="0.2">
      <c r="A3098" t="s">
        <v>3858</v>
      </c>
      <c r="B3098" s="1" t="s">
        <v>3845</v>
      </c>
      <c r="C3098" t="s">
        <v>14</v>
      </c>
      <c r="D3098" t="s">
        <v>133</v>
      </c>
      <c r="E3098">
        <v>31</v>
      </c>
      <c r="F3098" t="s">
        <v>3249</v>
      </c>
      <c r="G3098">
        <v>2023</v>
      </c>
      <c r="H3098" t="s">
        <v>3859</v>
      </c>
      <c r="I3098" t="s">
        <v>160</v>
      </c>
      <c r="J3098">
        <v>799</v>
      </c>
      <c r="K3098">
        <v>205</v>
      </c>
      <c r="L3098">
        <f t="shared" si="738"/>
        <v>594</v>
      </c>
      <c r="M3098">
        <v>240</v>
      </c>
      <c r="N3098">
        <f t="shared" si="739"/>
        <v>354</v>
      </c>
    </row>
    <row r="3099" spans="1:14" x14ac:dyDescent="0.2">
      <c r="A3099" t="s">
        <v>3860</v>
      </c>
      <c r="B3099" s="1" t="s">
        <v>3845</v>
      </c>
      <c r="C3099" t="s">
        <v>14</v>
      </c>
      <c r="D3099" t="s">
        <v>1212</v>
      </c>
      <c r="E3099">
        <v>31</v>
      </c>
      <c r="F3099" t="s">
        <v>3249</v>
      </c>
      <c r="G3099">
        <v>2023</v>
      </c>
      <c r="H3099" t="s">
        <v>3861</v>
      </c>
      <c r="I3099" t="s">
        <v>135</v>
      </c>
      <c r="J3099">
        <v>799</v>
      </c>
      <c r="K3099">
        <v>205</v>
      </c>
      <c r="L3099">
        <f t="shared" si="738"/>
        <v>594</v>
      </c>
      <c r="M3099">
        <v>240</v>
      </c>
      <c r="N3099">
        <f t="shared" si="739"/>
        <v>354</v>
      </c>
    </row>
    <row r="3100" spans="1:14" x14ac:dyDescent="0.2">
      <c r="A3100" t="s">
        <v>3862</v>
      </c>
      <c r="B3100" s="1" t="s">
        <v>3806</v>
      </c>
      <c r="C3100" t="s">
        <v>14</v>
      </c>
      <c r="D3100" t="s">
        <v>967</v>
      </c>
      <c r="E3100">
        <v>30</v>
      </c>
      <c r="F3100" t="s">
        <v>3249</v>
      </c>
      <c r="G3100">
        <v>2023</v>
      </c>
      <c r="H3100" t="s">
        <v>398</v>
      </c>
      <c r="I3100" t="s">
        <v>399</v>
      </c>
      <c r="J3100">
        <v>799</v>
      </c>
      <c r="K3100">
        <v>205</v>
      </c>
      <c r="L3100">
        <f t="shared" si="738"/>
        <v>594</v>
      </c>
      <c r="M3100">
        <v>240</v>
      </c>
      <c r="N3100">
        <f t="shared" si="739"/>
        <v>354</v>
      </c>
    </row>
    <row r="3101" spans="1:14" x14ac:dyDescent="0.2">
      <c r="A3101" t="s">
        <v>3863</v>
      </c>
      <c r="B3101" s="1" t="s">
        <v>3845</v>
      </c>
      <c r="C3101" t="s">
        <v>14</v>
      </c>
      <c r="D3101" t="s">
        <v>1212</v>
      </c>
      <c r="E3101">
        <v>31</v>
      </c>
      <c r="F3101" t="s">
        <v>3249</v>
      </c>
      <c r="G3101">
        <v>2023</v>
      </c>
      <c r="H3101" t="s">
        <v>1417</v>
      </c>
      <c r="I3101" t="s">
        <v>37</v>
      </c>
      <c r="J3101">
        <v>799</v>
      </c>
      <c r="K3101">
        <v>205</v>
      </c>
      <c r="L3101">
        <f t="shared" si="738"/>
        <v>594</v>
      </c>
      <c r="M3101">
        <v>240</v>
      </c>
      <c r="N3101">
        <f t="shared" si="739"/>
        <v>354</v>
      </c>
    </row>
    <row r="3102" spans="1:14" x14ac:dyDescent="0.2">
      <c r="A3102" t="s">
        <v>3864</v>
      </c>
      <c r="B3102" s="1" t="s">
        <v>3845</v>
      </c>
      <c r="C3102" t="s">
        <v>14</v>
      </c>
      <c r="D3102" t="s">
        <v>448</v>
      </c>
      <c r="E3102">
        <v>31</v>
      </c>
      <c r="F3102" t="s">
        <v>3249</v>
      </c>
      <c r="G3102">
        <v>2023</v>
      </c>
      <c r="H3102" t="s">
        <v>3865</v>
      </c>
      <c r="I3102" t="s">
        <v>253</v>
      </c>
      <c r="J3102">
        <v>899</v>
      </c>
      <c r="K3102">
        <v>295</v>
      </c>
      <c r="L3102">
        <f t="shared" si="738"/>
        <v>604</v>
      </c>
      <c r="M3102">
        <v>240</v>
      </c>
      <c r="N3102">
        <f t="shared" si="739"/>
        <v>364</v>
      </c>
    </row>
    <row r="3103" spans="1:14" x14ac:dyDescent="0.2">
      <c r="A3103" t="s">
        <v>3866</v>
      </c>
      <c r="B3103" s="1" t="s">
        <v>3845</v>
      </c>
      <c r="C3103" t="s">
        <v>14</v>
      </c>
      <c r="D3103" t="s">
        <v>548</v>
      </c>
      <c r="E3103">
        <v>31</v>
      </c>
      <c r="F3103" t="s">
        <v>3249</v>
      </c>
      <c r="G3103">
        <v>2023</v>
      </c>
      <c r="H3103" t="s">
        <v>3867</v>
      </c>
      <c r="I3103" t="s">
        <v>19</v>
      </c>
      <c r="J3103">
        <v>899</v>
      </c>
      <c r="K3103">
        <v>295</v>
      </c>
      <c r="L3103">
        <f t="shared" si="738"/>
        <v>604</v>
      </c>
      <c r="M3103">
        <v>240</v>
      </c>
      <c r="N3103">
        <f t="shared" si="739"/>
        <v>364</v>
      </c>
    </row>
    <row r="3104" spans="1:14" x14ac:dyDescent="0.2">
      <c r="A3104" t="s">
        <v>3868</v>
      </c>
      <c r="B3104" s="1" t="s">
        <v>3845</v>
      </c>
      <c r="C3104" t="s">
        <v>14</v>
      </c>
      <c r="D3104" t="s">
        <v>379</v>
      </c>
      <c r="E3104">
        <v>31</v>
      </c>
      <c r="F3104" t="s">
        <v>3249</v>
      </c>
      <c r="G3104">
        <v>2023</v>
      </c>
      <c r="H3104" t="s">
        <v>3869</v>
      </c>
      <c r="I3104" t="s">
        <v>62</v>
      </c>
      <c r="J3104">
        <v>799</v>
      </c>
      <c r="K3104">
        <v>205</v>
      </c>
      <c r="L3104">
        <f t="shared" si="738"/>
        <v>594</v>
      </c>
      <c r="M3104">
        <v>240</v>
      </c>
      <c r="N3104">
        <f t="shared" si="739"/>
        <v>354</v>
      </c>
    </row>
    <row r="3105" spans="1:14" x14ac:dyDescent="0.2">
      <c r="A3105" t="s">
        <v>3870</v>
      </c>
      <c r="B3105" s="1" t="s">
        <v>3845</v>
      </c>
      <c r="C3105" t="s">
        <v>14</v>
      </c>
      <c r="D3105" t="s">
        <v>379</v>
      </c>
      <c r="E3105">
        <v>31</v>
      </c>
      <c r="F3105" t="s">
        <v>3249</v>
      </c>
      <c r="G3105">
        <v>2023</v>
      </c>
      <c r="H3105" t="s">
        <v>170</v>
      </c>
      <c r="I3105" t="s">
        <v>171</v>
      </c>
      <c r="J3105">
        <v>799</v>
      </c>
      <c r="K3105">
        <v>205</v>
      </c>
      <c r="L3105">
        <f t="shared" si="738"/>
        <v>594</v>
      </c>
      <c r="M3105">
        <v>240</v>
      </c>
      <c r="N3105">
        <f t="shared" si="739"/>
        <v>354</v>
      </c>
    </row>
    <row r="3106" spans="1:14" x14ac:dyDescent="0.2">
      <c r="A3106" t="s">
        <v>3871</v>
      </c>
      <c r="B3106" s="1" t="s">
        <v>3845</v>
      </c>
      <c r="C3106" t="s">
        <v>14</v>
      </c>
      <c r="D3106" t="s">
        <v>242</v>
      </c>
      <c r="E3106">
        <v>31</v>
      </c>
      <c r="F3106" t="s">
        <v>3249</v>
      </c>
      <c r="G3106">
        <v>2023</v>
      </c>
      <c r="H3106" t="s">
        <v>3872</v>
      </c>
      <c r="I3106" t="s">
        <v>32</v>
      </c>
      <c r="J3106">
        <v>899</v>
      </c>
      <c r="K3106">
        <v>295</v>
      </c>
      <c r="L3106">
        <f t="shared" si="738"/>
        <v>604</v>
      </c>
      <c r="M3106">
        <v>240</v>
      </c>
      <c r="N3106">
        <f t="shared" si="739"/>
        <v>364</v>
      </c>
    </row>
    <row r="3107" spans="1:14" x14ac:dyDescent="0.2">
      <c r="A3107" t="s">
        <v>3873</v>
      </c>
      <c r="B3107" s="1" t="s">
        <v>3845</v>
      </c>
      <c r="C3107" t="s">
        <v>14</v>
      </c>
      <c r="D3107" t="s">
        <v>993</v>
      </c>
      <c r="E3107">
        <v>31</v>
      </c>
      <c r="F3107" t="s">
        <v>3249</v>
      </c>
      <c r="G3107">
        <v>2023</v>
      </c>
      <c r="H3107" t="s">
        <v>3874</v>
      </c>
      <c r="I3107" t="s">
        <v>32</v>
      </c>
      <c r="J3107">
        <v>799</v>
      </c>
      <c r="K3107">
        <v>205</v>
      </c>
      <c r="L3107">
        <f t="shared" si="738"/>
        <v>594</v>
      </c>
      <c r="M3107">
        <v>240</v>
      </c>
      <c r="N3107">
        <f t="shared" si="739"/>
        <v>354</v>
      </c>
    </row>
    <row r="3108" spans="1:14" x14ac:dyDescent="0.2">
      <c r="A3108" t="s">
        <v>3875</v>
      </c>
      <c r="B3108" s="1" t="s">
        <v>3845</v>
      </c>
      <c r="C3108" t="s">
        <v>14</v>
      </c>
      <c r="D3108" t="s">
        <v>380</v>
      </c>
      <c r="E3108">
        <v>31</v>
      </c>
      <c r="F3108" t="s">
        <v>3249</v>
      </c>
      <c r="G3108">
        <v>2023</v>
      </c>
      <c r="H3108" t="s">
        <v>3876</v>
      </c>
      <c r="I3108" t="s">
        <v>62</v>
      </c>
      <c r="J3108">
        <v>849</v>
      </c>
      <c r="K3108">
        <v>250</v>
      </c>
      <c r="L3108">
        <f t="shared" si="738"/>
        <v>599</v>
      </c>
      <c r="M3108">
        <v>240</v>
      </c>
      <c r="N3108">
        <f t="shared" si="739"/>
        <v>359</v>
      </c>
    </row>
    <row r="3109" spans="1:14" x14ac:dyDescent="0.2">
      <c r="A3109" t="s">
        <v>3846</v>
      </c>
      <c r="B3109" s="1" t="s">
        <v>3845</v>
      </c>
      <c r="C3109" t="s">
        <v>14</v>
      </c>
      <c r="D3109" t="s">
        <v>452</v>
      </c>
      <c r="E3109">
        <v>31</v>
      </c>
      <c r="F3109" t="s">
        <v>3249</v>
      </c>
      <c r="G3109">
        <v>2023</v>
      </c>
      <c r="H3109" t="s">
        <v>1115</v>
      </c>
      <c r="I3109" t="s">
        <v>135</v>
      </c>
      <c r="J3109">
        <v>799</v>
      </c>
      <c r="K3109">
        <v>205</v>
      </c>
      <c r="L3109">
        <f t="shared" si="738"/>
        <v>594</v>
      </c>
      <c r="M3109">
        <v>240</v>
      </c>
      <c r="N3109">
        <f t="shared" si="739"/>
        <v>354</v>
      </c>
    </row>
    <row r="3110" spans="1:14" x14ac:dyDescent="0.2">
      <c r="A3110" t="s">
        <v>3877</v>
      </c>
      <c r="B3110" s="1" t="s">
        <v>3845</v>
      </c>
      <c r="C3110" t="s">
        <v>14</v>
      </c>
      <c r="D3110" t="s">
        <v>2096</v>
      </c>
      <c r="E3110">
        <v>31</v>
      </c>
      <c r="F3110" t="s">
        <v>3249</v>
      </c>
      <c r="G3110">
        <v>2023</v>
      </c>
      <c r="H3110" t="s">
        <v>3878</v>
      </c>
      <c r="I3110" t="s">
        <v>28</v>
      </c>
      <c r="J3110">
        <v>799</v>
      </c>
      <c r="K3110">
        <v>205</v>
      </c>
      <c r="L3110">
        <f t="shared" si="738"/>
        <v>594</v>
      </c>
      <c r="M3110">
        <v>240</v>
      </c>
      <c r="N3110">
        <f t="shared" si="739"/>
        <v>354</v>
      </c>
    </row>
    <row r="3111" spans="1:14" x14ac:dyDescent="0.2">
      <c r="A3111" t="s">
        <v>3879</v>
      </c>
      <c r="B3111" s="1" t="s">
        <v>3845</v>
      </c>
      <c r="C3111" t="s">
        <v>14</v>
      </c>
      <c r="D3111" t="s">
        <v>81</v>
      </c>
      <c r="E3111">
        <v>31</v>
      </c>
      <c r="F3111" t="s">
        <v>3249</v>
      </c>
      <c r="G3111">
        <v>2023</v>
      </c>
      <c r="H3111" t="s">
        <v>3880</v>
      </c>
      <c r="I3111" t="s">
        <v>23</v>
      </c>
      <c r="J3111">
        <v>849</v>
      </c>
      <c r="K3111">
        <v>250</v>
      </c>
      <c r="L3111">
        <f t="shared" si="738"/>
        <v>599</v>
      </c>
      <c r="M3111">
        <v>240</v>
      </c>
      <c r="N3111">
        <f t="shared" si="739"/>
        <v>359</v>
      </c>
    </row>
    <row r="3112" spans="1:14" x14ac:dyDescent="0.2">
      <c r="A3112" t="s">
        <v>3847</v>
      </c>
      <c r="B3112" s="1" t="s">
        <v>3845</v>
      </c>
      <c r="C3112" t="s">
        <v>14</v>
      </c>
      <c r="D3112" t="s">
        <v>81</v>
      </c>
      <c r="E3112">
        <v>31</v>
      </c>
      <c r="F3112" t="s">
        <v>3249</v>
      </c>
      <c r="G3112">
        <v>2023</v>
      </c>
      <c r="H3112" t="s">
        <v>246</v>
      </c>
      <c r="I3112" t="s">
        <v>58</v>
      </c>
      <c r="J3112">
        <v>849</v>
      </c>
      <c r="K3112">
        <v>250</v>
      </c>
      <c r="L3112">
        <f t="shared" si="738"/>
        <v>599</v>
      </c>
      <c r="M3112">
        <v>240</v>
      </c>
      <c r="N3112">
        <f t="shared" si="739"/>
        <v>359</v>
      </c>
    </row>
    <row r="3113" spans="1:14" x14ac:dyDescent="0.2">
      <c r="A3113" t="s">
        <v>3881</v>
      </c>
      <c r="B3113" s="1" t="s">
        <v>3845</v>
      </c>
      <c r="C3113" t="s">
        <v>14</v>
      </c>
      <c r="D3113" t="s">
        <v>169</v>
      </c>
      <c r="E3113">
        <v>31</v>
      </c>
      <c r="F3113" t="s">
        <v>3249</v>
      </c>
      <c r="G3113">
        <v>2023</v>
      </c>
      <c r="H3113" t="s">
        <v>3882</v>
      </c>
      <c r="I3113" t="s">
        <v>23</v>
      </c>
      <c r="J3113">
        <v>799</v>
      </c>
      <c r="K3113">
        <v>205</v>
      </c>
      <c r="L3113">
        <f t="shared" si="738"/>
        <v>594</v>
      </c>
      <c r="M3113">
        <v>240</v>
      </c>
      <c r="N3113">
        <f t="shared" si="739"/>
        <v>354</v>
      </c>
    </row>
    <row r="3114" spans="1:14" x14ac:dyDescent="0.2">
      <c r="A3114" t="s">
        <v>3883</v>
      </c>
      <c r="B3114" s="1" t="s">
        <v>3845</v>
      </c>
      <c r="C3114" t="s">
        <v>14</v>
      </c>
      <c r="D3114" t="s">
        <v>890</v>
      </c>
      <c r="E3114">
        <v>31</v>
      </c>
      <c r="F3114" t="s">
        <v>3249</v>
      </c>
      <c r="G3114">
        <v>2023</v>
      </c>
      <c r="H3114" t="s">
        <v>1849</v>
      </c>
      <c r="I3114" t="s">
        <v>62</v>
      </c>
      <c r="J3114">
        <v>849</v>
      </c>
      <c r="K3114">
        <v>250</v>
      </c>
      <c r="L3114">
        <f t="shared" si="738"/>
        <v>599</v>
      </c>
      <c r="M3114">
        <v>240</v>
      </c>
      <c r="N3114">
        <f t="shared" si="739"/>
        <v>359</v>
      </c>
    </row>
    <row r="3115" spans="1:14" x14ac:dyDescent="0.2">
      <c r="A3115" t="s">
        <v>3884</v>
      </c>
      <c r="B3115" s="1" t="s">
        <v>3845</v>
      </c>
      <c r="C3115" t="s">
        <v>14</v>
      </c>
      <c r="D3115" t="s">
        <v>448</v>
      </c>
      <c r="E3115">
        <v>31</v>
      </c>
      <c r="F3115" t="s">
        <v>3249</v>
      </c>
      <c r="G3115">
        <v>2023</v>
      </c>
      <c r="H3115" t="s">
        <v>68</v>
      </c>
      <c r="I3115" t="s">
        <v>62</v>
      </c>
      <c r="J3115">
        <v>899</v>
      </c>
      <c r="K3115">
        <v>295</v>
      </c>
      <c r="L3115">
        <f t="shared" si="738"/>
        <v>604</v>
      </c>
      <c r="M3115">
        <v>240</v>
      </c>
      <c r="N3115">
        <f t="shared" si="739"/>
        <v>364</v>
      </c>
    </row>
    <row r="3116" spans="1:14" x14ac:dyDescent="0.2">
      <c r="A3116" t="s">
        <v>3885</v>
      </c>
      <c r="B3116" s="1" t="s">
        <v>3845</v>
      </c>
      <c r="C3116" t="s">
        <v>14</v>
      </c>
      <c r="D3116" t="s">
        <v>81</v>
      </c>
      <c r="E3116">
        <v>31</v>
      </c>
      <c r="F3116" t="s">
        <v>3249</v>
      </c>
      <c r="G3116">
        <v>2023</v>
      </c>
      <c r="H3116" t="s">
        <v>84</v>
      </c>
      <c r="I3116" t="s">
        <v>85</v>
      </c>
      <c r="J3116">
        <v>849</v>
      </c>
      <c r="K3116">
        <v>250</v>
      </c>
      <c r="L3116">
        <f t="shared" si="738"/>
        <v>599</v>
      </c>
      <c r="M3116">
        <v>240</v>
      </c>
      <c r="N3116">
        <f t="shared" si="739"/>
        <v>359</v>
      </c>
    </row>
    <row r="3117" spans="1:14" x14ac:dyDescent="0.2">
      <c r="A3117" t="s">
        <v>3886</v>
      </c>
      <c r="B3117" s="1" t="s">
        <v>3845</v>
      </c>
      <c r="C3117" t="s">
        <v>14</v>
      </c>
      <c r="D3117" t="s">
        <v>812</v>
      </c>
      <c r="E3117">
        <v>31</v>
      </c>
      <c r="F3117" t="s">
        <v>3249</v>
      </c>
      <c r="G3117">
        <v>2023</v>
      </c>
      <c r="H3117" t="s">
        <v>190</v>
      </c>
      <c r="I3117" t="s">
        <v>23</v>
      </c>
      <c r="J3117">
        <v>999</v>
      </c>
      <c r="K3117">
        <v>325</v>
      </c>
      <c r="L3117">
        <f t="shared" si="738"/>
        <v>674</v>
      </c>
      <c r="M3117">
        <v>240</v>
      </c>
      <c r="N3117">
        <f t="shared" si="739"/>
        <v>434</v>
      </c>
    </row>
    <row r="3118" spans="1:14" x14ac:dyDescent="0.2">
      <c r="A3118" t="s">
        <v>3887</v>
      </c>
      <c r="B3118" s="1" t="s">
        <v>3845</v>
      </c>
      <c r="C3118" t="s">
        <v>20</v>
      </c>
      <c r="D3118" t="s">
        <v>169</v>
      </c>
      <c r="E3118">
        <v>31</v>
      </c>
      <c r="F3118" t="s">
        <v>3249</v>
      </c>
      <c r="G3118">
        <v>2023</v>
      </c>
      <c r="H3118" t="s">
        <v>3888</v>
      </c>
      <c r="I3118" t="s">
        <v>62</v>
      </c>
      <c r="J3118">
        <v>0</v>
      </c>
      <c r="K3118">
        <v>0</v>
      </c>
      <c r="L3118">
        <v>0</v>
      </c>
      <c r="M3118">
        <v>0</v>
      </c>
      <c r="N3118">
        <v>0</v>
      </c>
    </row>
    <row r="3119" spans="1:14" x14ac:dyDescent="0.2">
      <c r="A3119" t="s">
        <v>3890</v>
      </c>
      <c r="B3119" s="1" t="s">
        <v>3889</v>
      </c>
      <c r="C3119" t="s">
        <v>43</v>
      </c>
      <c r="D3119" t="s">
        <v>242</v>
      </c>
      <c r="E3119">
        <v>1</v>
      </c>
      <c r="F3119" t="s">
        <v>3891</v>
      </c>
      <c r="G3119">
        <v>2023</v>
      </c>
      <c r="H3119" t="s">
        <v>3880</v>
      </c>
      <c r="I3119" t="s">
        <v>23</v>
      </c>
      <c r="J3119">
        <v>0</v>
      </c>
      <c r="K3119">
        <v>0</v>
      </c>
      <c r="L3119">
        <v>0</v>
      </c>
      <c r="M3119">
        <v>0</v>
      </c>
      <c r="N3119">
        <v>0</v>
      </c>
    </row>
    <row r="3120" spans="1:14" x14ac:dyDescent="0.2">
      <c r="A3120" t="s">
        <v>3892</v>
      </c>
      <c r="B3120" s="1" t="s">
        <v>3889</v>
      </c>
      <c r="C3120" t="s">
        <v>14</v>
      </c>
      <c r="D3120" t="s">
        <v>893</v>
      </c>
      <c r="E3120">
        <v>1</v>
      </c>
      <c r="F3120" t="s">
        <v>3891</v>
      </c>
      <c r="G3120">
        <v>2023</v>
      </c>
      <c r="H3120" t="s">
        <v>415</v>
      </c>
      <c r="I3120" t="s">
        <v>135</v>
      </c>
      <c r="J3120">
        <v>849</v>
      </c>
      <c r="K3120">
        <v>250</v>
      </c>
      <c r="L3120">
        <f>J3120-K3120</f>
        <v>599</v>
      </c>
      <c r="M3120">
        <v>240</v>
      </c>
      <c r="N3120">
        <f>L3120-M3120</f>
        <v>359</v>
      </c>
    </row>
    <row r="3121" spans="1:14" x14ac:dyDescent="0.2">
      <c r="A3121" t="s">
        <v>3893</v>
      </c>
      <c r="B3121" s="1" t="s">
        <v>3889</v>
      </c>
      <c r="C3121" t="s">
        <v>43</v>
      </c>
      <c r="D3121" t="s">
        <v>989</v>
      </c>
      <c r="E3121">
        <v>1</v>
      </c>
      <c r="F3121" t="s">
        <v>3891</v>
      </c>
      <c r="G3121">
        <v>2023</v>
      </c>
      <c r="H3121" t="s">
        <v>215</v>
      </c>
      <c r="I3121" t="s">
        <v>135</v>
      </c>
      <c r="J3121">
        <v>0</v>
      </c>
      <c r="K3121">
        <v>0</v>
      </c>
      <c r="L3121">
        <v>0</v>
      </c>
      <c r="M3121">
        <v>0</v>
      </c>
      <c r="N3121">
        <v>0</v>
      </c>
    </row>
    <row r="3122" spans="1:14" x14ac:dyDescent="0.2">
      <c r="A3122" t="s">
        <v>3894</v>
      </c>
      <c r="B3122" s="1" t="s">
        <v>3889</v>
      </c>
      <c r="C3122" t="s">
        <v>14</v>
      </c>
      <c r="D3122" t="s">
        <v>812</v>
      </c>
      <c r="E3122">
        <v>1</v>
      </c>
      <c r="F3122" t="s">
        <v>3891</v>
      </c>
      <c r="G3122">
        <v>2023</v>
      </c>
      <c r="H3122" t="s">
        <v>272</v>
      </c>
      <c r="I3122" t="s">
        <v>23</v>
      </c>
      <c r="J3122">
        <v>999</v>
      </c>
      <c r="K3122">
        <v>325</v>
      </c>
      <c r="L3122">
        <f>J3122-K3122</f>
        <v>674</v>
      </c>
      <c r="M3122">
        <v>240</v>
      </c>
      <c r="N3122">
        <f>L3122-M3122</f>
        <v>434</v>
      </c>
    </row>
    <row r="3123" spans="1:14" x14ac:dyDescent="0.2">
      <c r="A3123" t="s">
        <v>3895</v>
      </c>
      <c r="B3123" s="1" t="s">
        <v>3889</v>
      </c>
      <c r="C3123" t="s">
        <v>20</v>
      </c>
      <c r="D3123" t="s">
        <v>812</v>
      </c>
      <c r="E3123">
        <v>1</v>
      </c>
      <c r="F3123" t="s">
        <v>3891</v>
      </c>
      <c r="G3123">
        <v>2023</v>
      </c>
      <c r="H3123" t="s">
        <v>157</v>
      </c>
      <c r="I3123" t="s">
        <v>97</v>
      </c>
      <c r="J3123">
        <v>0</v>
      </c>
      <c r="K3123">
        <v>0</v>
      </c>
      <c r="L3123">
        <v>0</v>
      </c>
      <c r="M3123">
        <v>0</v>
      </c>
      <c r="N3123">
        <v>0</v>
      </c>
    </row>
    <row r="3124" spans="1:14" x14ac:dyDescent="0.2">
      <c r="A3124" t="s">
        <v>3896</v>
      </c>
      <c r="B3124" s="1" t="s">
        <v>3889</v>
      </c>
      <c r="C3124" t="s">
        <v>14</v>
      </c>
      <c r="D3124" t="s">
        <v>504</v>
      </c>
      <c r="E3124">
        <v>1</v>
      </c>
      <c r="F3124" t="s">
        <v>3891</v>
      </c>
      <c r="G3124">
        <v>2023</v>
      </c>
      <c r="H3124" t="s">
        <v>309</v>
      </c>
      <c r="I3124" t="s">
        <v>212</v>
      </c>
      <c r="J3124">
        <v>899</v>
      </c>
      <c r="K3124">
        <v>295</v>
      </c>
      <c r="L3124">
        <f t="shared" ref="L3124:L3148" si="740">J3124-K3124</f>
        <v>604</v>
      </c>
      <c r="M3124">
        <v>240</v>
      </c>
      <c r="N3124">
        <f t="shared" ref="N3124:N3148" si="741">L3124-M3124</f>
        <v>364</v>
      </c>
    </row>
    <row r="3125" spans="1:14" x14ac:dyDescent="0.2">
      <c r="A3125" t="s">
        <v>3897</v>
      </c>
      <c r="B3125" s="1" t="s">
        <v>3889</v>
      </c>
      <c r="C3125" t="s">
        <v>14</v>
      </c>
      <c r="D3125" t="s">
        <v>915</v>
      </c>
      <c r="E3125">
        <v>1</v>
      </c>
      <c r="F3125" t="s">
        <v>3891</v>
      </c>
      <c r="G3125">
        <v>2023</v>
      </c>
      <c r="H3125" t="s">
        <v>3898</v>
      </c>
      <c r="I3125" t="s">
        <v>212</v>
      </c>
      <c r="J3125">
        <v>799</v>
      </c>
      <c r="K3125">
        <v>205</v>
      </c>
      <c r="L3125">
        <f t="shared" si="740"/>
        <v>594</v>
      </c>
      <c r="M3125">
        <v>240</v>
      </c>
      <c r="N3125">
        <f t="shared" si="741"/>
        <v>354</v>
      </c>
    </row>
    <row r="3126" spans="1:14" x14ac:dyDescent="0.2">
      <c r="A3126" t="s">
        <v>3899</v>
      </c>
      <c r="B3126" s="1" t="s">
        <v>3889</v>
      </c>
      <c r="C3126" t="s">
        <v>14</v>
      </c>
      <c r="D3126" t="s">
        <v>573</v>
      </c>
      <c r="E3126">
        <v>1</v>
      </c>
      <c r="F3126" t="s">
        <v>3891</v>
      </c>
      <c r="G3126">
        <v>2023</v>
      </c>
      <c r="H3126" t="s">
        <v>314</v>
      </c>
      <c r="I3126" t="s">
        <v>58</v>
      </c>
      <c r="J3126">
        <v>899</v>
      </c>
      <c r="K3126">
        <v>295</v>
      </c>
      <c r="L3126">
        <f t="shared" si="740"/>
        <v>604</v>
      </c>
      <c r="M3126">
        <v>240</v>
      </c>
      <c r="N3126">
        <f t="shared" si="741"/>
        <v>364</v>
      </c>
    </row>
    <row r="3127" spans="1:14" x14ac:dyDescent="0.2">
      <c r="A3127" t="s">
        <v>3900</v>
      </c>
      <c r="B3127" s="1" t="s">
        <v>3889</v>
      </c>
      <c r="C3127" t="s">
        <v>14</v>
      </c>
      <c r="D3127" t="s">
        <v>169</v>
      </c>
      <c r="E3127">
        <v>1</v>
      </c>
      <c r="F3127" t="s">
        <v>3891</v>
      </c>
      <c r="G3127">
        <v>2023</v>
      </c>
      <c r="H3127" t="s">
        <v>22</v>
      </c>
      <c r="I3127" t="s">
        <v>23</v>
      </c>
      <c r="J3127">
        <v>799</v>
      </c>
      <c r="K3127">
        <v>205</v>
      </c>
      <c r="L3127">
        <f t="shared" si="740"/>
        <v>594</v>
      </c>
      <c r="M3127">
        <v>240</v>
      </c>
      <c r="N3127">
        <f t="shared" si="741"/>
        <v>354</v>
      </c>
    </row>
    <row r="3128" spans="1:14" x14ac:dyDescent="0.2">
      <c r="A3128" t="s">
        <v>3901</v>
      </c>
      <c r="B3128" s="1" t="s">
        <v>3889</v>
      </c>
      <c r="C3128" t="s">
        <v>14</v>
      </c>
      <c r="D3128" t="s">
        <v>169</v>
      </c>
      <c r="E3128">
        <v>1</v>
      </c>
      <c r="F3128" t="s">
        <v>3891</v>
      </c>
      <c r="G3128">
        <v>2023</v>
      </c>
      <c r="H3128" t="s">
        <v>235</v>
      </c>
      <c r="I3128" t="s">
        <v>62</v>
      </c>
      <c r="J3128">
        <v>799</v>
      </c>
      <c r="K3128">
        <v>205</v>
      </c>
      <c r="L3128">
        <f t="shared" si="740"/>
        <v>594</v>
      </c>
      <c r="M3128">
        <v>240</v>
      </c>
      <c r="N3128">
        <f t="shared" si="741"/>
        <v>354</v>
      </c>
    </row>
    <row r="3129" spans="1:14" x14ac:dyDescent="0.2">
      <c r="A3129" t="s">
        <v>3902</v>
      </c>
      <c r="B3129" s="1" t="s">
        <v>3889</v>
      </c>
      <c r="C3129" t="s">
        <v>14</v>
      </c>
      <c r="D3129" t="s">
        <v>445</v>
      </c>
      <c r="E3129">
        <v>1</v>
      </c>
      <c r="F3129" t="s">
        <v>3891</v>
      </c>
      <c r="G3129">
        <v>2023</v>
      </c>
      <c r="H3129" t="s">
        <v>3903</v>
      </c>
      <c r="I3129" t="s">
        <v>122</v>
      </c>
      <c r="J3129">
        <v>899</v>
      </c>
      <c r="K3129">
        <v>295</v>
      </c>
      <c r="L3129">
        <f t="shared" si="740"/>
        <v>604</v>
      </c>
      <c r="M3129">
        <v>240</v>
      </c>
      <c r="N3129">
        <f t="shared" si="741"/>
        <v>364</v>
      </c>
    </row>
    <row r="3130" spans="1:14" x14ac:dyDescent="0.2">
      <c r="A3130" t="s">
        <v>3904</v>
      </c>
      <c r="B3130" s="1" t="s">
        <v>3889</v>
      </c>
      <c r="C3130" t="s">
        <v>14</v>
      </c>
      <c r="D3130" t="s">
        <v>490</v>
      </c>
      <c r="E3130">
        <v>1</v>
      </c>
      <c r="F3130" t="s">
        <v>3891</v>
      </c>
      <c r="G3130">
        <v>2023</v>
      </c>
      <c r="H3130" t="s">
        <v>1620</v>
      </c>
      <c r="I3130" t="s">
        <v>23</v>
      </c>
      <c r="J3130">
        <v>899</v>
      </c>
      <c r="K3130">
        <v>295</v>
      </c>
      <c r="L3130">
        <f t="shared" si="740"/>
        <v>604</v>
      </c>
      <c r="M3130">
        <v>240</v>
      </c>
      <c r="N3130">
        <f t="shared" si="741"/>
        <v>364</v>
      </c>
    </row>
    <row r="3131" spans="1:14" x14ac:dyDescent="0.2">
      <c r="A3131" t="s">
        <v>3905</v>
      </c>
      <c r="B3131" s="1" t="s">
        <v>3889</v>
      </c>
      <c r="C3131" t="s">
        <v>14</v>
      </c>
      <c r="D3131" t="s">
        <v>844</v>
      </c>
      <c r="E3131">
        <v>1</v>
      </c>
      <c r="F3131" t="s">
        <v>3891</v>
      </c>
      <c r="G3131">
        <v>2023</v>
      </c>
      <c r="H3131" t="s">
        <v>104</v>
      </c>
      <c r="I3131" t="s">
        <v>62</v>
      </c>
      <c r="J3131">
        <v>799</v>
      </c>
      <c r="K3131">
        <v>205</v>
      </c>
      <c r="L3131">
        <f t="shared" si="740"/>
        <v>594</v>
      </c>
      <c r="M3131">
        <v>240</v>
      </c>
      <c r="N3131">
        <f t="shared" si="741"/>
        <v>354</v>
      </c>
    </row>
    <row r="3132" spans="1:14" x14ac:dyDescent="0.2">
      <c r="A3132" t="s">
        <v>3906</v>
      </c>
      <c r="B3132" s="1" t="s">
        <v>3889</v>
      </c>
      <c r="C3132" t="s">
        <v>14</v>
      </c>
      <c r="D3132" t="s">
        <v>2063</v>
      </c>
      <c r="E3132">
        <v>1</v>
      </c>
      <c r="F3132" t="s">
        <v>3891</v>
      </c>
      <c r="G3132">
        <v>2023</v>
      </c>
      <c r="H3132" t="s">
        <v>1417</v>
      </c>
      <c r="I3132" t="s">
        <v>37</v>
      </c>
      <c r="J3132">
        <v>799</v>
      </c>
      <c r="K3132">
        <v>205</v>
      </c>
      <c r="L3132">
        <f t="shared" si="740"/>
        <v>594</v>
      </c>
      <c r="M3132">
        <v>240</v>
      </c>
      <c r="N3132">
        <f t="shared" si="741"/>
        <v>354</v>
      </c>
    </row>
    <row r="3133" spans="1:14" x14ac:dyDescent="0.2">
      <c r="A3133" t="s">
        <v>3907</v>
      </c>
      <c r="B3133" s="1" t="s">
        <v>3889</v>
      </c>
      <c r="C3133" t="s">
        <v>14</v>
      </c>
      <c r="D3133" t="s">
        <v>242</v>
      </c>
      <c r="E3133">
        <v>1</v>
      </c>
      <c r="F3133" t="s">
        <v>3891</v>
      </c>
      <c r="G3133">
        <v>2023</v>
      </c>
      <c r="H3133" t="s">
        <v>3908</v>
      </c>
      <c r="I3133" t="s">
        <v>257</v>
      </c>
      <c r="J3133">
        <v>899</v>
      </c>
      <c r="K3133">
        <v>295</v>
      </c>
      <c r="L3133">
        <f t="shared" si="740"/>
        <v>604</v>
      </c>
      <c r="M3133">
        <v>240</v>
      </c>
      <c r="N3133">
        <f t="shared" si="741"/>
        <v>364</v>
      </c>
    </row>
    <row r="3134" spans="1:14" x14ac:dyDescent="0.2">
      <c r="A3134" t="s">
        <v>3909</v>
      </c>
      <c r="B3134" s="1" t="s">
        <v>3889</v>
      </c>
      <c r="C3134" t="s">
        <v>14</v>
      </c>
      <c r="D3134" t="s">
        <v>844</v>
      </c>
      <c r="E3134">
        <v>1</v>
      </c>
      <c r="F3134" t="s">
        <v>3891</v>
      </c>
      <c r="G3134">
        <v>2023</v>
      </c>
      <c r="H3134" t="s">
        <v>3910</v>
      </c>
      <c r="I3134" t="s">
        <v>250</v>
      </c>
      <c r="J3134">
        <v>799</v>
      </c>
      <c r="K3134">
        <v>205</v>
      </c>
      <c r="L3134">
        <f t="shared" si="740"/>
        <v>594</v>
      </c>
      <c r="M3134">
        <v>240</v>
      </c>
      <c r="N3134">
        <f t="shared" si="741"/>
        <v>354</v>
      </c>
    </row>
    <row r="3135" spans="1:14" x14ac:dyDescent="0.2">
      <c r="A3135" t="s">
        <v>3911</v>
      </c>
      <c r="B3135" s="1" t="s">
        <v>3889</v>
      </c>
      <c r="C3135" t="s">
        <v>14</v>
      </c>
      <c r="D3135" t="s">
        <v>1999</v>
      </c>
      <c r="E3135">
        <v>1</v>
      </c>
      <c r="F3135" t="s">
        <v>3891</v>
      </c>
      <c r="G3135">
        <v>2023</v>
      </c>
      <c r="H3135" t="s">
        <v>3912</v>
      </c>
      <c r="I3135" t="s">
        <v>97</v>
      </c>
      <c r="J3135">
        <v>849</v>
      </c>
      <c r="K3135">
        <v>250</v>
      </c>
      <c r="L3135">
        <f t="shared" si="740"/>
        <v>599</v>
      </c>
      <c r="M3135">
        <v>240</v>
      </c>
      <c r="N3135">
        <f t="shared" si="741"/>
        <v>359</v>
      </c>
    </row>
    <row r="3136" spans="1:14" x14ac:dyDescent="0.2">
      <c r="A3136" t="s">
        <v>3913</v>
      </c>
      <c r="B3136" s="1" t="s">
        <v>3889</v>
      </c>
      <c r="C3136" t="s">
        <v>14</v>
      </c>
      <c r="D3136" t="s">
        <v>477</v>
      </c>
      <c r="E3136">
        <v>1</v>
      </c>
      <c r="F3136" t="s">
        <v>3891</v>
      </c>
      <c r="G3136">
        <v>2023</v>
      </c>
      <c r="H3136" t="s">
        <v>272</v>
      </c>
      <c r="I3136" t="s">
        <v>23</v>
      </c>
      <c r="J3136">
        <v>899</v>
      </c>
      <c r="K3136">
        <v>295</v>
      </c>
      <c r="L3136">
        <f t="shared" si="740"/>
        <v>604</v>
      </c>
      <c r="M3136">
        <v>240</v>
      </c>
      <c r="N3136">
        <f t="shared" si="741"/>
        <v>364</v>
      </c>
    </row>
    <row r="3137" spans="1:14" x14ac:dyDescent="0.2">
      <c r="A3137" t="s">
        <v>3914</v>
      </c>
      <c r="B3137" s="1" t="s">
        <v>3889</v>
      </c>
      <c r="C3137" t="s">
        <v>14</v>
      </c>
      <c r="D3137" t="s">
        <v>81</v>
      </c>
      <c r="E3137">
        <v>1</v>
      </c>
      <c r="F3137" t="s">
        <v>3891</v>
      </c>
      <c r="G3137">
        <v>2023</v>
      </c>
      <c r="H3137" t="s">
        <v>52</v>
      </c>
      <c r="I3137" t="s">
        <v>32</v>
      </c>
      <c r="J3137">
        <v>849</v>
      </c>
      <c r="K3137">
        <v>250</v>
      </c>
      <c r="L3137">
        <f t="shared" si="740"/>
        <v>599</v>
      </c>
      <c r="M3137">
        <v>240</v>
      </c>
      <c r="N3137">
        <f t="shared" si="741"/>
        <v>359</v>
      </c>
    </row>
    <row r="3138" spans="1:14" x14ac:dyDescent="0.2">
      <c r="A3138" t="s">
        <v>3915</v>
      </c>
      <c r="B3138" s="1" t="s">
        <v>3889</v>
      </c>
      <c r="C3138" t="s">
        <v>14</v>
      </c>
      <c r="D3138" t="s">
        <v>133</v>
      </c>
      <c r="E3138">
        <v>1</v>
      </c>
      <c r="F3138" t="s">
        <v>3891</v>
      </c>
      <c r="G3138">
        <v>2023</v>
      </c>
      <c r="H3138" t="s">
        <v>3916</v>
      </c>
      <c r="I3138" t="s">
        <v>163</v>
      </c>
      <c r="J3138">
        <v>799</v>
      </c>
      <c r="K3138">
        <v>205</v>
      </c>
      <c r="L3138">
        <f t="shared" si="740"/>
        <v>594</v>
      </c>
      <c r="M3138">
        <v>240</v>
      </c>
      <c r="N3138">
        <f t="shared" si="741"/>
        <v>354</v>
      </c>
    </row>
    <row r="3139" spans="1:14" x14ac:dyDescent="0.2">
      <c r="A3139" t="s">
        <v>3917</v>
      </c>
      <c r="B3139" s="1" t="s">
        <v>3889</v>
      </c>
      <c r="C3139" t="s">
        <v>14</v>
      </c>
      <c r="D3139" t="s">
        <v>242</v>
      </c>
      <c r="E3139">
        <v>1</v>
      </c>
      <c r="F3139" t="s">
        <v>3891</v>
      </c>
      <c r="G3139">
        <v>2023</v>
      </c>
      <c r="H3139" t="s">
        <v>2437</v>
      </c>
      <c r="I3139" t="s">
        <v>23</v>
      </c>
      <c r="J3139">
        <v>899</v>
      </c>
      <c r="K3139">
        <v>295</v>
      </c>
      <c r="L3139">
        <f t="shared" si="740"/>
        <v>604</v>
      </c>
      <c r="M3139">
        <v>240</v>
      </c>
      <c r="N3139">
        <f t="shared" si="741"/>
        <v>364</v>
      </c>
    </row>
    <row r="3140" spans="1:14" x14ac:dyDescent="0.2">
      <c r="A3140" t="s">
        <v>3918</v>
      </c>
      <c r="B3140" s="1" t="s">
        <v>3889</v>
      </c>
      <c r="C3140" t="s">
        <v>14</v>
      </c>
      <c r="D3140" t="s">
        <v>2536</v>
      </c>
      <c r="E3140">
        <v>1</v>
      </c>
      <c r="F3140" t="s">
        <v>3891</v>
      </c>
      <c r="G3140">
        <v>2023</v>
      </c>
      <c r="H3140" t="s">
        <v>2445</v>
      </c>
      <c r="I3140" t="s">
        <v>62</v>
      </c>
      <c r="J3140">
        <v>799</v>
      </c>
      <c r="K3140">
        <v>205</v>
      </c>
      <c r="L3140">
        <f t="shared" si="740"/>
        <v>594</v>
      </c>
      <c r="M3140">
        <v>240</v>
      </c>
      <c r="N3140">
        <f t="shared" si="741"/>
        <v>354</v>
      </c>
    </row>
    <row r="3141" spans="1:14" x14ac:dyDescent="0.2">
      <c r="A3141" t="s">
        <v>3919</v>
      </c>
      <c r="B3141" s="1" t="s">
        <v>3889</v>
      </c>
      <c r="C3141" t="s">
        <v>14</v>
      </c>
      <c r="D3141" t="s">
        <v>504</v>
      </c>
      <c r="E3141">
        <v>1</v>
      </c>
      <c r="F3141" t="s">
        <v>3891</v>
      </c>
      <c r="G3141">
        <v>2023</v>
      </c>
      <c r="H3141" t="s">
        <v>3920</v>
      </c>
      <c r="I3141" t="s">
        <v>85</v>
      </c>
      <c r="J3141">
        <v>899</v>
      </c>
      <c r="K3141">
        <v>295</v>
      </c>
      <c r="L3141">
        <f t="shared" si="740"/>
        <v>604</v>
      </c>
      <c r="M3141">
        <v>240</v>
      </c>
      <c r="N3141">
        <f t="shared" si="741"/>
        <v>364</v>
      </c>
    </row>
    <row r="3142" spans="1:14" x14ac:dyDescent="0.2">
      <c r="A3142" t="s">
        <v>3921</v>
      </c>
      <c r="B3142" s="1" t="s">
        <v>3889</v>
      </c>
      <c r="C3142" t="s">
        <v>14</v>
      </c>
      <c r="D3142" t="s">
        <v>895</v>
      </c>
      <c r="E3142">
        <v>1</v>
      </c>
      <c r="F3142" t="s">
        <v>3891</v>
      </c>
      <c r="G3142">
        <v>2023</v>
      </c>
      <c r="H3142" t="s">
        <v>185</v>
      </c>
      <c r="I3142" t="s">
        <v>62</v>
      </c>
      <c r="J3142">
        <v>849</v>
      </c>
      <c r="K3142">
        <v>250</v>
      </c>
      <c r="L3142">
        <f t="shared" si="740"/>
        <v>599</v>
      </c>
      <c r="M3142">
        <v>240</v>
      </c>
      <c r="N3142">
        <f t="shared" si="741"/>
        <v>359</v>
      </c>
    </row>
    <row r="3143" spans="1:14" x14ac:dyDescent="0.2">
      <c r="A3143" t="s">
        <v>3923</v>
      </c>
      <c r="B3143" s="1" t="s">
        <v>3922</v>
      </c>
      <c r="C3143" t="s">
        <v>14</v>
      </c>
      <c r="D3143" t="s">
        <v>1448</v>
      </c>
      <c r="E3143">
        <v>2</v>
      </c>
      <c r="F3143" t="s">
        <v>3891</v>
      </c>
      <c r="G3143">
        <v>2023</v>
      </c>
      <c r="H3143" t="s">
        <v>3924</v>
      </c>
      <c r="I3143" t="s">
        <v>160</v>
      </c>
      <c r="J3143">
        <v>849</v>
      </c>
      <c r="K3143">
        <v>250</v>
      </c>
      <c r="L3143">
        <f t="shared" si="740"/>
        <v>599</v>
      </c>
      <c r="M3143">
        <v>240</v>
      </c>
      <c r="N3143">
        <f t="shared" si="741"/>
        <v>359</v>
      </c>
    </row>
    <row r="3144" spans="1:14" x14ac:dyDescent="0.2">
      <c r="A3144" t="s">
        <v>3925</v>
      </c>
      <c r="B3144" s="1" t="s">
        <v>3889</v>
      </c>
      <c r="C3144" t="s">
        <v>14</v>
      </c>
      <c r="D3144" t="s">
        <v>70</v>
      </c>
      <c r="E3144">
        <v>1</v>
      </c>
      <c r="F3144" t="s">
        <v>3891</v>
      </c>
      <c r="G3144">
        <v>2023</v>
      </c>
      <c r="H3144" t="s">
        <v>415</v>
      </c>
      <c r="I3144" t="s">
        <v>135</v>
      </c>
      <c r="J3144">
        <v>849</v>
      </c>
      <c r="K3144">
        <v>250</v>
      </c>
      <c r="L3144">
        <f t="shared" si="740"/>
        <v>599</v>
      </c>
      <c r="M3144">
        <v>240</v>
      </c>
      <c r="N3144">
        <f t="shared" si="741"/>
        <v>359</v>
      </c>
    </row>
    <row r="3145" spans="1:14" x14ac:dyDescent="0.2">
      <c r="A3145" t="s">
        <v>3926</v>
      </c>
      <c r="B3145" s="1" t="s">
        <v>3889</v>
      </c>
      <c r="C3145" t="s">
        <v>14</v>
      </c>
      <c r="D3145" t="s">
        <v>448</v>
      </c>
      <c r="E3145">
        <v>1</v>
      </c>
      <c r="F3145" t="s">
        <v>3891</v>
      </c>
      <c r="G3145">
        <v>2023</v>
      </c>
      <c r="H3145" t="s">
        <v>157</v>
      </c>
      <c r="I3145" t="s">
        <v>97</v>
      </c>
      <c r="J3145">
        <v>899</v>
      </c>
      <c r="K3145">
        <v>295</v>
      </c>
      <c r="L3145">
        <f t="shared" si="740"/>
        <v>604</v>
      </c>
      <c r="M3145">
        <v>240</v>
      </c>
      <c r="N3145">
        <f t="shared" si="741"/>
        <v>364</v>
      </c>
    </row>
    <row r="3146" spans="1:14" x14ac:dyDescent="0.2">
      <c r="A3146" t="s">
        <v>3927</v>
      </c>
      <c r="B3146" s="1" t="s">
        <v>3889</v>
      </c>
      <c r="C3146" t="s">
        <v>14</v>
      </c>
      <c r="D3146" t="s">
        <v>504</v>
      </c>
      <c r="E3146">
        <v>1</v>
      </c>
      <c r="F3146" t="s">
        <v>3891</v>
      </c>
      <c r="G3146">
        <v>2023</v>
      </c>
      <c r="H3146" t="s">
        <v>3928</v>
      </c>
      <c r="I3146" t="s">
        <v>135</v>
      </c>
      <c r="J3146">
        <v>899</v>
      </c>
      <c r="K3146">
        <v>295</v>
      </c>
      <c r="L3146">
        <f t="shared" si="740"/>
        <v>604</v>
      </c>
      <c r="M3146">
        <v>240</v>
      </c>
      <c r="N3146">
        <f t="shared" si="741"/>
        <v>364</v>
      </c>
    </row>
    <row r="3147" spans="1:14" x14ac:dyDescent="0.2">
      <c r="A3147" t="s">
        <v>3929</v>
      </c>
      <c r="B3147" s="1" t="s">
        <v>3889</v>
      </c>
      <c r="C3147" t="s">
        <v>14</v>
      </c>
      <c r="D3147" t="s">
        <v>81</v>
      </c>
      <c r="E3147">
        <v>1</v>
      </c>
      <c r="F3147" t="s">
        <v>3891</v>
      </c>
      <c r="G3147">
        <v>2023</v>
      </c>
      <c r="H3147" t="s">
        <v>185</v>
      </c>
      <c r="I3147" t="s">
        <v>62</v>
      </c>
      <c r="J3147">
        <v>849</v>
      </c>
      <c r="K3147">
        <v>250</v>
      </c>
      <c r="L3147">
        <f t="shared" si="740"/>
        <v>599</v>
      </c>
      <c r="M3147">
        <v>240</v>
      </c>
      <c r="N3147">
        <f t="shared" si="741"/>
        <v>359</v>
      </c>
    </row>
    <row r="3148" spans="1:14" x14ac:dyDescent="0.2">
      <c r="A3148" t="s">
        <v>3930</v>
      </c>
      <c r="B3148" s="1" t="s">
        <v>3889</v>
      </c>
      <c r="C3148" t="s">
        <v>14</v>
      </c>
      <c r="D3148" t="s">
        <v>81</v>
      </c>
      <c r="E3148">
        <v>1</v>
      </c>
      <c r="F3148" t="s">
        <v>3891</v>
      </c>
      <c r="G3148">
        <v>2023</v>
      </c>
      <c r="H3148" t="s">
        <v>3097</v>
      </c>
      <c r="I3148" t="s">
        <v>180</v>
      </c>
      <c r="J3148">
        <v>849</v>
      </c>
      <c r="K3148">
        <v>250</v>
      </c>
      <c r="L3148">
        <f t="shared" si="740"/>
        <v>599</v>
      </c>
      <c r="M3148">
        <v>240</v>
      </c>
      <c r="N3148">
        <f t="shared" si="741"/>
        <v>359</v>
      </c>
    </row>
    <row r="3149" spans="1:14" x14ac:dyDescent="0.2">
      <c r="A3149" t="s">
        <v>3931</v>
      </c>
      <c r="B3149" s="1" t="s">
        <v>3922</v>
      </c>
      <c r="C3149" t="s">
        <v>43</v>
      </c>
      <c r="D3149" t="s">
        <v>133</v>
      </c>
      <c r="E3149">
        <v>2</v>
      </c>
      <c r="F3149" t="s">
        <v>3891</v>
      </c>
      <c r="G3149">
        <v>2023</v>
      </c>
      <c r="H3149" t="s">
        <v>246</v>
      </c>
      <c r="I3149" t="s">
        <v>58</v>
      </c>
      <c r="J3149">
        <v>0</v>
      </c>
      <c r="K3149">
        <v>0</v>
      </c>
      <c r="L3149">
        <v>0</v>
      </c>
      <c r="M3149">
        <v>0</v>
      </c>
      <c r="N3149">
        <v>0</v>
      </c>
    </row>
    <row r="3150" spans="1:14" x14ac:dyDescent="0.2">
      <c r="A3150" t="s">
        <v>3932</v>
      </c>
      <c r="B3150" s="1" t="s">
        <v>3922</v>
      </c>
      <c r="C3150" t="s">
        <v>43</v>
      </c>
      <c r="D3150" t="s">
        <v>380</v>
      </c>
      <c r="E3150">
        <v>2</v>
      </c>
      <c r="F3150" t="s">
        <v>3891</v>
      </c>
      <c r="G3150">
        <v>2023</v>
      </c>
      <c r="H3150" t="s">
        <v>3933</v>
      </c>
      <c r="I3150" t="s">
        <v>28</v>
      </c>
      <c r="J3150">
        <v>0</v>
      </c>
      <c r="K3150">
        <v>0</v>
      </c>
      <c r="L3150">
        <v>0</v>
      </c>
      <c r="M3150">
        <v>0</v>
      </c>
      <c r="N3150">
        <v>0</v>
      </c>
    </row>
    <row r="3151" spans="1:14" x14ac:dyDescent="0.2">
      <c r="A3151" t="s">
        <v>3934</v>
      </c>
      <c r="B3151" s="1" t="s">
        <v>3922</v>
      </c>
      <c r="C3151" t="s">
        <v>43</v>
      </c>
      <c r="D3151" t="s">
        <v>81</v>
      </c>
      <c r="E3151">
        <v>2</v>
      </c>
      <c r="F3151" t="s">
        <v>3891</v>
      </c>
      <c r="G3151">
        <v>2023</v>
      </c>
      <c r="H3151" t="s">
        <v>104</v>
      </c>
      <c r="I3151" t="s">
        <v>62</v>
      </c>
      <c r="J3151">
        <v>0</v>
      </c>
      <c r="K3151">
        <v>0</v>
      </c>
      <c r="L3151">
        <v>0</v>
      </c>
      <c r="M3151">
        <v>0</v>
      </c>
      <c r="N3151">
        <v>0</v>
      </c>
    </row>
    <row r="3152" spans="1:14" x14ac:dyDescent="0.2">
      <c r="A3152" t="s">
        <v>3936</v>
      </c>
      <c r="B3152" s="1" t="s">
        <v>3935</v>
      </c>
      <c r="C3152" t="s">
        <v>43</v>
      </c>
      <c r="D3152" t="s">
        <v>81</v>
      </c>
      <c r="E3152">
        <v>3</v>
      </c>
      <c r="F3152" t="s">
        <v>3891</v>
      </c>
      <c r="G3152">
        <v>2023</v>
      </c>
      <c r="H3152" t="s">
        <v>104</v>
      </c>
      <c r="I3152" t="s">
        <v>62</v>
      </c>
      <c r="J3152">
        <v>0</v>
      </c>
      <c r="K3152">
        <v>0</v>
      </c>
      <c r="L3152">
        <v>0</v>
      </c>
      <c r="M3152">
        <v>0</v>
      </c>
      <c r="N3152">
        <v>0</v>
      </c>
    </row>
    <row r="3153" spans="1:14" x14ac:dyDescent="0.2">
      <c r="A3153" t="s">
        <v>3937</v>
      </c>
      <c r="B3153" s="1" t="s">
        <v>3935</v>
      </c>
      <c r="C3153" t="s">
        <v>43</v>
      </c>
      <c r="D3153" t="s">
        <v>81</v>
      </c>
      <c r="E3153">
        <v>3</v>
      </c>
      <c r="F3153" t="s">
        <v>3891</v>
      </c>
      <c r="G3153">
        <v>2023</v>
      </c>
      <c r="H3153" t="s">
        <v>170</v>
      </c>
      <c r="I3153" t="s">
        <v>171</v>
      </c>
      <c r="J3153">
        <v>0</v>
      </c>
      <c r="K3153">
        <v>0</v>
      </c>
      <c r="L3153">
        <v>0</v>
      </c>
      <c r="M3153">
        <v>0</v>
      </c>
      <c r="N3153">
        <v>0</v>
      </c>
    </row>
    <row r="3154" spans="1:14" x14ac:dyDescent="0.2">
      <c r="A3154" t="s">
        <v>3938</v>
      </c>
      <c r="B3154" s="1" t="s">
        <v>3922</v>
      </c>
      <c r="C3154" t="s">
        <v>14</v>
      </c>
      <c r="D3154" t="s">
        <v>308</v>
      </c>
      <c r="E3154">
        <v>2</v>
      </c>
      <c r="F3154" t="s">
        <v>3891</v>
      </c>
      <c r="G3154">
        <v>2023</v>
      </c>
      <c r="H3154" t="s">
        <v>49</v>
      </c>
      <c r="I3154" t="s">
        <v>32</v>
      </c>
      <c r="J3154">
        <v>899</v>
      </c>
      <c r="K3154">
        <v>295</v>
      </c>
      <c r="L3154">
        <f>J3154-K3154</f>
        <v>604</v>
      </c>
      <c r="M3154">
        <v>240</v>
      </c>
      <c r="N3154">
        <f>L3154-M3154</f>
        <v>364</v>
      </c>
    </row>
    <row r="3155" spans="1:14" x14ac:dyDescent="0.2">
      <c r="A3155" t="s">
        <v>3939</v>
      </c>
      <c r="B3155" s="1" t="s">
        <v>3922</v>
      </c>
      <c r="C3155" t="s">
        <v>20</v>
      </c>
      <c r="D3155" t="s">
        <v>1614</v>
      </c>
      <c r="E3155">
        <v>2</v>
      </c>
      <c r="F3155" t="s">
        <v>3891</v>
      </c>
      <c r="G3155">
        <v>2023</v>
      </c>
      <c r="H3155" t="s">
        <v>170</v>
      </c>
      <c r="I3155" t="s">
        <v>171</v>
      </c>
      <c r="J3155">
        <v>0</v>
      </c>
      <c r="K3155">
        <v>0</v>
      </c>
      <c r="L3155">
        <v>0</v>
      </c>
      <c r="M3155">
        <v>0</v>
      </c>
      <c r="N3155">
        <v>0</v>
      </c>
    </row>
    <row r="3156" spans="1:14" x14ac:dyDescent="0.2">
      <c r="A3156" t="s">
        <v>3940</v>
      </c>
      <c r="B3156" s="1" t="s">
        <v>3922</v>
      </c>
      <c r="C3156" t="s">
        <v>14</v>
      </c>
      <c r="D3156" t="s">
        <v>452</v>
      </c>
      <c r="E3156">
        <v>2</v>
      </c>
      <c r="F3156" t="s">
        <v>3891</v>
      </c>
      <c r="G3156">
        <v>2023</v>
      </c>
      <c r="H3156" t="s">
        <v>3941</v>
      </c>
      <c r="I3156" t="s">
        <v>135</v>
      </c>
      <c r="J3156">
        <v>799</v>
      </c>
      <c r="K3156">
        <v>205</v>
      </c>
      <c r="L3156">
        <f t="shared" ref="L3156:L3176" si="742">J3156-K3156</f>
        <v>594</v>
      </c>
      <c r="M3156">
        <v>240</v>
      </c>
      <c r="N3156">
        <f t="shared" ref="N3156:N3176" si="743">L3156-M3156</f>
        <v>354</v>
      </c>
    </row>
    <row r="3157" spans="1:14" x14ac:dyDescent="0.2">
      <c r="A3157" t="s">
        <v>3942</v>
      </c>
      <c r="B3157" s="1" t="s">
        <v>3922</v>
      </c>
      <c r="C3157" t="s">
        <v>14</v>
      </c>
      <c r="D3157" t="s">
        <v>133</v>
      </c>
      <c r="E3157">
        <v>2</v>
      </c>
      <c r="F3157" t="s">
        <v>3891</v>
      </c>
      <c r="G3157">
        <v>2023</v>
      </c>
      <c r="H3157" t="s">
        <v>549</v>
      </c>
      <c r="I3157" t="s">
        <v>163</v>
      </c>
      <c r="J3157">
        <v>799</v>
      </c>
      <c r="K3157">
        <v>205</v>
      </c>
      <c r="L3157">
        <f t="shared" si="742"/>
        <v>594</v>
      </c>
      <c r="M3157">
        <v>240</v>
      </c>
      <c r="N3157">
        <f t="shared" si="743"/>
        <v>354</v>
      </c>
    </row>
    <row r="3158" spans="1:14" x14ac:dyDescent="0.2">
      <c r="A3158" t="s">
        <v>3943</v>
      </c>
      <c r="B3158" s="1" t="s">
        <v>3922</v>
      </c>
      <c r="C3158" t="s">
        <v>14</v>
      </c>
      <c r="D3158" t="s">
        <v>881</v>
      </c>
      <c r="E3158">
        <v>2</v>
      </c>
      <c r="F3158" t="s">
        <v>3891</v>
      </c>
      <c r="G3158">
        <v>2023</v>
      </c>
      <c r="H3158" t="s">
        <v>3944</v>
      </c>
      <c r="I3158" t="s">
        <v>23</v>
      </c>
      <c r="J3158">
        <v>799</v>
      </c>
      <c r="K3158">
        <v>205</v>
      </c>
      <c r="L3158">
        <f t="shared" si="742"/>
        <v>594</v>
      </c>
      <c r="M3158">
        <v>240</v>
      </c>
      <c r="N3158">
        <f t="shared" si="743"/>
        <v>354</v>
      </c>
    </row>
    <row r="3159" spans="1:14" x14ac:dyDescent="0.2">
      <c r="A3159" t="s">
        <v>3945</v>
      </c>
      <c r="B3159" s="1" t="s">
        <v>3922</v>
      </c>
      <c r="C3159" t="s">
        <v>14</v>
      </c>
      <c r="D3159" t="s">
        <v>798</v>
      </c>
      <c r="E3159">
        <v>2</v>
      </c>
      <c r="F3159" t="s">
        <v>3891</v>
      </c>
      <c r="G3159">
        <v>2023</v>
      </c>
      <c r="H3159" t="s">
        <v>882</v>
      </c>
      <c r="I3159" t="s">
        <v>883</v>
      </c>
      <c r="J3159">
        <v>799</v>
      </c>
      <c r="K3159">
        <v>205</v>
      </c>
      <c r="L3159">
        <f t="shared" si="742"/>
        <v>594</v>
      </c>
      <c r="M3159">
        <v>240</v>
      </c>
      <c r="N3159">
        <f t="shared" si="743"/>
        <v>354</v>
      </c>
    </row>
    <row r="3160" spans="1:14" x14ac:dyDescent="0.2">
      <c r="A3160" t="s">
        <v>3946</v>
      </c>
      <c r="B3160" s="1" t="s">
        <v>3922</v>
      </c>
      <c r="C3160" t="s">
        <v>14</v>
      </c>
      <c r="D3160" t="s">
        <v>2152</v>
      </c>
      <c r="E3160">
        <v>2</v>
      </c>
      <c r="F3160" t="s">
        <v>3891</v>
      </c>
      <c r="G3160">
        <v>2023</v>
      </c>
      <c r="H3160" t="s">
        <v>104</v>
      </c>
      <c r="I3160" t="s">
        <v>62</v>
      </c>
      <c r="J3160">
        <v>799</v>
      </c>
      <c r="K3160">
        <v>205</v>
      </c>
      <c r="L3160">
        <f t="shared" si="742"/>
        <v>594</v>
      </c>
      <c r="M3160">
        <v>240</v>
      </c>
      <c r="N3160">
        <f t="shared" si="743"/>
        <v>354</v>
      </c>
    </row>
    <row r="3161" spans="1:14" x14ac:dyDescent="0.2">
      <c r="A3161" t="s">
        <v>3947</v>
      </c>
      <c r="B3161" s="1" t="s">
        <v>3935</v>
      </c>
      <c r="C3161" t="s">
        <v>14</v>
      </c>
      <c r="D3161" t="s">
        <v>1556</v>
      </c>
      <c r="E3161">
        <v>3</v>
      </c>
      <c r="F3161" t="s">
        <v>3891</v>
      </c>
      <c r="G3161">
        <v>2023</v>
      </c>
      <c r="H3161" t="s">
        <v>170</v>
      </c>
      <c r="I3161" t="s">
        <v>171</v>
      </c>
      <c r="J3161">
        <v>899</v>
      </c>
      <c r="K3161">
        <v>295</v>
      </c>
      <c r="L3161">
        <f t="shared" si="742"/>
        <v>604</v>
      </c>
      <c r="M3161">
        <v>240</v>
      </c>
      <c r="N3161">
        <f t="shared" si="743"/>
        <v>364</v>
      </c>
    </row>
    <row r="3162" spans="1:14" x14ac:dyDescent="0.2">
      <c r="A3162" t="s">
        <v>3948</v>
      </c>
      <c r="B3162" s="1" t="s">
        <v>3922</v>
      </c>
      <c r="C3162" t="s">
        <v>14</v>
      </c>
      <c r="D3162" t="s">
        <v>2005</v>
      </c>
      <c r="E3162">
        <v>2</v>
      </c>
      <c r="F3162" t="s">
        <v>3891</v>
      </c>
      <c r="G3162">
        <v>2023</v>
      </c>
      <c r="H3162" t="s">
        <v>668</v>
      </c>
      <c r="I3162" t="s">
        <v>502</v>
      </c>
      <c r="J3162">
        <v>799</v>
      </c>
      <c r="K3162">
        <v>205</v>
      </c>
      <c r="L3162">
        <f t="shared" si="742"/>
        <v>594</v>
      </c>
      <c r="M3162">
        <v>240</v>
      </c>
      <c r="N3162">
        <f t="shared" si="743"/>
        <v>354</v>
      </c>
    </row>
    <row r="3163" spans="1:14" x14ac:dyDescent="0.2">
      <c r="A3163" t="s">
        <v>3949</v>
      </c>
      <c r="B3163" s="1" t="s">
        <v>3922</v>
      </c>
      <c r="C3163" t="s">
        <v>14</v>
      </c>
      <c r="D3163" t="s">
        <v>81</v>
      </c>
      <c r="E3163">
        <v>2</v>
      </c>
      <c r="F3163" t="s">
        <v>3891</v>
      </c>
      <c r="G3163">
        <v>2023</v>
      </c>
      <c r="H3163" t="s">
        <v>882</v>
      </c>
      <c r="I3163" t="s">
        <v>883</v>
      </c>
      <c r="J3163">
        <v>849</v>
      </c>
      <c r="K3163">
        <v>250</v>
      </c>
      <c r="L3163">
        <f t="shared" si="742"/>
        <v>599</v>
      </c>
      <c r="M3163">
        <v>240</v>
      </c>
      <c r="N3163">
        <f t="shared" si="743"/>
        <v>359</v>
      </c>
    </row>
    <row r="3164" spans="1:14" x14ac:dyDescent="0.2">
      <c r="A3164" t="s">
        <v>3950</v>
      </c>
      <c r="B3164" s="1" t="s">
        <v>3922</v>
      </c>
      <c r="C3164" t="s">
        <v>14</v>
      </c>
      <c r="D3164" t="s">
        <v>809</v>
      </c>
      <c r="E3164">
        <v>2</v>
      </c>
      <c r="F3164" t="s">
        <v>3891</v>
      </c>
      <c r="G3164">
        <v>2023</v>
      </c>
      <c r="H3164" t="s">
        <v>3951</v>
      </c>
      <c r="I3164" t="s">
        <v>866</v>
      </c>
      <c r="J3164">
        <v>999</v>
      </c>
      <c r="K3164">
        <v>325</v>
      </c>
      <c r="L3164">
        <f t="shared" si="742"/>
        <v>674</v>
      </c>
      <c r="M3164">
        <v>240</v>
      </c>
      <c r="N3164">
        <f t="shared" si="743"/>
        <v>434</v>
      </c>
    </row>
    <row r="3165" spans="1:14" x14ac:dyDescent="0.2">
      <c r="A3165" t="s">
        <v>3952</v>
      </c>
      <c r="B3165" s="1" t="s">
        <v>3922</v>
      </c>
      <c r="C3165" t="s">
        <v>14</v>
      </c>
      <c r="D3165" t="s">
        <v>3953</v>
      </c>
      <c r="E3165">
        <v>2</v>
      </c>
      <c r="F3165" t="s">
        <v>3891</v>
      </c>
      <c r="G3165">
        <v>2023</v>
      </c>
      <c r="H3165" t="s">
        <v>3612</v>
      </c>
      <c r="I3165" t="s">
        <v>85</v>
      </c>
      <c r="J3165">
        <v>849</v>
      </c>
      <c r="K3165">
        <v>250</v>
      </c>
      <c r="L3165">
        <f t="shared" si="742"/>
        <v>599</v>
      </c>
      <c r="M3165">
        <v>240</v>
      </c>
      <c r="N3165">
        <f t="shared" si="743"/>
        <v>359</v>
      </c>
    </row>
    <row r="3166" spans="1:14" x14ac:dyDescent="0.2">
      <c r="A3166" t="s">
        <v>3954</v>
      </c>
      <c r="B3166" s="1" t="s">
        <v>3922</v>
      </c>
      <c r="C3166" t="s">
        <v>14</v>
      </c>
      <c r="D3166" t="s">
        <v>379</v>
      </c>
      <c r="E3166">
        <v>2</v>
      </c>
      <c r="F3166" t="s">
        <v>3891</v>
      </c>
      <c r="G3166">
        <v>2023</v>
      </c>
      <c r="H3166" t="s">
        <v>3955</v>
      </c>
      <c r="I3166" t="s">
        <v>250</v>
      </c>
      <c r="J3166">
        <v>799</v>
      </c>
      <c r="K3166">
        <v>205</v>
      </c>
      <c r="L3166">
        <f t="shared" si="742"/>
        <v>594</v>
      </c>
      <c r="M3166">
        <v>240</v>
      </c>
      <c r="N3166">
        <f t="shared" si="743"/>
        <v>354</v>
      </c>
    </row>
    <row r="3167" spans="1:14" x14ac:dyDescent="0.2">
      <c r="A3167" t="s">
        <v>3956</v>
      </c>
      <c r="B3167" s="1" t="s">
        <v>3922</v>
      </c>
      <c r="C3167" t="s">
        <v>14</v>
      </c>
      <c r="D3167" t="s">
        <v>344</v>
      </c>
      <c r="E3167">
        <v>2</v>
      </c>
      <c r="F3167" t="s">
        <v>3891</v>
      </c>
      <c r="G3167">
        <v>2023</v>
      </c>
      <c r="H3167" t="s">
        <v>215</v>
      </c>
      <c r="I3167" t="s">
        <v>135</v>
      </c>
      <c r="J3167">
        <v>799</v>
      </c>
      <c r="K3167">
        <v>205</v>
      </c>
      <c r="L3167">
        <f t="shared" si="742"/>
        <v>594</v>
      </c>
      <c r="M3167">
        <v>240</v>
      </c>
      <c r="N3167">
        <f t="shared" si="743"/>
        <v>354</v>
      </c>
    </row>
    <row r="3168" spans="1:14" x14ac:dyDescent="0.2">
      <c r="A3168" t="s">
        <v>3957</v>
      </c>
      <c r="B3168" s="1" t="s">
        <v>3922</v>
      </c>
      <c r="C3168" t="s">
        <v>14</v>
      </c>
      <c r="D3168" t="s">
        <v>1212</v>
      </c>
      <c r="E3168">
        <v>2</v>
      </c>
      <c r="F3168" t="s">
        <v>3891</v>
      </c>
      <c r="G3168">
        <v>2023</v>
      </c>
      <c r="H3168" t="s">
        <v>802</v>
      </c>
      <c r="I3168" t="s">
        <v>23</v>
      </c>
      <c r="J3168">
        <v>799</v>
      </c>
      <c r="K3168">
        <v>205</v>
      </c>
      <c r="L3168">
        <f t="shared" si="742"/>
        <v>594</v>
      </c>
      <c r="M3168">
        <v>240</v>
      </c>
      <c r="N3168">
        <f t="shared" si="743"/>
        <v>354</v>
      </c>
    </row>
    <row r="3169" spans="1:14" x14ac:dyDescent="0.2">
      <c r="A3169" t="s">
        <v>3958</v>
      </c>
      <c r="B3169" s="1" t="s">
        <v>3922</v>
      </c>
      <c r="C3169" t="s">
        <v>14</v>
      </c>
      <c r="D3169" t="s">
        <v>881</v>
      </c>
      <c r="E3169">
        <v>2</v>
      </c>
      <c r="F3169" t="s">
        <v>3891</v>
      </c>
      <c r="G3169">
        <v>2023</v>
      </c>
      <c r="H3169" t="s">
        <v>157</v>
      </c>
      <c r="I3169" t="s">
        <v>97</v>
      </c>
      <c r="J3169">
        <v>799</v>
      </c>
      <c r="K3169">
        <v>205</v>
      </c>
      <c r="L3169">
        <f t="shared" si="742"/>
        <v>594</v>
      </c>
      <c r="M3169">
        <v>240</v>
      </c>
      <c r="N3169">
        <f t="shared" si="743"/>
        <v>354</v>
      </c>
    </row>
    <row r="3170" spans="1:14" x14ac:dyDescent="0.2">
      <c r="A3170" t="s">
        <v>3931</v>
      </c>
      <c r="B3170" s="1" t="s">
        <v>3922</v>
      </c>
      <c r="C3170" t="s">
        <v>14</v>
      </c>
      <c r="D3170" t="s">
        <v>133</v>
      </c>
      <c r="E3170">
        <v>2</v>
      </c>
      <c r="F3170" t="s">
        <v>3891</v>
      </c>
      <c r="G3170">
        <v>2023</v>
      </c>
      <c r="H3170" t="s">
        <v>246</v>
      </c>
      <c r="I3170" t="s">
        <v>58</v>
      </c>
      <c r="J3170">
        <v>799</v>
      </c>
      <c r="K3170">
        <v>205</v>
      </c>
      <c r="L3170">
        <f t="shared" si="742"/>
        <v>594</v>
      </c>
      <c r="M3170">
        <v>240</v>
      </c>
      <c r="N3170">
        <f t="shared" si="743"/>
        <v>354</v>
      </c>
    </row>
    <row r="3171" spans="1:14" x14ac:dyDescent="0.2">
      <c r="A3171" t="s">
        <v>3959</v>
      </c>
      <c r="B3171" s="1" t="s">
        <v>3922</v>
      </c>
      <c r="C3171" t="s">
        <v>14</v>
      </c>
      <c r="D3171" t="s">
        <v>81</v>
      </c>
      <c r="E3171">
        <v>2</v>
      </c>
      <c r="F3171" t="s">
        <v>3891</v>
      </c>
      <c r="G3171">
        <v>2023</v>
      </c>
      <c r="H3171" t="s">
        <v>1084</v>
      </c>
      <c r="I3171" t="s">
        <v>32</v>
      </c>
      <c r="J3171">
        <v>849</v>
      </c>
      <c r="K3171">
        <v>250</v>
      </c>
      <c r="L3171">
        <f t="shared" si="742"/>
        <v>599</v>
      </c>
      <c r="M3171">
        <v>240</v>
      </c>
      <c r="N3171">
        <f t="shared" si="743"/>
        <v>359</v>
      </c>
    </row>
    <row r="3172" spans="1:14" x14ac:dyDescent="0.2">
      <c r="A3172" t="s">
        <v>3960</v>
      </c>
      <c r="B3172" s="1" t="s">
        <v>3922</v>
      </c>
      <c r="C3172" t="s">
        <v>14</v>
      </c>
      <c r="D3172" t="s">
        <v>81</v>
      </c>
      <c r="E3172">
        <v>2</v>
      </c>
      <c r="F3172" t="s">
        <v>3891</v>
      </c>
      <c r="G3172">
        <v>2023</v>
      </c>
      <c r="H3172" t="s">
        <v>246</v>
      </c>
      <c r="I3172" t="s">
        <v>58</v>
      </c>
      <c r="J3172">
        <v>849</v>
      </c>
      <c r="K3172">
        <v>250</v>
      </c>
      <c r="L3172">
        <f t="shared" si="742"/>
        <v>599</v>
      </c>
      <c r="M3172">
        <v>240</v>
      </c>
      <c r="N3172">
        <f t="shared" si="743"/>
        <v>359</v>
      </c>
    </row>
    <row r="3173" spans="1:14" x14ac:dyDescent="0.2">
      <c r="A3173" t="s">
        <v>3961</v>
      </c>
      <c r="B3173" s="1" t="s">
        <v>3922</v>
      </c>
      <c r="C3173" t="s">
        <v>14</v>
      </c>
      <c r="D3173" t="s">
        <v>1338</v>
      </c>
      <c r="E3173">
        <v>2</v>
      </c>
      <c r="F3173" t="s">
        <v>3891</v>
      </c>
      <c r="G3173">
        <v>2023</v>
      </c>
      <c r="H3173" t="s">
        <v>3962</v>
      </c>
      <c r="I3173" t="s">
        <v>19</v>
      </c>
      <c r="J3173">
        <v>799</v>
      </c>
      <c r="K3173">
        <v>205</v>
      </c>
      <c r="L3173">
        <f t="shared" si="742"/>
        <v>594</v>
      </c>
      <c r="M3173">
        <v>240</v>
      </c>
      <c r="N3173">
        <f t="shared" si="743"/>
        <v>354</v>
      </c>
    </row>
    <row r="3174" spans="1:14" x14ac:dyDescent="0.2">
      <c r="A3174" t="s">
        <v>3963</v>
      </c>
      <c r="B3174" s="1" t="s">
        <v>3922</v>
      </c>
      <c r="C3174" t="s">
        <v>14</v>
      </c>
      <c r="D3174" t="s">
        <v>448</v>
      </c>
      <c r="E3174">
        <v>2</v>
      </c>
      <c r="F3174" t="s">
        <v>3891</v>
      </c>
      <c r="G3174">
        <v>2023</v>
      </c>
      <c r="H3174" t="s">
        <v>3964</v>
      </c>
      <c r="I3174" t="s">
        <v>1742</v>
      </c>
      <c r="J3174">
        <v>899</v>
      </c>
      <c r="K3174">
        <v>295</v>
      </c>
      <c r="L3174">
        <f t="shared" si="742"/>
        <v>604</v>
      </c>
      <c r="M3174">
        <v>240</v>
      </c>
      <c r="N3174">
        <f t="shared" si="743"/>
        <v>364</v>
      </c>
    </row>
    <row r="3175" spans="1:14" x14ac:dyDescent="0.2">
      <c r="A3175" t="s">
        <v>3965</v>
      </c>
      <c r="B3175" s="1" t="s">
        <v>3922</v>
      </c>
      <c r="C3175" t="s">
        <v>14</v>
      </c>
      <c r="D3175" t="s">
        <v>133</v>
      </c>
      <c r="E3175">
        <v>2</v>
      </c>
      <c r="F3175" t="s">
        <v>3891</v>
      </c>
      <c r="G3175">
        <v>2023</v>
      </c>
      <c r="H3175" t="s">
        <v>18</v>
      </c>
      <c r="I3175" t="s">
        <v>19</v>
      </c>
      <c r="J3175">
        <v>799</v>
      </c>
      <c r="K3175">
        <v>205</v>
      </c>
      <c r="L3175">
        <f t="shared" si="742"/>
        <v>594</v>
      </c>
      <c r="M3175">
        <v>240</v>
      </c>
      <c r="N3175">
        <f t="shared" si="743"/>
        <v>354</v>
      </c>
    </row>
    <row r="3176" spans="1:14" x14ac:dyDescent="0.2">
      <c r="A3176" t="s">
        <v>3966</v>
      </c>
      <c r="B3176" s="1" t="s">
        <v>3922</v>
      </c>
      <c r="C3176" t="s">
        <v>14</v>
      </c>
      <c r="D3176" t="s">
        <v>1212</v>
      </c>
      <c r="E3176">
        <v>2</v>
      </c>
      <c r="F3176" t="s">
        <v>3891</v>
      </c>
      <c r="G3176">
        <v>2023</v>
      </c>
      <c r="H3176" t="s">
        <v>157</v>
      </c>
      <c r="I3176" t="s">
        <v>97</v>
      </c>
      <c r="J3176">
        <v>799</v>
      </c>
      <c r="K3176">
        <v>205</v>
      </c>
      <c r="L3176">
        <f t="shared" si="742"/>
        <v>594</v>
      </c>
      <c r="M3176">
        <v>240</v>
      </c>
      <c r="N3176">
        <f t="shared" si="743"/>
        <v>354</v>
      </c>
    </row>
    <row r="3177" spans="1:14" x14ac:dyDescent="0.2">
      <c r="A3177" t="s">
        <v>3967</v>
      </c>
      <c r="B3177" s="1" t="s">
        <v>3935</v>
      </c>
      <c r="C3177" t="s">
        <v>43</v>
      </c>
      <c r="D3177" t="s">
        <v>881</v>
      </c>
      <c r="E3177">
        <v>3</v>
      </c>
      <c r="F3177" t="s">
        <v>3891</v>
      </c>
      <c r="G3177">
        <v>2023</v>
      </c>
      <c r="H3177" t="s">
        <v>3968</v>
      </c>
      <c r="I3177" t="s">
        <v>32</v>
      </c>
      <c r="J3177">
        <v>0</v>
      </c>
      <c r="K3177">
        <v>0</v>
      </c>
      <c r="L3177">
        <v>0</v>
      </c>
      <c r="M3177">
        <v>0</v>
      </c>
      <c r="N3177">
        <v>0</v>
      </c>
    </row>
    <row r="3178" spans="1:14" x14ac:dyDescent="0.2">
      <c r="A3178" t="s">
        <v>3969</v>
      </c>
      <c r="B3178" s="1" t="s">
        <v>3935</v>
      </c>
      <c r="C3178" t="s">
        <v>43</v>
      </c>
      <c r="D3178" t="s">
        <v>1215</v>
      </c>
      <c r="E3178">
        <v>3</v>
      </c>
      <c r="F3178" t="s">
        <v>3891</v>
      </c>
      <c r="G3178">
        <v>2023</v>
      </c>
      <c r="H3178" t="s">
        <v>3970</v>
      </c>
      <c r="I3178" t="s">
        <v>85</v>
      </c>
      <c r="J3178">
        <v>0</v>
      </c>
      <c r="K3178">
        <v>0</v>
      </c>
      <c r="L3178">
        <v>0</v>
      </c>
      <c r="M3178">
        <v>0</v>
      </c>
      <c r="N3178">
        <v>0</v>
      </c>
    </row>
    <row r="3179" spans="1:14" x14ac:dyDescent="0.2">
      <c r="A3179" t="s">
        <v>3971</v>
      </c>
      <c r="B3179" s="1" t="s">
        <v>3889</v>
      </c>
      <c r="C3179" t="s">
        <v>14</v>
      </c>
      <c r="D3179" t="s">
        <v>1548</v>
      </c>
      <c r="E3179">
        <v>1</v>
      </c>
      <c r="F3179" t="s">
        <v>3891</v>
      </c>
      <c r="G3179">
        <v>2023</v>
      </c>
      <c r="H3179" t="s">
        <v>3972</v>
      </c>
      <c r="I3179" t="s">
        <v>1742</v>
      </c>
      <c r="J3179">
        <v>799</v>
      </c>
      <c r="K3179">
        <v>205</v>
      </c>
      <c r="L3179">
        <f t="shared" ref="L3179:L3206" si="744">J3179-K3179</f>
        <v>594</v>
      </c>
      <c r="M3179">
        <v>240</v>
      </c>
      <c r="N3179">
        <f t="shared" ref="N3179:N3206" si="745">L3179-M3179</f>
        <v>354</v>
      </c>
    </row>
    <row r="3180" spans="1:14" x14ac:dyDescent="0.2">
      <c r="A3180" t="s">
        <v>3973</v>
      </c>
      <c r="B3180" s="1" t="s">
        <v>3935</v>
      </c>
      <c r="C3180" t="s">
        <v>14</v>
      </c>
      <c r="D3180" t="s">
        <v>798</v>
      </c>
      <c r="E3180">
        <v>3</v>
      </c>
      <c r="F3180" t="s">
        <v>3891</v>
      </c>
      <c r="G3180">
        <v>2023</v>
      </c>
      <c r="H3180" t="s">
        <v>600</v>
      </c>
      <c r="I3180" t="s">
        <v>23</v>
      </c>
      <c r="J3180">
        <v>799</v>
      </c>
      <c r="K3180">
        <v>205</v>
      </c>
      <c r="L3180">
        <f t="shared" si="744"/>
        <v>594</v>
      </c>
      <c r="M3180">
        <v>240</v>
      </c>
      <c r="N3180">
        <f t="shared" si="745"/>
        <v>354</v>
      </c>
    </row>
    <row r="3181" spans="1:14" x14ac:dyDescent="0.2">
      <c r="A3181" t="s">
        <v>3974</v>
      </c>
      <c r="B3181" s="1" t="s">
        <v>3935</v>
      </c>
      <c r="C3181" t="s">
        <v>14</v>
      </c>
      <c r="D3181" t="s">
        <v>893</v>
      </c>
      <c r="E3181">
        <v>3</v>
      </c>
      <c r="F3181" t="s">
        <v>3891</v>
      </c>
      <c r="G3181">
        <v>2023</v>
      </c>
      <c r="H3181" t="s">
        <v>3975</v>
      </c>
      <c r="I3181" t="s">
        <v>32</v>
      </c>
      <c r="J3181">
        <v>849</v>
      </c>
      <c r="K3181">
        <v>250</v>
      </c>
      <c r="L3181">
        <f t="shared" si="744"/>
        <v>599</v>
      </c>
      <c r="M3181">
        <v>240</v>
      </c>
      <c r="N3181">
        <f t="shared" si="745"/>
        <v>359</v>
      </c>
    </row>
    <row r="3182" spans="1:14" x14ac:dyDescent="0.2">
      <c r="A3182" t="s">
        <v>3967</v>
      </c>
      <c r="B3182" s="1" t="s">
        <v>3935</v>
      </c>
      <c r="C3182" t="s">
        <v>14</v>
      </c>
      <c r="D3182" t="s">
        <v>881</v>
      </c>
      <c r="E3182">
        <v>3</v>
      </c>
      <c r="F3182" t="s">
        <v>3891</v>
      </c>
      <c r="G3182">
        <v>2023</v>
      </c>
      <c r="H3182" t="s">
        <v>3968</v>
      </c>
      <c r="I3182" t="s">
        <v>32</v>
      </c>
      <c r="J3182">
        <v>799</v>
      </c>
      <c r="K3182">
        <v>205</v>
      </c>
      <c r="L3182">
        <f t="shared" si="744"/>
        <v>594</v>
      </c>
      <c r="M3182">
        <v>240</v>
      </c>
      <c r="N3182">
        <f t="shared" si="745"/>
        <v>354</v>
      </c>
    </row>
    <row r="3183" spans="1:14" x14ac:dyDescent="0.2">
      <c r="A3183" t="s">
        <v>3976</v>
      </c>
      <c r="B3183" s="1" t="s">
        <v>3935</v>
      </c>
      <c r="C3183" t="s">
        <v>14</v>
      </c>
      <c r="D3183" t="s">
        <v>504</v>
      </c>
      <c r="E3183">
        <v>3</v>
      </c>
      <c r="F3183" t="s">
        <v>3891</v>
      </c>
      <c r="G3183">
        <v>2023</v>
      </c>
      <c r="H3183" t="s">
        <v>170</v>
      </c>
      <c r="I3183" t="s">
        <v>171</v>
      </c>
      <c r="J3183">
        <v>899</v>
      </c>
      <c r="K3183">
        <v>295</v>
      </c>
      <c r="L3183">
        <f t="shared" si="744"/>
        <v>604</v>
      </c>
      <c r="M3183">
        <v>240</v>
      </c>
      <c r="N3183">
        <f t="shared" si="745"/>
        <v>364</v>
      </c>
    </row>
    <row r="3184" spans="1:14" x14ac:dyDescent="0.2">
      <c r="A3184" t="s">
        <v>3977</v>
      </c>
      <c r="B3184" s="1" t="s">
        <v>3935</v>
      </c>
      <c r="C3184" t="s">
        <v>14</v>
      </c>
      <c r="D3184" t="s">
        <v>81</v>
      </c>
      <c r="E3184">
        <v>3</v>
      </c>
      <c r="F3184" t="s">
        <v>3891</v>
      </c>
      <c r="G3184">
        <v>2023</v>
      </c>
      <c r="H3184" t="s">
        <v>215</v>
      </c>
      <c r="I3184" t="s">
        <v>135</v>
      </c>
      <c r="J3184">
        <v>849</v>
      </c>
      <c r="K3184">
        <v>250</v>
      </c>
      <c r="L3184">
        <f t="shared" si="744"/>
        <v>599</v>
      </c>
      <c r="M3184">
        <v>240</v>
      </c>
      <c r="N3184">
        <f t="shared" si="745"/>
        <v>359</v>
      </c>
    </row>
    <row r="3185" spans="1:14" x14ac:dyDescent="0.2">
      <c r="A3185" t="s">
        <v>3979</v>
      </c>
      <c r="B3185" s="1" t="s">
        <v>3978</v>
      </c>
      <c r="C3185" t="s">
        <v>14</v>
      </c>
      <c r="D3185" t="s">
        <v>573</v>
      </c>
      <c r="E3185">
        <v>4</v>
      </c>
      <c r="F3185" t="s">
        <v>3891</v>
      </c>
      <c r="G3185">
        <v>2023</v>
      </c>
      <c r="H3185" t="s">
        <v>170</v>
      </c>
      <c r="I3185" t="s">
        <v>171</v>
      </c>
      <c r="J3185">
        <v>899</v>
      </c>
      <c r="K3185">
        <v>295</v>
      </c>
      <c r="L3185">
        <f t="shared" si="744"/>
        <v>604</v>
      </c>
      <c r="M3185">
        <v>240</v>
      </c>
      <c r="N3185">
        <f t="shared" si="745"/>
        <v>364</v>
      </c>
    </row>
    <row r="3186" spans="1:14" x14ac:dyDescent="0.2">
      <c r="A3186" t="s">
        <v>3980</v>
      </c>
      <c r="B3186" s="1" t="s">
        <v>3935</v>
      </c>
      <c r="C3186" t="s">
        <v>14</v>
      </c>
      <c r="D3186" t="s">
        <v>1937</v>
      </c>
      <c r="E3186">
        <v>3</v>
      </c>
      <c r="F3186" t="s">
        <v>3891</v>
      </c>
      <c r="G3186">
        <v>2023</v>
      </c>
      <c r="H3186" t="s">
        <v>1078</v>
      </c>
      <c r="I3186" t="s">
        <v>37</v>
      </c>
      <c r="J3186">
        <v>799</v>
      </c>
      <c r="K3186">
        <v>205</v>
      </c>
      <c r="L3186">
        <f t="shared" si="744"/>
        <v>594</v>
      </c>
      <c r="M3186">
        <v>240</v>
      </c>
      <c r="N3186">
        <f t="shared" si="745"/>
        <v>354</v>
      </c>
    </row>
    <row r="3187" spans="1:14" x14ac:dyDescent="0.2">
      <c r="A3187" t="s">
        <v>3981</v>
      </c>
      <c r="B3187" s="1" t="s">
        <v>3935</v>
      </c>
      <c r="C3187" t="s">
        <v>14</v>
      </c>
      <c r="D3187" t="s">
        <v>573</v>
      </c>
      <c r="E3187">
        <v>3</v>
      </c>
      <c r="F3187" t="s">
        <v>3891</v>
      </c>
      <c r="G3187">
        <v>2023</v>
      </c>
      <c r="H3187" t="s">
        <v>3982</v>
      </c>
      <c r="I3187" t="s">
        <v>85</v>
      </c>
      <c r="J3187">
        <v>899</v>
      </c>
      <c r="K3187">
        <v>295</v>
      </c>
      <c r="L3187">
        <f t="shared" si="744"/>
        <v>604</v>
      </c>
      <c r="M3187">
        <v>240</v>
      </c>
      <c r="N3187">
        <f t="shared" si="745"/>
        <v>364</v>
      </c>
    </row>
    <row r="3188" spans="1:14" x14ac:dyDescent="0.2">
      <c r="A3188" t="s">
        <v>3983</v>
      </c>
      <c r="B3188" s="1" t="s">
        <v>3935</v>
      </c>
      <c r="C3188" t="s">
        <v>14</v>
      </c>
      <c r="D3188" t="s">
        <v>490</v>
      </c>
      <c r="E3188">
        <v>3</v>
      </c>
      <c r="F3188" t="s">
        <v>3891</v>
      </c>
      <c r="G3188">
        <v>2023</v>
      </c>
      <c r="H3188" t="s">
        <v>84</v>
      </c>
      <c r="I3188" t="s">
        <v>85</v>
      </c>
      <c r="J3188">
        <v>899</v>
      </c>
      <c r="K3188">
        <v>295</v>
      </c>
      <c r="L3188">
        <f t="shared" si="744"/>
        <v>604</v>
      </c>
      <c r="M3188">
        <v>240</v>
      </c>
      <c r="N3188">
        <f t="shared" si="745"/>
        <v>364</v>
      </c>
    </row>
    <row r="3189" spans="1:14" x14ac:dyDescent="0.2">
      <c r="A3189" t="s">
        <v>3984</v>
      </c>
      <c r="B3189" s="1" t="s">
        <v>3935</v>
      </c>
      <c r="C3189" t="s">
        <v>14</v>
      </c>
      <c r="D3189" t="s">
        <v>133</v>
      </c>
      <c r="E3189">
        <v>3</v>
      </c>
      <c r="F3189" t="s">
        <v>3891</v>
      </c>
      <c r="G3189">
        <v>2023</v>
      </c>
      <c r="H3189" t="s">
        <v>31</v>
      </c>
      <c r="I3189" t="s">
        <v>32</v>
      </c>
      <c r="J3189">
        <v>799</v>
      </c>
      <c r="K3189">
        <v>205</v>
      </c>
      <c r="L3189">
        <f t="shared" si="744"/>
        <v>594</v>
      </c>
      <c r="M3189">
        <v>240</v>
      </c>
      <c r="N3189">
        <f t="shared" si="745"/>
        <v>354</v>
      </c>
    </row>
    <row r="3190" spans="1:14" x14ac:dyDescent="0.2">
      <c r="A3190" t="s">
        <v>3985</v>
      </c>
      <c r="B3190" s="1" t="s">
        <v>3935</v>
      </c>
      <c r="C3190" t="s">
        <v>14</v>
      </c>
      <c r="D3190" t="s">
        <v>45</v>
      </c>
      <c r="E3190">
        <v>3</v>
      </c>
      <c r="F3190" t="s">
        <v>3891</v>
      </c>
      <c r="G3190">
        <v>2023</v>
      </c>
      <c r="H3190" t="s">
        <v>796</v>
      </c>
      <c r="I3190" t="s">
        <v>58</v>
      </c>
      <c r="J3190">
        <v>899</v>
      </c>
      <c r="K3190">
        <v>295</v>
      </c>
      <c r="L3190">
        <f t="shared" si="744"/>
        <v>604</v>
      </c>
      <c r="M3190">
        <v>240</v>
      </c>
      <c r="N3190">
        <f t="shared" si="745"/>
        <v>364</v>
      </c>
    </row>
    <row r="3191" spans="1:14" x14ac:dyDescent="0.2">
      <c r="A3191" t="s">
        <v>3986</v>
      </c>
      <c r="B3191" s="1" t="s">
        <v>3935</v>
      </c>
      <c r="C3191" t="s">
        <v>14</v>
      </c>
      <c r="D3191" t="s">
        <v>1354</v>
      </c>
      <c r="E3191">
        <v>3</v>
      </c>
      <c r="F3191" t="s">
        <v>3891</v>
      </c>
      <c r="G3191">
        <v>2023</v>
      </c>
      <c r="H3191" t="s">
        <v>170</v>
      </c>
      <c r="I3191" t="s">
        <v>171</v>
      </c>
      <c r="J3191">
        <v>799</v>
      </c>
      <c r="K3191">
        <v>205</v>
      </c>
      <c r="L3191">
        <f t="shared" si="744"/>
        <v>594</v>
      </c>
      <c r="M3191">
        <v>240</v>
      </c>
      <c r="N3191">
        <f t="shared" si="745"/>
        <v>354</v>
      </c>
    </row>
    <row r="3192" spans="1:14" x14ac:dyDescent="0.2">
      <c r="A3192" t="s">
        <v>3987</v>
      </c>
      <c r="B3192" s="1" t="s">
        <v>3935</v>
      </c>
      <c r="C3192" t="s">
        <v>14</v>
      </c>
      <c r="D3192" t="s">
        <v>798</v>
      </c>
      <c r="E3192">
        <v>3</v>
      </c>
      <c r="F3192" t="s">
        <v>3891</v>
      </c>
      <c r="G3192">
        <v>2023</v>
      </c>
      <c r="H3192" t="s">
        <v>3988</v>
      </c>
      <c r="I3192" t="s">
        <v>97</v>
      </c>
      <c r="J3192">
        <v>799</v>
      </c>
      <c r="K3192">
        <v>205</v>
      </c>
      <c r="L3192">
        <f t="shared" si="744"/>
        <v>594</v>
      </c>
      <c r="M3192">
        <v>240</v>
      </c>
      <c r="N3192">
        <f t="shared" si="745"/>
        <v>354</v>
      </c>
    </row>
    <row r="3193" spans="1:14" x14ac:dyDescent="0.2">
      <c r="A3193" t="s">
        <v>3989</v>
      </c>
      <c r="B3193" s="1" t="s">
        <v>3935</v>
      </c>
      <c r="C3193" t="s">
        <v>14</v>
      </c>
      <c r="D3193" t="s">
        <v>1193</v>
      </c>
      <c r="E3193">
        <v>3</v>
      </c>
      <c r="F3193" t="s">
        <v>3891</v>
      </c>
      <c r="G3193">
        <v>2023</v>
      </c>
      <c r="H3193" t="s">
        <v>3638</v>
      </c>
      <c r="I3193" t="s">
        <v>19</v>
      </c>
      <c r="J3193">
        <v>899</v>
      </c>
      <c r="K3193">
        <v>295</v>
      </c>
      <c r="L3193">
        <f t="shared" si="744"/>
        <v>604</v>
      </c>
      <c r="M3193">
        <v>240</v>
      </c>
      <c r="N3193">
        <f t="shared" si="745"/>
        <v>364</v>
      </c>
    </row>
    <row r="3194" spans="1:14" x14ac:dyDescent="0.2">
      <c r="A3194" t="s">
        <v>3990</v>
      </c>
      <c r="B3194" s="1" t="s">
        <v>3935</v>
      </c>
      <c r="C3194" t="s">
        <v>14</v>
      </c>
      <c r="D3194" t="s">
        <v>81</v>
      </c>
      <c r="E3194">
        <v>3</v>
      </c>
      <c r="F3194" t="s">
        <v>3891</v>
      </c>
      <c r="G3194">
        <v>2023</v>
      </c>
      <c r="H3194" t="s">
        <v>3991</v>
      </c>
      <c r="I3194" t="s">
        <v>62</v>
      </c>
      <c r="J3194">
        <v>849</v>
      </c>
      <c r="K3194">
        <v>250</v>
      </c>
      <c r="L3194">
        <f t="shared" si="744"/>
        <v>599</v>
      </c>
      <c r="M3194">
        <v>240</v>
      </c>
      <c r="N3194">
        <f t="shared" si="745"/>
        <v>359</v>
      </c>
    </row>
    <row r="3195" spans="1:14" x14ac:dyDescent="0.2">
      <c r="A3195" t="s">
        <v>3992</v>
      </c>
      <c r="B3195" s="1" t="s">
        <v>3935</v>
      </c>
      <c r="C3195" t="s">
        <v>14</v>
      </c>
      <c r="D3195" t="s">
        <v>81</v>
      </c>
      <c r="E3195">
        <v>3</v>
      </c>
      <c r="F3195" t="s">
        <v>3891</v>
      </c>
      <c r="G3195">
        <v>2023</v>
      </c>
      <c r="H3195" t="s">
        <v>104</v>
      </c>
      <c r="I3195" t="s">
        <v>62</v>
      </c>
      <c r="J3195">
        <v>849</v>
      </c>
      <c r="K3195">
        <v>250</v>
      </c>
      <c r="L3195">
        <f t="shared" si="744"/>
        <v>599</v>
      </c>
      <c r="M3195">
        <v>240</v>
      </c>
      <c r="N3195">
        <f t="shared" si="745"/>
        <v>359</v>
      </c>
    </row>
    <row r="3196" spans="1:14" x14ac:dyDescent="0.2">
      <c r="A3196" t="s">
        <v>3993</v>
      </c>
      <c r="B3196" s="1" t="s">
        <v>3935</v>
      </c>
      <c r="C3196" t="s">
        <v>14</v>
      </c>
      <c r="D3196" t="s">
        <v>3994</v>
      </c>
      <c r="E3196">
        <v>3</v>
      </c>
      <c r="F3196" t="s">
        <v>3891</v>
      </c>
      <c r="G3196">
        <v>2023</v>
      </c>
      <c r="H3196" t="s">
        <v>246</v>
      </c>
      <c r="I3196" t="s">
        <v>58</v>
      </c>
      <c r="J3196">
        <v>799</v>
      </c>
      <c r="K3196">
        <v>205</v>
      </c>
      <c r="L3196">
        <f t="shared" si="744"/>
        <v>594</v>
      </c>
      <c r="M3196">
        <v>240</v>
      </c>
      <c r="N3196">
        <f t="shared" si="745"/>
        <v>354</v>
      </c>
    </row>
    <row r="3197" spans="1:14" x14ac:dyDescent="0.2">
      <c r="A3197" t="s">
        <v>3995</v>
      </c>
      <c r="B3197" s="1" t="s">
        <v>3935</v>
      </c>
      <c r="C3197" t="s">
        <v>14</v>
      </c>
      <c r="D3197" t="s">
        <v>548</v>
      </c>
      <c r="E3197">
        <v>3</v>
      </c>
      <c r="F3197" t="s">
        <v>3891</v>
      </c>
      <c r="G3197">
        <v>2023</v>
      </c>
      <c r="H3197" t="s">
        <v>530</v>
      </c>
      <c r="I3197" t="s">
        <v>23</v>
      </c>
      <c r="J3197">
        <v>899</v>
      </c>
      <c r="K3197">
        <v>295</v>
      </c>
      <c r="L3197">
        <f t="shared" si="744"/>
        <v>604</v>
      </c>
      <c r="M3197">
        <v>240</v>
      </c>
      <c r="N3197">
        <f t="shared" si="745"/>
        <v>364</v>
      </c>
    </row>
    <row r="3198" spans="1:14" x14ac:dyDescent="0.2">
      <c r="A3198" t="s">
        <v>3996</v>
      </c>
      <c r="B3198" s="1" t="s">
        <v>3935</v>
      </c>
      <c r="C3198" t="s">
        <v>14</v>
      </c>
      <c r="D3198" t="s">
        <v>2152</v>
      </c>
      <c r="E3198">
        <v>3</v>
      </c>
      <c r="F3198" t="s">
        <v>3891</v>
      </c>
      <c r="G3198">
        <v>2023</v>
      </c>
      <c r="H3198" t="s">
        <v>84</v>
      </c>
      <c r="I3198" t="s">
        <v>85</v>
      </c>
      <c r="J3198">
        <v>799</v>
      </c>
      <c r="K3198">
        <v>205</v>
      </c>
      <c r="L3198">
        <f t="shared" si="744"/>
        <v>594</v>
      </c>
      <c r="M3198">
        <v>240</v>
      </c>
      <c r="N3198">
        <f t="shared" si="745"/>
        <v>354</v>
      </c>
    </row>
    <row r="3199" spans="1:14" x14ac:dyDescent="0.2">
      <c r="A3199" t="s">
        <v>3996</v>
      </c>
      <c r="B3199" s="1" t="s">
        <v>3935</v>
      </c>
      <c r="C3199" t="s">
        <v>14</v>
      </c>
      <c r="D3199" t="s">
        <v>169</v>
      </c>
      <c r="E3199">
        <v>3</v>
      </c>
      <c r="F3199" t="s">
        <v>3891</v>
      </c>
      <c r="G3199">
        <v>2023</v>
      </c>
      <c r="H3199" t="s">
        <v>84</v>
      </c>
      <c r="I3199" t="s">
        <v>85</v>
      </c>
      <c r="J3199">
        <v>799</v>
      </c>
      <c r="K3199">
        <v>205</v>
      </c>
      <c r="L3199">
        <f t="shared" si="744"/>
        <v>594</v>
      </c>
      <c r="M3199">
        <v>240</v>
      </c>
      <c r="N3199">
        <f t="shared" si="745"/>
        <v>354</v>
      </c>
    </row>
    <row r="3200" spans="1:14" x14ac:dyDescent="0.2">
      <c r="A3200" t="s">
        <v>3997</v>
      </c>
      <c r="B3200" s="1" t="s">
        <v>3935</v>
      </c>
      <c r="C3200" t="s">
        <v>14</v>
      </c>
      <c r="D3200" t="s">
        <v>45</v>
      </c>
      <c r="E3200">
        <v>3</v>
      </c>
      <c r="F3200" t="s">
        <v>3891</v>
      </c>
      <c r="G3200">
        <v>2023</v>
      </c>
      <c r="H3200" t="s">
        <v>3998</v>
      </c>
      <c r="I3200" t="s">
        <v>19</v>
      </c>
      <c r="J3200">
        <v>899</v>
      </c>
      <c r="K3200">
        <v>295</v>
      </c>
      <c r="L3200">
        <f t="shared" si="744"/>
        <v>604</v>
      </c>
      <c r="M3200">
        <v>240</v>
      </c>
      <c r="N3200">
        <f t="shared" si="745"/>
        <v>364</v>
      </c>
    </row>
    <row r="3201" spans="1:14" x14ac:dyDescent="0.2">
      <c r="A3201" t="s">
        <v>3999</v>
      </c>
      <c r="B3201" s="1" t="s">
        <v>3935</v>
      </c>
      <c r="C3201" t="s">
        <v>14</v>
      </c>
      <c r="D3201" t="s">
        <v>881</v>
      </c>
      <c r="E3201">
        <v>3</v>
      </c>
      <c r="F3201" t="s">
        <v>3891</v>
      </c>
      <c r="G3201">
        <v>2023</v>
      </c>
      <c r="H3201" t="s">
        <v>263</v>
      </c>
      <c r="I3201" t="s">
        <v>144</v>
      </c>
      <c r="J3201">
        <v>799</v>
      </c>
      <c r="K3201">
        <v>205</v>
      </c>
      <c r="L3201">
        <f t="shared" si="744"/>
        <v>594</v>
      </c>
      <c r="M3201">
        <v>240</v>
      </c>
      <c r="N3201">
        <f t="shared" si="745"/>
        <v>354</v>
      </c>
    </row>
    <row r="3202" spans="1:14" x14ac:dyDescent="0.2">
      <c r="A3202" t="s">
        <v>4000</v>
      </c>
      <c r="B3202" s="1" t="s">
        <v>3935</v>
      </c>
      <c r="C3202" t="s">
        <v>14</v>
      </c>
      <c r="D3202" t="s">
        <v>548</v>
      </c>
      <c r="E3202">
        <v>3</v>
      </c>
      <c r="F3202" t="s">
        <v>3891</v>
      </c>
      <c r="G3202">
        <v>2023</v>
      </c>
      <c r="H3202" t="s">
        <v>4001</v>
      </c>
      <c r="I3202" t="s">
        <v>122</v>
      </c>
      <c r="J3202">
        <v>899</v>
      </c>
      <c r="K3202">
        <v>295</v>
      </c>
      <c r="L3202">
        <f t="shared" si="744"/>
        <v>604</v>
      </c>
      <c r="M3202">
        <v>240</v>
      </c>
      <c r="N3202">
        <f t="shared" si="745"/>
        <v>364</v>
      </c>
    </row>
    <row r="3203" spans="1:14" x14ac:dyDescent="0.2">
      <c r="A3203" t="s">
        <v>4002</v>
      </c>
      <c r="B3203" s="1" t="s">
        <v>3935</v>
      </c>
      <c r="C3203" t="s">
        <v>14</v>
      </c>
      <c r="D3203" t="s">
        <v>169</v>
      </c>
      <c r="E3203">
        <v>3</v>
      </c>
      <c r="F3203" t="s">
        <v>3891</v>
      </c>
      <c r="G3203">
        <v>2023</v>
      </c>
      <c r="H3203" t="s">
        <v>84</v>
      </c>
      <c r="I3203" t="s">
        <v>85</v>
      </c>
      <c r="J3203">
        <v>799</v>
      </c>
      <c r="K3203">
        <v>205</v>
      </c>
      <c r="L3203">
        <f t="shared" si="744"/>
        <v>594</v>
      </c>
      <c r="M3203">
        <v>240</v>
      </c>
      <c r="N3203">
        <f t="shared" si="745"/>
        <v>354</v>
      </c>
    </row>
    <row r="3204" spans="1:14" x14ac:dyDescent="0.2">
      <c r="A3204" t="s">
        <v>4003</v>
      </c>
      <c r="B3204" s="1" t="s">
        <v>3935</v>
      </c>
      <c r="C3204" t="s">
        <v>14</v>
      </c>
      <c r="D3204" t="s">
        <v>242</v>
      </c>
      <c r="E3204">
        <v>3</v>
      </c>
      <c r="F3204" t="s">
        <v>3891</v>
      </c>
      <c r="G3204">
        <v>2023</v>
      </c>
      <c r="H3204" t="s">
        <v>1115</v>
      </c>
      <c r="I3204" t="s">
        <v>135</v>
      </c>
      <c r="J3204">
        <v>899</v>
      </c>
      <c r="K3204">
        <v>295</v>
      </c>
      <c r="L3204">
        <f t="shared" si="744"/>
        <v>604</v>
      </c>
      <c r="M3204">
        <v>240</v>
      </c>
      <c r="N3204">
        <f t="shared" si="745"/>
        <v>364</v>
      </c>
    </row>
    <row r="3205" spans="1:14" x14ac:dyDescent="0.2">
      <c r="A3205" t="s">
        <v>4004</v>
      </c>
      <c r="B3205" s="1" t="s">
        <v>3935</v>
      </c>
      <c r="C3205" t="s">
        <v>14</v>
      </c>
      <c r="D3205" t="s">
        <v>504</v>
      </c>
      <c r="E3205">
        <v>3</v>
      </c>
      <c r="F3205" t="s">
        <v>3891</v>
      </c>
      <c r="G3205">
        <v>2023</v>
      </c>
      <c r="H3205" t="s">
        <v>3515</v>
      </c>
      <c r="I3205" t="s">
        <v>62</v>
      </c>
      <c r="J3205">
        <v>899</v>
      </c>
      <c r="K3205">
        <v>295</v>
      </c>
      <c r="L3205">
        <f t="shared" si="744"/>
        <v>604</v>
      </c>
      <c r="M3205">
        <v>240</v>
      </c>
      <c r="N3205">
        <f t="shared" si="745"/>
        <v>364</v>
      </c>
    </row>
    <row r="3206" spans="1:14" x14ac:dyDescent="0.2">
      <c r="A3206" t="s">
        <v>4005</v>
      </c>
      <c r="B3206" s="1" t="s">
        <v>3935</v>
      </c>
      <c r="C3206" t="s">
        <v>14</v>
      </c>
      <c r="D3206" t="s">
        <v>448</v>
      </c>
      <c r="E3206">
        <v>3</v>
      </c>
      <c r="F3206" t="s">
        <v>3891</v>
      </c>
      <c r="G3206">
        <v>2023</v>
      </c>
      <c r="H3206" t="s">
        <v>4006</v>
      </c>
      <c r="I3206" t="s">
        <v>23</v>
      </c>
      <c r="J3206">
        <v>899</v>
      </c>
      <c r="K3206">
        <v>295</v>
      </c>
      <c r="L3206">
        <f t="shared" si="744"/>
        <v>604</v>
      </c>
      <c r="M3206">
        <v>240</v>
      </c>
      <c r="N3206">
        <f t="shared" si="745"/>
        <v>364</v>
      </c>
    </row>
    <row r="3207" spans="1:14" x14ac:dyDescent="0.2">
      <c r="A3207" t="s">
        <v>4007</v>
      </c>
      <c r="B3207" s="1" t="s">
        <v>3978</v>
      </c>
      <c r="C3207" t="s">
        <v>43</v>
      </c>
      <c r="D3207" t="s">
        <v>103</v>
      </c>
      <c r="E3207">
        <v>4</v>
      </c>
      <c r="F3207" t="s">
        <v>3891</v>
      </c>
      <c r="G3207">
        <v>2023</v>
      </c>
      <c r="H3207" t="s">
        <v>3465</v>
      </c>
      <c r="I3207" t="s">
        <v>97</v>
      </c>
      <c r="J3207">
        <v>0</v>
      </c>
      <c r="K3207">
        <v>0</v>
      </c>
      <c r="L3207">
        <v>0</v>
      </c>
      <c r="M3207">
        <v>0</v>
      </c>
      <c r="N3207">
        <v>0</v>
      </c>
    </row>
    <row r="3208" spans="1:14" x14ac:dyDescent="0.2">
      <c r="A3208" t="s">
        <v>3946</v>
      </c>
      <c r="B3208" s="1" t="s">
        <v>3922</v>
      </c>
      <c r="C3208" t="s">
        <v>106</v>
      </c>
      <c r="D3208" t="s">
        <v>2152</v>
      </c>
      <c r="E3208">
        <v>2</v>
      </c>
      <c r="F3208" t="s">
        <v>3891</v>
      </c>
      <c r="G3208">
        <v>2023</v>
      </c>
      <c r="H3208" t="s">
        <v>104</v>
      </c>
      <c r="I3208" t="s">
        <v>62</v>
      </c>
      <c r="J3208">
        <v>-799</v>
      </c>
      <c r="K3208">
        <v>320</v>
      </c>
      <c r="L3208">
        <f t="shared" ref="L3208:L3210" si="746">J3208+K3208</f>
        <v>-479</v>
      </c>
      <c r="M3208">
        <v>240</v>
      </c>
      <c r="N3208">
        <f t="shared" ref="N3208:N3210" si="747">L3208+M3208</f>
        <v>-239</v>
      </c>
    </row>
    <row r="3209" spans="1:14" x14ac:dyDescent="0.2">
      <c r="A3209" t="s">
        <v>3956</v>
      </c>
      <c r="B3209" s="1" t="s">
        <v>3922</v>
      </c>
      <c r="C3209" t="s">
        <v>106</v>
      </c>
      <c r="D3209" t="s">
        <v>344</v>
      </c>
      <c r="E3209">
        <v>2</v>
      </c>
      <c r="F3209" t="s">
        <v>3891</v>
      </c>
      <c r="G3209">
        <v>2023</v>
      </c>
      <c r="H3209" t="s">
        <v>215</v>
      </c>
      <c r="I3209" t="s">
        <v>135</v>
      </c>
      <c r="J3209">
        <v>-799</v>
      </c>
      <c r="K3209">
        <v>320</v>
      </c>
      <c r="L3209">
        <f t="shared" si="746"/>
        <v>-479</v>
      </c>
      <c r="M3209">
        <v>240</v>
      </c>
      <c r="N3209">
        <f t="shared" si="747"/>
        <v>-239</v>
      </c>
    </row>
    <row r="3210" spans="1:14" x14ac:dyDescent="0.2">
      <c r="A3210" t="s">
        <v>3906</v>
      </c>
      <c r="B3210" s="1" t="s">
        <v>3889</v>
      </c>
      <c r="C3210" t="s">
        <v>106</v>
      </c>
      <c r="D3210" t="s">
        <v>2063</v>
      </c>
      <c r="E3210">
        <v>1</v>
      </c>
      <c r="F3210" t="s">
        <v>3891</v>
      </c>
      <c r="G3210">
        <v>2023</v>
      </c>
      <c r="H3210" t="s">
        <v>1417</v>
      </c>
      <c r="I3210" t="s">
        <v>37</v>
      </c>
      <c r="J3210">
        <v>-799</v>
      </c>
      <c r="K3210">
        <v>320</v>
      </c>
      <c r="L3210">
        <f t="shared" si="746"/>
        <v>-479</v>
      </c>
      <c r="M3210">
        <v>240</v>
      </c>
      <c r="N3210">
        <f t="shared" si="747"/>
        <v>-239</v>
      </c>
    </row>
    <row r="3211" spans="1:14" x14ac:dyDescent="0.2">
      <c r="A3211" t="s">
        <v>4009</v>
      </c>
      <c r="B3211" s="1" t="s">
        <v>4008</v>
      </c>
      <c r="C3211" t="s">
        <v>43</v>
      </c>
      <c r="D3211" t="s">
        <v>893</v>
      </c>
      <c r="E3211">
        <v>6</v>
      </c>
      <c r="F3211" t="s">
        <v>3891</v>
      </c>
      <c r="G3211">
        <v>2023</v>
      </c>
      <c r="H3211" t="s">
        <v>104</v>
      </c>
      <c r="I3211" t="s">
        <v>62</v>
      </c>
      <c r="J3211">
        <v>0</v>
      </c>
      <c r="K3211">
        <v>0</v>
      </c>
      <c r="L3211">
        <v>0</v>
      </c>
      <c r="M3211">
        <v>0</v>
      </c>
      <c r="N3211">
        <v>0</v>
      </c>
    </row>
    <row r="3212" spans="1:14" x14ac:dyDescent="0.2">
      <c r="A3212" t="s">
        <v>4011</v>
      </c>
      <c r="B3212" s="1" t="s">
        <v>4010</v>
      </c>
      <c r="C3212" t="s">
        <v>14</v>
      </c>
      <c r="D3212" t="s">
        <v>379</v>
      </c>
      <c r="E3212">
        <v>5</v>
      </c>
      <c r="F3212" t="s">
        <v>3891</v>
      </c>
      <c r="G3212">
        <v>2023</v>
      </c>
      <c r="H3212" t="s">
        <v>162</v>
      </c>
      <c r="I3212" t="s">
        <v>163</v>
      </c>
      <c r="J3212">
        <v>799</v>
      </c>
      <c r="K3212">
        <v>205</v>
      </c>
      <c r="L3212">
        <f t="shared" ref="L3212:L3241" si="748">J3212-K3212</f>
        <v>594</v>
      </c>
      <c r="M3212">
        <v>240</v>
      </c>
      <c r="N3212">
        <f t="shared" ref="N3212:N3241" si="749">L3212-M3212</f>
        <v>354</v>
      </c>
    </row>
    <row r="3213" spans="1:14" x14ac:dyDescent="0.2">
      <c r="A3213" t="s">
        <v>4012</v>
      </c>
      <c r="B3213" s="1" t="s">
        <v>4010</v>
      </c>
      <c r="C3213" t="s">
        <v>14</v>
      </c>
      <c r="D3213" t="s">
        <v>2063</v>
      </c>
      <c r="E3213">
        <v>5</v>
      </c>
      <c r="F3213" t="s">
        <v>3891</v>
      </c>
      <c r="G3213">
        <v>2023</v>
      </c>
      <c r="H3213" t="s">
        <v>2700</v>
      </c>
      <c r="I3213" t="s">
        <v>455</v>
      </c>
      <c r="J3213">
        <v>799</v>
      </c>
      <c r="K3213">
        <v>205</v>
      </c>
      <c r="L3213">
        <f t="shared" si="748"/>
        <v>594</v>
      </c>
      <c r="M3213">
        <v>240</v>
      </c>
      <c r="N3213">
        <f t="shared" si="749"/>
        <v>354</v>
      </c>
    </row>
    <row r="3214" spans="1:14" x14ac:dyDescent="0.2">
      <c r="A3214" t="s">
        <v>4013</v>
      </c>
      <c r="B3214" s="1" t="s">
        <v>3978</v>
      </c>
      <c r="C3214" t="s">
        <v>14</v>
      </c>
      <c r="D3214" t="s">
        <v>81</v>
      </c>
      <c r="E3214">
        <v>4</v>
      </c>
      <c r="F3214" t="s">
        <v>3891</v>
      </c>
      <c r="G3214">
        <v>2023</v>
      </c>
      <c r="H3214" t="s">
        <v>4014</v>
      </c>
      <c r="I3214" t="s">
        <v>23</v>
      </c>
      <c r="J3214">
        <v>849</v>
      </c>
      <c r="K3214">
        <v>250</v>
      </c>
      <c r="L3214">
        <f t="shared" si="748"/>
        <v>599</v>
      </c>
      <c r="M3214">
        <v>240</v>
      </c>
      <c r="N3214">
        <f t="shared" si="749"/>
        <v>359</v>
      </c>
    </row>
    <row r="3215" spans="1:14" x14ac:dyDescent="0.2">
      <c r="A3215" t="s">
        <v>4015</v>
      </c>
      <c r="B3215" s="1" t="s">
        <v>4010</v>
      </c>
      <c r="C3215" t="s">
        <v>14</v>
      </c>
      <c r="D3215" t="s">
        <v>2096</v>
      </c>
      <c r="E3215">
        <v>5</v>
      </c>
      <c r="F3215" t="s">
        <v>3891</v>
      </c>
      <c r="G3215">
        <v>2023</v>
      </c>
      <c r="H3215" t="s">
        <v>4016</v>
      </c>
      <c r="I3215" t="s">
        <v>144</v>
      </c>
      <c r="J3215">
        <v>799</v>
      </c>
      <c r="K3215">
        <v>205</v>
      </c>
      <c r="L3215">
        <f t="shared" si="748"/>
        <v>594</v>
      </c>
      <c r="M3215">
        <v>240</v>
      </c>
      <c r="N3215">
        <f t="shared" si="749"/>
        <v>354</v>
      </c>
    </row>
    <row r="3216" spans="1:14" x14ac:dyDescent="0.2">
      <c r="A3216" t="s">
        <v>4017</v>
      </c>
      <c r="B3216" s="1" t="s">
        <v>4010</v>
      </c>
      <c r="C3216" t="s">
        <v>14</v>
      </c>
      <c r="D3216" t="s">
        <v>1486</v>
      </c>
      <c r="E3216">
        <v>5</v>
      </c>
      <c r="F3216" t="s">
        <v>3891</v>
      </c>
      <c r="G3216">
        <v>2023</v>
      </c>
      <c r="H3216" t="s">
        <v>4018</v>
      </c>
      <c r="I3216" t="s">
        <v>85</v>
      </c>
      <c r="J3216">
        <v>999</v>
      </c>
      <c r="K3216">
        <v>325</v>
      </c>
      <c r="L3216">
        <f t="shared" si="748"/>
        <v>674</v>
      </c>
      <c r="M3216">
        <v>240</v>
      </c>
      <c r="N3216">
        <f t="shared" si="749"/>
        <v>434</v>
      </c>
    </row>
    <row r="3217" spans="1:14" x14ac:dyDescent="0.2">
      <c r="A3217" t="s">
        <v>4019</v>
      </c>
      <c r="B3217" s="1" t="s">
        <v>3978</v>
      </c>
      <c r="C3217" t="s">
        <v>14</v>
      </c>
      <c r="D3217" t="s">
        <v>448</v>
      </c>
      <c r="E3217">
        <v>4</v>
      </c>
      <c r="F3217" t="s">
        <v>3891</v>
      </c>
      <c r="G3217">
        <v>2023</v>
      </c>
      <c r="H3217" t="s">
        <v>84</v>
      </c>
      <c r="I3217" t="s">
        <v>85</v>
      </c>
      <c r="J3217">
        <v>899</v>
      </c>
      <c r="K3217">
        <v>295</v>
      </c>
      <c r="L3217">
        <f t="shared" si="748"/>
        <v>604</v>
      </c>
      <c r="M3217">
        <v>240</v>
      </c>
      <c r="N3217">
        <f t="shared" si="749"/>
        <v>364</v>
      </c>
    </row>
    <row r="3218" spans="1:14" x14ac:dyDescent="0.2">
      <c r="A3218" t="s">
        <v>4020</v>
      </c>
      <c r="B3218" s="1" t="s">
        <v>4010</v>
      </c>
      <c r="C3218" t="s">
        <v>14</v>
      </c>
      <c r="D3218" t="s">
        <v>431</v>
      </c>
      <c r="E3218">
        <v>5</v>
      </c>
      <c r="F3218" t="s">
        <v>3891</v>
      </c>
      <c r="G3218">
        <v>2023</v>
      </c>
      <c r="H3218" t="s">
        <v>4021</v>
      </c>
      <c r="I3218" t="s">
        <v>85</v>
      </c>
      <c r="J3218">
        <v>799</v>
      </c>
      <c r="K3218">
        <v>205</v>
      </c>
      <c r="L3218">
        <f t="shared" si="748"/>
        <v>594</v>
      </c>
      <c r="M3218">
        <v>240</v>
      </c>
      <c r="N3218">
        <f t="shared" si="749"/>
        <v>354</v>
      </c>
    </row>
    <row r="3219" spans="1:14" x14ac:dyDescent="0.2">
      <c r="A3219" t="s">
        <v>4022</v>
      </c>
      <c r="B3219" s="1" t="s">
        <v>4010</v>
      </c>
      <c r="C3219" t="s">
        <v>14</v>
      </c>
      <c r="D3219" t="s">
        <v>169</v>
      </c>
      <c r="E3219">
        <v>5</v>
      </c>
      <c r="F3219" t="s">
        <v>3891</v>
      </c>
      <c r="G3219">
        <v>2023</v>
      </c>
      <c r="H3219" t="s">
        <v>157</v>
      </c>
      <c r="I3219" t="s">
        <v>97</v>
      </c>
      <c r="J3219">
        <v>799</v>
      </c>
      <c r="K3219">
        <v>205</v>
      </c>
      <c r="L3219">
        <f t="shared" si="748"/>
        <v>594</v>
      </c>
      <c r="M3219">
        <v>240</v>
      </c>
      <c r="N3219">
        <f t="shared" si="749"/>
        <v>354</v>
      </c>
    </row>
    <row r="3220" spans="1:14" x14ac:dyDescent="0.2">
      <c r="A3220" t="s">
        <v>4023</v>
      </c>
      <c r="B3220" s="1" t="s">
        <v>4010</v>
      </c>
      <c r="C3220" t="s">
        <v>14</v>
      </c>
      <c r="D3220" t="s">
        <v>379</v>
      </c>
      <c r="E3220">
        <v>5</v>
      </c>
      <c r="F3220" t="s">
        <v>3891</v>
      </c>
      <c r="G3220">
        <v>2023</v>
      </c>
      <c r="H3220" t="s">
        <v>3763</v>
      </c>
      <c r="I3220" t="s">
        <v>135</v>
      </c>
      <c r="J3220">
        <v>799</v>
      </c>
      <c r="K3220">
        <v>205</v>
      </c>
      <c r="L3220">
        <f t="shared" si="748"/>
        <v>594</v>
      </c>
      <c r="M3220">
        <v>240</v>
      </c>
      <c r="N3220">
        <f t="shared" si="749"/>
        <v>354</v>
      </c>
    </row>
    <row r="3221" spans="1:14" x14ac:dyDescent="0.2">
      <c r="A3221" t="s">
        <v>4024</v>
      </c>
      <c r="B3221" s="1" t="s">
        <v>4010</v>
      </c>
      <c r="C3221" t="s">
        <v>14</v>
      </c>
      <c r="D3221" t="s">
        <v>901</v>
      </c>
      <c r="E3221">
        <v>5</v>
      </c>
      <c r="F3221" t="s">
        <v>3891</v>
      </c>
      <c r="G3221">
        <v>2023</v>
      </c>
      <c r="H3221" t="s">
        <v>22</v>
      </c>
      <c r="I3221" t="s">
        <v>23</v>
      </c>
      <c r="J3221">
        <v>799</v>
      </c>
      <c r="K3221">
        <v>205</v>
      </c>
      <c r="L3221">
        <f t="shared" si="748"/>
        <v>594</v>
      </c>
      <c r="M3221">
        <v>240</v>
      </c>
      <c r="N3221">
        <f t="shared" si="749"/>
        <v>354</v>
      </c>
    </row>
    <row r="3222" spans="1:14" x14ac:dyDescent="0.2">
      <c r="A3222" t="s">
        <v>4025</v>
      </c>
      <c r="B3222" s="1" t="s">
        <v>4010</v>
      </c>
      <c r="C3222" t="s">
        <v>14</v>
      </c>
      <c r="D3222" t="s">
        <v>133</v>
      </c>
      <c r="E3222">
        <v>5</v>
      </c>
      <c r="F3222" t="s">
        <v>3891</v>
      </c>
      <c r="G3222">
        <v>2023</v>
      </c>
      <c r="H3222" t="s">
        <v>4026</v>
      </c>
      <c r="I3222" t="s">
        <v>171</v>
      </c>
      <c r="J3222">
        <v>799</v>
      </c>
      <c r="K3222">
        <v>205</v>
      </c>
      <c r="L3222">
        <f t="shared" si="748"/>
        <v>594</v>
      </c>
      <c r="M3222">
        <v>240</v>
      </c>
      <c r="N3222">
        <f t="shared" si="749"/>
        <v>354</v>
      </c>
    </row>
    <row r="3223" spans="1:14" x14ac:dyDescent="0.2">
      <c r="A3223" t="s">
        <v>4027</v>
      </c>
      <c r="B3223" s="1" t="s">
        <v>4010</v>
      </c>
      <c r="C3223" t="s">
        <v>14</v>
      </c>
      <c r="D3223" t="s">
        <v>1486</v>
      </c>
      <c r="E3223">
        <v>5</v>
      </c>
      <c r="F3223" t="s">
        <v>3891</v>
      </c>
      <c r="G3223">
        <v>2023</v>
      </c>
      <c r="H3223" t="s">
        <v>4028</v>
      </c>
      <c r="I3223" t="s">
        <v>58</v>
      </c>
      <c r="J3223">
        <v>999</v>
      </c>
      <c r="K3223">
        <v>325</v>
      </c>
      <c r="L3223">
        <f t="shared" si="748"/>
        <v>674</v>
      </c>
      <c r="M3223">
        <v>240</v>
      </c>
      <c r="N3223">
        <f t="shared" si="749"/>
        <v>434</v>
      </c>
    </row>
    <row r="3224" spans="1:14" x14ac:dyDescent="0.2">
      <c r="A3224" t="s">
        <v>4029</v>
      </c>
      <c r="B3224" s="1" t="s">
        <v>4010</v>
      </c>
      <c r="C3224" t="s">
        <v>14</v>
      </c>
      <c r="D3224" t="s">
        <v>1105</v>
      </c>
      <c r="E3224">
        <v>5</v>
      </c>
      <c r="F3224" t="s">
        <v>3891</v>
      </c>
      <c r="G3224">
        <v>2023</v>
      </c>
      <c r="H3224" t="s">
        <v>4016</v>
      </c>
      <c r="I3224" t="s">
        <v>144</v>
      </c>
      <c r="J3224">
        <v>849</v>
      </c>
      <c r="K3224">
        <v>250</v>
      </c>
      <c r="L3224">
        <f t="shared" si="748"/>
        <v>599</v>
      </c>
      <c r="M3224">
        <v>240</v>
      </c>
      <c r="N3224">
        <f t="shared" si="749"/>
        <v>359</v>
      </c>
    </row>
    <row r="3225" spans="1:14" x14ac:dyDescent="0.2">
      <c r="A3225" t="s">
        <v>4030</v>
      </c>
      <c r="B3225" s="1" t="s">
        <v>3978</v>
      </c>
      <c r="C3225" t="s">
        <v>14</v>
      </c>
      <c r="D3225" t="s">
        <v>487</v>
      </c>
      <c r="E3225">
        <v>4</v>
      </c>
      <c r="F3225" t="s">
        <v>3891</v>
      </c>
      <c r="G3225">
        <v>2023</v>
      </c>
      <c r="H3225" t="s">
        <v>3861</v>
      </c>
      <c r="I3225" t="s">
        <v>135</v>
      </c>
      <c r="J3225">
        <v>799</v>
      </c>
      <c r="K3225">
        <v>205</v>
      </c>
      <c r="L3225">
        <f t="shared" si="748"/>
        <v>594</v>
      </c>
      <c r="M3225">
        <v>240</v>
      </c>
      <c r="N3225">
        <f t="shared" si="749"/>
        <v>354</v>
      </c>
    </row>
    <row r="3226" spans="1:14" x14ac:dyDescent="0.2">
      <c r="A3226" t="s">
        <v>4031</v>
      </c>
      <c r="B3226" s="1" t="s">
        <v>4010</v>
      </c>
      <c r="C3226" t="s">
        <v>14</v>
      </c>
      <c r="D3226" t="s">
        <v>504</v>
      </c>
      <c r="E3226">
        <v>5</v>
      </c>
      <c r="F3226" t="s">
        <v>3891</v>
      </c>
      <c r="G3226">
        <v>2023</v>
      </c>
      <c r="H3226" t="s">
        <v>249</v>
      </c>
      <c r="I3226" t="s">
        <v>250</v>
      </c>
      <c r="J3226">
        <v>899</v>
      </c>
      <c r="K3226">
        <v>295</v>
      </c>
      <c r="L3226">
        <f t="shared" si="748"/>
        <v>604</v>
      </c>
      <c r="M3226">
        <v>240</v>
      </c>
      <c r="N3226">
        <f t="shared" si="749"/>
        <v>364</v>
      </c>
    </row>
    <row r="3227" spans="1:14" x14ac:dyDescent="0.2">
      <c r="A3227" t="s">
        <v>4032</v>
      </c>
      <c r="B3227" s="1" t="s">
        <v>4010</v>
      </c>
      <c r="C3227" t="s">
        <v>14</v>
      </c>
      <c r="D3227" t="s">
        <v>504</v>
      </c>
      <c r="E3227">
        <v>5</v>
      </c>
      <c r="F3227" t="s">
        <v>3891</v>
      </c>
      <c r="G3227">
        <v>2023</v>
      </c>
      <c r="H3227" t="s">
        <v>2437</v>
      </c>
      <c r="I3227" t="s">
        <v>23</v>
      </c>
      <c r="J3227">
        <v>899</v>
      </c>
      <c r="K3227">
        <v>295</v>
      </c>
      <c r="L3227">
        <f t="shared" si="748"/>
        <v>604</v>
      </c>
      <c r="M3227">
        <v>240</v>
      </c>
      <c r="N3227">
        <f t="shared" si="749"/>
        <v>364</v>
      </c>
    </row>
    <row r="3228" spans="1:14" x14ac:dyDescent="0.2">
      <c r="A3228" t="s">
        <v>4033</v>
      </c>
      <c r="B3228" s="1" t="s">
        <v>4010</v>
      </c>
      <c r="C3228" t="s">
        <v>14</v>
      </c>
      <c r="D3228" t="s">
        <v>133</v>
      </c>
      <c r="E3228">
        <v>5</v>
      </c>
      <c r="F3228" t="s">
        <v>3891</v>
      </c>
      <c r="G3228">
        <v>2023</v>
      </c>
      <c r="H3228" t="s">
        <v>2162</v>
      </c>
      <c r="I3228" t="s">
        <v>2162</v>
      </c>
      <c r="J3228">
        <v>799</v>
      </c>
      <c r="K3228">
        <v>205</v>
      </c>
      <c r="L3228">
        <f t="shared" si="748"/>
        <v>594</v>
      </c>
      <c r="M3228">
        <v>240</v>
      </c>
      <c r="N3228">
        <f t="shared" si="749"/>
        <v>354</v>
      </c>
    </row>
    <row r="3229" spans="1:14" x14ac:dyDescent="0.2">
      <c r="A3229" t="s">
        <v>4034</v>
      </c>
      <c r="B3229" s="1" t="s">
        <v>3978</v>
      </c>
      <c r="C3229" t="s">
        <v>14</v>
      </c>
      <c r="D3229" t="s">
        <v>1228</v>
      </c>
      <c r="E3229">
        <v>4</v>
      </c>
      <c r="F3229" t="s">
        <v>3891</v>
      </c>
      <c r="G3229">
        <v>2023</v>
      </c>
      <c r="H3229" t="s">
        <v>4035</v>
      </c>
      <c r="I3229" t="s">
        <v>135</v>
      </c>
      <c r="J3229">
        <v>799</v>
      </c>
      <c r="K3229">
        <v>205</v>
      </c>
      <c r="L3229">
        <f t="shared" si="748"/>
        <v>594</v>
      </c>
      <c r="M3229">
        <v>240</v>
      </c>
      <c r="N3229">
        <f t="shared" si="749"/>
        <v>354</v>
      </c>
    </row>
    <row r="3230" spans="1:14" x14ac:dyDescent="0.2">
      <c r="A3230" t="s">
        <v>4036</v>
      </c>
      <c r="B3230" s="1" t="s">
        <v>4010</v>
      </c>
      <c r="C3230" t="s">
        <v>14</v>
      </c>
      <c r="D3230" t="s">
        <v>504</v>
      </c>
      <c r="E3230">
        <v>5</v>
      </c>
      <c r="F3230" t="s">
        <v>3891</v>
      </c>
      <c r="G3230">
        <v>2023</v>
      </c>
      <c r="H3230" t="s">
        <v>162</v>
      </c>
      <c r="I3230" t="s">
        <v>163</v>
      </c>
      <c r="J3230">
        <v>899</v>
      </c>
      <c r="K3230">
        <v>295</v>
      </c>
      <c r="L3230">
        <f t="shared" si="748"/>
        <v>604</v>
      </c>
      <c r="M3230">
        <v>240</v>
      </c>
      <c r="N3230">
        <f t="shared" si="749"/>
        <v>364</v>
      </c>
    </row>
    <row r="3231" spans="1:14" x14ac:dyDescent="0.2">
      <c r="A3231" t="s">
        <v>4037</v>
      </c>
      <c r="B3231" s="1" t="s">
        <v>4010</v>
      </c>
      <c r="C3231" t="s">
        <v>14</v>
      </c>
      <c r="D3231" t="s">
        <v>548</v>
      </c>
      <c r="E3231">
        <v>5</v>
      </c>
      <c r="F3231" t="s">
        <v>3891</v>
      </c>
      <c r="G3231">
        <v>2023</v>
      </c>
      <c r="H3231" t="s">
        <v>4038</v>
      </c>
      <c r="I3231" t="s">
        <v>212</v>
      </c>
      <c r="J3231">
        <v>899</v>
      </c>
      <c r="K3231">
        <v>295</v>
      </c>
      <c r="L3231">
        <f t="shared" si="748"/>
        <v>604</v>
      </c>
      <c r="M3231">
        <v>240</v>
      </c>
      <c r="N3231">
        <f t="shared" si="749"/>
        <v>364</v>
      </c>
    </row>
    <row r="3232" spans="1:14" x14ac:dyDescent="0.2">
      <c r="A3232" t="s">
        <v>4039</v>
      </c>
      <c r="B3232" s="1" t="s">
        <v>3978</v>
      </c>
      <c r="C3232" t="s">
        <v>14</v>
      </c>
      <c r="D3232" t="s">
        <v>452</v>
      </c>
      <c r="E3232">
        <v>4</v>
      </c>
      <c r="F3232" t="s">
        <v>3891</v>
      </c>
      <c r="G3232">
        <v>2023</v>
      </c>
      <c r="H3232" t="s">
        <v>4040</v>
      </c>
      <c r="I3232" t="s">
        <v>23</v>
      </c>
      <c r="J3232">
        <v>799</v>
      </c>
      <c r="K3232">
        <v>205</v>
      </c>
      <c r="L3232">
        <f t="shared" si="748"/>
        <v>594</v>
      </c>
      <c r="M3232">
        <v>240</v>
      </c>
      <c r="N3232">
        <f t="shared" si="749"/>
        <v>354</v>
      </c>
    </row>
    <row r="3233" spans="1:14" x14ac:dyDescent="0.2">
      <c r="A3233" t="s">
        <v>4041</v>
      </c>
      <c r="B3233" s="1" t="s">
        <v>3978</v>
      </c>
      <c r="C3233" t="s">
        <v>14</v>
      </c>
      <c r="D3233" t="s">
        <v>452</v>
      </c>
      <c r="E3233">
        <v>4</v>
      </c>
      <c r="F3233" t="s">
        <v>3891</v>
      </c>
      <c r="G3233">
        <v>2023</v>
      </c>
      <c r="H3233" t="s">
        <v>1827</v>
      </c>
      <c r="I3233" t="s">
        <v>122</v>
      </c>
      <c r="J3233">
        <v>799</v>
      </c>
      <c r="K3233">
        <v>205</v>
      </c>
      <c r="L3233">
        <f t="shared" si="748"/>
        <v>594</v>
      </c>
      <c r="M3233">
        <v>240</v>
      </c>
      <c r="N3233">
        <f t="shared" si="749"/>
        <v>354</v>
      </c>
    </row>
    <row r="3234" spans="1:14" x14ac:dyDescent="0.2">
      <c r="A3234" t="s">
        <v>4042</v>
      </c>
      <c r="B3234" s="1" t="s">
        <v>3978</v>
      </c>
      <c r="C3234" t="s">
        <v>14</v>
      </c>
      <c r="D3234" t="s">
        <v>1076</v>
      </c>
      <c r="E3234">
        <v>4</v>
      </c>
      <c r="F3234" t="s">
        <v>3891</v>
      </c>
      <c r="G3234">
        <v>2023</v>
      </c>
      <c r="H3234" t="s">
        <v>215</v>
      </c>
      <c r="I3234" t="s">
        <v>135</v>
      </c>
      <c r="J3234">
        <v>849</v>
      </c>
      <c r="K3234">
        <v>250</v>
      </c>
      <c r="L3234">
        <f t="shared" si="748"/>
        <v>599</v>
      </c>
      <c r="M3234">
        <v>240</v>
      </c>
      <c r="N3234">
        <f t="shared" si="749"/>
        <v>359</v>
      </c>
    </row>
    <row r="3235" spans="1:14" x14ac:dyDescent="0.2">
      <c r="A3235" t="s">
        <v>4043</v>
      </c>
      <c r="B3235" s="1" t="s">
        <v>3978</v>
      </c>
      <c r="C3235" t="s">
        <v>14</v>
      </c>
      <c r="D3235" t="s">
        <v>881</v>
      </c>
      <c r="E3235">
        <v>4</v>
      </c>
      <c r="F3235" t="s">
        <v>3891</v>
      </c>
      <c r="G3235">
        <v>2023</v>
      </c>
      <c r="H3235" t="s">
        <v>3097</v>
      </c>
      <c r="I3235" t="s">
        <v>180</v>
      </c>
      <c r="J3235">
        <v>799</v>
      </c>
      <c r="K3235">
        <v>205</v>
      </c>
      <c r="L3235">
        <f t="shared" si="748"/>
        <v>594</v>
      </c>
      <c r="M3235">
        <v>240</v>
      </c>
      <c r="N3235">
        <f t="shared" si="749"/>
        <v>354</v>
      </c>
    </row>
    <row r="3236" spans="1:14" x14ac:dyDescent="0.2">
      <c r="A3236" t="s">
        <v>4044</v>
      </c>
      <c r="B3236" s="1" t="s">
        <v>3978</v>
      </c>
      <c r="C3236" t="s">
        <v>14</v>
      </c>
      <c r="D3236" t="s">
        <v>1556</v>
      </c>
      <c r="E3236">
        <v>4</v>
      </c>
      <c r="F3236" t="s">
        <v>3891</v>
      </c>
      <c r="G3236">
        <v>2023</v>
      </c>
      <c r="H3236" t="s">
        <v>4045</v>
      </c>
      <c r="I3236" t="s">
        <v>85</v>
      </c>
      <c r="J3236">
        <v>899</v>
      </c>
      <c r="K3236">
        <v>295</v>
      </c>
      <c r="L3236">
        <f t="shared" si="748"/>
        <v>604</v>
      </c>
      <c r="M3236">
        <v>240</v>
      </c>
      <c r="N3236">
        <f t="shared" si="749"/>
        <v>364</v>
      </c>
    </row>
    <row r="3237" spans="1:14" x14ac:dyDescent="0.2">
      <c r="A3237" t="s">
        <v>4046</v>
      </c>
      <c r="B3237" s="1" t="s">
        <v>3978</v>
      </c>
      <c r="C3237" t="s">
        <v>14</v>
      </c>
      <c r="D3237" t="s">
        <v>379</v>
      </c>
      <c r="E3237">
        <v>4</v>
      </c>
      <c r="F3237" t="s">
        <v>3891</v>
      </c>
      <c r="G3237">
        <v>2023</v>
      </c>
      <c r="H3237" t="s">
        <v>215</v>
      </c>
      <c r="I3237" t="s">
        <v>135</v>
      </c>
      <c r="J3237">
        <v>799</v>
      </c>
      <c r="K3237">
        <v>205</v>
      </c>
      <c r="L3237">
        <f t="shared" si="748"/>
        <v>594</v>
      </c>
      <c r="M3237">
        <v>240</v>
      </c>
      <c r="N3237">
        <f t="shared" si="749"/>
        <v>354</v>
      </c>
    </row>
    <row r="3238" spans="1:14" x14ac:dyDescent="0.2">
      <c r="A3238" t="s">
        <v>4047</v>
      </c>
      <c r="B3238" s="1" t="s">
        <v>3978</v>
      </c>
      <c r="C3238" t="s">
        <v>14</v>
      </c>
      <c r="D3238" t="s">
        <v>452</v>
      </c>
      <c r="E3238">
        <v>4</v>
      </c>
      <c r="F3238" t="s">
        <v>3891</v>
      </c>
      <c r="G3238">
        <v>2023</v>
      </c>
      <c r="H3238" t="s">
        <v>488</v>
      </c>
      <c r="I3238" t="s">
        <v>455</v>
      </c>
      <c r="J3238">
        <v>799</v>
      </c>
      <c r="K3238">
        <v>205</v>
      </c>
      <c r="L3238">
        <f t="shared" si="748"/>
        <v>594</v>
      </c>
      <c r="M3238">
        <v>240</v>
      </c>
      <c r="N3238">
        <f t="shared" si="749"/>
        <v>354</v>
      </c>
    </row>
    <row r="3239" spans="1:14" x14ac:dyDescent="0.2">
      <c r="A3239" t="s">
        <v>4048</v>
      </c>
      <c r="B3239" s="1" t="s">
        <v>3978</v>
      </c>
      <c r="C3239" t="s">
        <v>14</v>
      </c>
      <c r="D3239" t="s">
        <v>1386</v>
      </c>
      <c r="E3239">
        <v>4</v>
      </c>
      <c r="F3239" t="s">
        <v>3891</v>
      </c>
      <c r="G3239">
        <v>2023</v>
      </c>
      <c r="H3239" t="s">
        <v>157</v>
      </c>
      <c r="I3239" t="s">
        <v>97</v>
      </c>
      <c r="J3239">
        <v>799</v>
      </c>
      <c r="K3239">
        <v>205</v>
      </c>
      <c r="L3239">
        <f t="shared" si="748"/>
        <v>594</v>
      </c>
      <c r="M3239">
        <v>240</v>
      </c>
      <c r="N3239">
        <f t="shared" si="749"/>
        <v>354</v>
      </c>
    </row>
    <row r="3240" spans="1:14" x14ac:dyDescent="0.2">
      <c r="A3240" t="s">
        <v>4049</v>
      </c>
      <c r="B3240" s="1" t="s">
        <v>3978</v>
      </c>
      <c r="C3240" t="s">
        <v>14</v>
      </c>
      <c r="D3240" t="s">
        <v>504</v>
      </c>
      <c r="E3240">
        <v>4</v>
      </c>
      <c r="F3240" t="s">
        <v>3891</v>
      </c>
      <c r="G3240">
        <v>2023</v>
      </c>
      <c r="H3240" t="s">
        <v>104</v>
      </c>
      <c r="I3240" t="s">
        <v>62</v>
      </c>
      <c r="J3240">
        <v>899</v>
      </c>
      <c r="K3240">
        <v>295</v>
      </c>
      <c r="L3240">
        <f t="shared" si="748"/>
        <v>604</v>
      </c>
      <c r="M3240">
        <v>240</v>
      </c>
      <c r="N3240">
        <f t="shared" si="749"/>
        <v>364</v>
      </c>
    </row>
    <row r="3241" spans="1:14" x14ac:dyDescent="0.2">
      <c r="A3241" t="s">
        <v>4050</v>
      </c>
      <c r="B3241" s="1" t="s">
        <v>3978</v>
      </c>
      <c r="C3241" t="s">
        <v>14</v>
      </c>
      <c r="D3241" t="s">
        <v>1556</v>
      </c>
      <c r="E3241">
        <v>4</v>
      </c>
      <c r="F3241" t="s">
        <v>3891</v>
      </c>
      <c r="G3241">
        <v>2023</v>
      </c>
      <c r="H3241" t="s">
        <v>4051</v>
      </c>
      <c r="I3241" t="s">
        <v>502</v>
      </c>
      <c r="J3241">
        <v>899</v>
      </c>
      <c r="K3241">
        <v>295</v>
      </c>
      <c r="L3241">
        <f t="shared" si="748"/>
        <v>604</v>
      </c>
      <c r="M3241">
        <v>240</v>
      </c>
      <c r="N3241">
        <f t="shared" si="749"/>
        <v>364</v>
      </c>
    </row>
    <row r="3242" spans="1:14" x14ac:dyDescent="0.2">
      <c r="A3242" t="s">
        <v>3894</v>
      </c>
      <c r="B3242" s="1" t="s">
        <v>3889</v>
      </c>
      <c r="C3242" t="s">
        <v>106</v>
      </c>
      <c r="D3242" t="s">
        <v>812</v>
      </c>
      <c r="E3242">
        <v>1</v>
      </c>
      <c r="F3242" t="s">
        <v>3891</v>
      </c>
      <c r="G3242">
        <v>2023</v>
      </c>
      <c r="H3242" t="s">
        <v>272</v>
      </c>
      <c r="I3242" t="s">
        <v>23</v>
      </c>
      <c r="J3242">
        <v>-999</v>
      </c>
      <c r="K3242">
        <v>395</v>
      </c>
      <c r="L3242">
        <f>J3242+K3242</f>
        <v>-604</v>
      </c>
      <c r="M3242">
        <v>240</v>
      </c>
      <c r="N3242">
        <f>L3242+M3242</f>
        <v>-364</v>
      </c>
    </row>
    <row r="3243" spans="1:14" x14ac:dyDescent="0.2">
      <c r="A3243" t="s">
        <v>4052</v>
      </c>
      <c r="B3243" s="1" t="s">
        <v>4008</v>
      </c>
      <c r="C3243" t="s">
        <v>43</v>
      </c>
      <c r="D3243" t="s">
        <v>284</v>
      </c>
      <c r="E3243">
        <v>6</v>
      </c>
      <c r="F3243" t="s">
        <v>3891</v>
      </c>
      <c r="G3243">
        <v>2023</v>
      </c>
      <c r="H3243" t="s">
        <v>4053</v>
      </c>
      <c r="I3243" t="s">
        <v>85</v>
      </c>
      <c r="J3243">
        <v>0</v>
      </c>
      <c r="K3243">
        <v>0</v>
      </c>
      <c r="L3243">
        <v>0</v>
      </c>
      <c r="M3243">
        <v>0</v>
      </c>
      <c r="N3243">
        <v>0</v>
      </c>
    </row>
    <row r="3244" spans="1:14" x14ac:dyDescent="0.2">
      <c r="A3244" t="s">
        <v>4055</v>
      </c>
      <c r="B3244" s="1" t="s">
        <v>4054</v>
      </c>
      <c r="C3244" t="s">
        <v>43</v>
      </c>
      <c r="D3244" t="s">
        <v>1303</v>
      </c>
      <c r="E3244">
        <v>7</v>
      </c>
      <c r="F3244" t="s">
        <v>3891</v>
      </c>
      <c r="G3244">
        <v>2023</v>
      </c>
      <c r="H3244" t="s">
        <v>4056</v>
      </c>
      <c r="I3244" t="s">
        <v>85</v>
      </c>
      <c r="J3244">
        <v>0</v>
      </c>
      <c r="K3244">
        <v>0</v>
      </c>
      <c r="L3244">
        <v>0</v>
      </c>
      <c r="M3244">
        <v>0</v>
      </c>
      <c r="N3244">
        <v>0</v>
      </c>
    </row>
    <row r="3245" spans="1:14" x14ac:dyDescent="0.2">
      <c r="A3245" t="s">
        <v>4057</v>
      </c>
      <c r="B3245" s="1" t="s">
        <v>4008</v>
      </c>
      <c r="C3245" t="s">
        <v>43</v>
      </c>
      <c r="D3245" t="s">
        <v>81</v>
      </c>
      <c r="E3245">
        <v>6</v>
      </c>
      <c r="F3245" t="s">
        <v>3891</v>
      </c>
      <c r="G3245">
        <v>2023</v>
      </c>
      <c r="H3245" t="s">
        <v>4058</v>
      </c>
      <c r="I3245" t="s">
        <v>212</v>
      </c>
      <c r="J3245">
        <v>0</v>
      </c>
      <c r="K3245">
        <v>0</v>
      </c>
      <c r="L3245">
        <v>0</v>
      </c>
      <c r="M3245">
        <v>0</v>
      </c>
      <c r="N3245">
        <v>0</v>
      </c>
    </row>
    <row r="3246" spans="1:14" x14ac:dyDescent="0.2">
      <c r="A3246" t="s">
        <v>3921</v>
      </c>
      <c r="B3246" s="1" t="s">
        <v>3889</v>
      </c>
      <c r="C3246" t="s">
        <v>106</v>
      </c>
      <c r="D3246" t="s">
        <v>895</v>
      </c>
      <c r="E3246">
        <v>1</v>
      </c>
      <c r="F3246" t="s">
        <v>3891</v>
      </c>
      <c r="G3246">
        <v>2023</v>
      </c>
      <c r="H3246" t="s">
        <v>185</v>
      </c>
      <c r="I3246" t="s">
        <v>62</v>
      </c>
      <c r="J3246">
        <v>-849</v>
      </c>
      <c r="K3246">
        <v>345</v>
      </c>
      <c r="L3246">
        <f>J3246+K3246</f>
        <v>-504</v>
      </c>
      <c r="M3246">
        <v>240</v>
      </c>
      <c r="N3246">
        <f>L3246+M3246</f>
        <v>-264</v>
      </c>
    </row>
    <row r="3247" spans="1:14" x14ac:dyDescent="0.2">
      <c r="A3247" t="s">
        <v>4059</v>
      </c>
      <c r="B3247" s="1" t="s">
        <v>4008</v>
      </c>
      <c r="C3247" t="s">
        <v>20</v>
      </c>
      <c r="D3247" t="s">
        <v>1076</v>
      </c>
      <c r="E3247">
        <v>6</v>
      </c>
      <c r="F3247" t="s">
        <v>3891</v>
      </c>
      <c r="G3247">
        <v>2023</v>
      </c>
      <c r="H3247" t="s">
        <v>3924</v>
      </c>
      <c r="I3247" t="s">
        <v>160</v>
      </c>
      <c r="J3247">
        <v>0</v>
      </c>
      <c r="K3247">
        <v>0</v>
      </c>
      <c r="L3247">
        <v>0</v>
      </c>
      <c r="M3247">
        <v>0</v>
      </c>
      <c r="N3247">
        <v>0</v>
      </c>
    </row>
    <row r="3248" spans="1:14" x14ac:dyDescent="0.2">
      <c r="A3248" t="s">
        <v>4060</v>
      </c>
      <c r="B3248" s="1" t="s">
        <v>4008</v>
      </c>
      <c r="C3248" t="s">
        <v>14</v>
      </c>
      <c r="D3248" t="s">
        <v>3827</v>
      </c>
      <c r="E3248">
        <v>6</v>
      </c>
      <c r="F3248" t="s">
        <v>3891</v>
      </c>
      <c r="G3248">
        <v>2023</v>
      </c>
      <c r="H3248" t="s">
        <v>157</v>
      </c>
      <c r="I3248" t="s">
        <v>97</v>
      </c>
      <c r="J3248">
        <v>799</v>
      </c>
      <c r="K3248">
        <v>205</v>
      </c>
      <c r="L3248">
        <f t="shared" ref="L3248:L3257" si="750">J3248-K3248</f>
        <v>594</v>
      </c>
      <c r="M3248">
        <v>240</v>
      </c>
      <c r="N3248">
        <f t="shared" ref="N3248:N3257" si="751">L3248-M3248</f>
        <v>354</v>
      </c>
    </row>
    <row r="3249" spans="1:14" x14ac:dyDescent="0.2">
      <c r="A3249" t="s">
        <v>4052</v>
      </c>
      <c r="B3249" s="1" t="s">
        <v>4008</v>
      </c>
      <c r="C3249" t="s">
        <v>14</v>
      </c>
      <c r="D3249" t="s">
        <v>284</v>
      </c>
      <c r="E3249">
        <v>6</v>
      </c>
      <c r="F3249" t="s">
        <v>3891</v>
      </c>
      <c r="G3249">
        <v>2023</v>
      </c>
      <c r="H3249" t="s">
        <v>4053</v>
      </c>
      <c r="I3249" t="s">
        <v>85</v>
      </c>
      <c r="J3249">
        <v>899</v>
      </c>
      <c r="K3249">
        <v>295</v>
      </c>
      <c r="L3249">
        <f t="shared" si="750"/>
        <v>604</v>
      </c>
      <c r="M3249">
        <v>240</v>
      </c>
      <c r="N3249">
        <f t="shared" si="751"/>
        <v>364</v>
      </c>
    </row>
    <row r="3250" spans="1:14" x14ac:dyDescent="0.2">
      <c r="A3250" t="s">
        <v>4061</v>
      </c>
      <c r="B3250" s="1" t="s">
        <v>4008</v>
      </c>
      <c r="C3250" t="s">
        <v>14</v>
      </c>
      <c r="D3250" t="s">
        <v>452</v>
      </c>
      <c r="E3250">
        <v>6</v>
      </c>
      <c r="F3250" t="s">
        <v>3891</v>
      </c>
      <c r="G3250">
        <v>2023</v>
      </c>
      <c r="H3250" t="s">
        <v>1245</v>
      </c>
      <c r="I3250" t="s">
        <v>502</v>
      </c>
      <c r="J3250">
        <v>799</v>
      </c>
      <c r="K3250">
        <v>205</v>
      </c>
      <c r="L3250">
        <f t="shared" si="750"/>
        <v>594</v>
      </c>
      <c r="M3250">
        <v>240</v>
      </c>
      <c r="N3250">
        <f t="shared" si="751"/>
        <v>354</v>
      </c>
    </row>
    <row r="3251" spans="1:14" x14ac:dyDescent="0.2">
      <c r="A3251" t="s">
        <v>4062</v>
      </c>
      <c r="B3251" s="1" t="s">
        <v>4008</v>
      </c>
      <c r="C3251" t="s">
        <v>14</v>
      </c>
      <c r="D3251" t="s">
        <v>1076</v>
      </c>
      <c r="E3251">
        <v>6</v>
      </c>
      <c r="F3251" t="s">
        <v>3891</v>
      </c>
      <c r="G3251">
        <v>2023</v>
      </c>
      <c r="H3251" t="s">
        <v>104</v>
      </c>
      <c r="I3251" t="s">
        <v>62</v>
      </c>
      <c r="J3251">
        <v>849</v>
      </c>
      <c r="K3251">
        <v>250</v>
      </c>
      <c r="L3251">
        <f t="shared" si="750"/>
        <v>599</v>
      </c>
      <c r="M3251">
        <v>240</v>
      </c>
      <c r="N3251">
        <f t="shared" si="751"/>
        <v>359</v>
      </c>
    </row>
    <row r="3252" spans="1:14" x14ac:dyDescent="0.2">
      <c r="A3252" t="s">
        <v>4063</v>
      </c>
      <c r="B3252" s="1" t="s">
        <v>4008</v>
      </c>
      <c r="C3252" t="s">
        <v>14</v>
      </c>
      <c r="D3252" t="s">
        <v>2429</v>
      </c>
      <c r="E3252">
        <v>6</v>
      </c>
      <c r="F3252" t="s">
        <v>3891</v>
      </c>
      <c r="G3252">
        <v>2023</v>
      </c>
      <c r="H3252" t="s">
        <v>157</v>
      </c>
      <c r="I3252" t="s">
        <v>97</v>
      </c>
      <c r="J3252">
        <v>799</v>
      </c>
      <c r="K3252">
        <v>205</v>
      </c>
      <c r="L3252">
        <f t="shared" si="750"/>
        <v>594</v>
      </c>
      <c r="M3252">
        <v>240</v>
      </c>
      <c r="N3252">
        <f t="shared" si="751"/>
        <v>354</v>
      </c>
    </row>
    <row r="3253" spans="1:14" x14ac:dyDescent="0.2">
      <c r="A3253" t="s">
        <v>4064</v>
      </c>
      <c r="B3253" s="1" t="s">
        <v>4008</v>
      </c>
      <c r="C3253" t="s">
        <v>14</v>
      </c>
      <c r="D3253" t="s">
        <v>1416</v>
      </c>
      <c r="E3253">
        <v>6</v>
      </c>
      <c r="F3253" t="s">
        <v>3891</v>
      </c>
      <c r="G3253">
        <v>2023</v>
      </c>
      <c r="H3253" t="s">
        <v>49</v>
      </c>
      <c r="I3253" t="s">
        <v>32</v>
      </c>
      <c r="J3253">
        <v>799</v>
      </c>
      <c r="K3253">
        <v>205</v>
      </c>
      <c r="L3253">
        <f t="shared" si="750"/>
        <v>594</v>
      </c>
      <c r="M3253">
        <v>240</v>
      </c>
      <c r="N3253">
        <f t="shared" si="751"/>
        <v>354</v>
      </c>
    </row>
    <row r="3254" spans="1:14" x14ac:dyDescent="0.2">
      <c r="A3254" t="s">
        <v>4065</v>
      </c>
      <c r="B3254" s="1" t="s">
        <v>4008</v>
      </c>
      <c r="C3254" t="s">
        <v>14</v>
      </c>
      <c r="D3254" t="s">
        <v>1937</v>
      </c>
      <c r="E3254">
        <v>6</v>
      </c>
      <c r="F3254" t="s">
        <v>3891</v>
      </c>
      <c r="G3254">
        <v>2023</v>
      </c>
      <c r="H3254" t="s">
        <v>84</v>
      </c>
      <c r="I3254" t="s">
        <v>85</v>
      </c>
      <c r="J3254">
        <v>799</v>
      </c>
      <c r="K3254">
        <v>205</v>
      </c>
      <c r="L3254">
        <f t="shared" si="750"/>
        <v>594</v>
      </c>
      <c r="M3254">
        <v>240</v>
      </c>
      <c r="N3254">
        <f t="shared" si="751"/>
        <v>354</v>
      </c>
    </row>
    <row r="3255" spans="1:14" x14ac:dyDescent="0.2">
      <c r="A3255" t="s">
        <v>4066</v>
      </c>
      <c r="B3255" s="1" t="s">
        <v>4008</v>
      </c>
      <c r="C3255" t="s">
        <v>14</v>
      </c>
      <c r="D3255" t="s">
        <v>1105</v>
      </c>
      <c r="E3255">
        <v>6</v>
      </c>
      <c r="F3255" t="s">
        <v>3891</v>
      </c>
      <c r="G3255">
        <v>2023</v>
      </c>
      <c r="H3255" t="s">
        <v>246</v>
      </c>
      <c r="I3255" t="s">
        <v>58</v>
      </c>
      <c r="J3255">
        <v>849</v>
      </c>
      <c r="K3255">
        <v>250</v>
      </c>
      <c r="L3255">
        <f t="shared" si="750"/>
        <v>599</v>
      </c>
      <c r="M3255">
        <v>240</v>
      </c>
      <c r="N3255">
        <f t="shared" si="751"/>
        <v>359</v>
      </c>
    </row>
    <row r="3256" spans="1:14" x14ac:dyDescent="0.2">
      <c r="A3256" t="s">
        <v>4067</v>
      </c>
      <c r="B3256" s="1" t="s">
        <v>4008</v>
      </c>
      <c r="C3256" t="s">
        <v>14</v>
      </c>
      <c r="D3256" t="s">
        <v>881</v>
      </c>
      <c r="E3256">
        <v>6</v>
      </c>
      <c r="F3256" t="s">
        <v>3891</v>
      </c>
      <c r="G3256">
        <v>2023</v>
      </c>
      <c r="H3256" t="s">
        <v>104</v>
      </c>
      <c r="I3256" t="s">
        <v>62</v>
      </c>
      <c r="J3256">
        <v>799</v>
      </c>
      <c r="K3256">
        <v>205</v>
      </c>
      <c r="L3256">
        <f t="shared" si="750"/>
        <v>594</v>
      </c>
      <c r="M3256">
        <v>240</v>
      </c>
      <c r="N3256">
        <f t="shared" si="751"/>
        <v>354</v>
      </c>
    </row>
    <row r="3257" spans="1:14" x14ac:dyDescent="0.2">
      <c r="A3257" t="s">
        <v>4068</v>
      </c>
      <c r="B3257" s="1" t="s">
        <v>4008</v>
      </c>
      <c r="C3257" t="s">
        <v>14</v>
      </c>
      <c r="D3257" t="s">
        <v>1354</v>
      </c>
      <c r="E3257">
        <v>6</v>
      </c>
      <c r="F3257" t="s">
        <v>3891</v>
      </c>
      <c r="G3257">
        <v>2023</v>
      </c>
      <c r="H3257" t="s">
        <v>3888</v>
      </c>
      <c r="I3257" t="s">
        <v>62</v>
      </c>
      <c r="J3257">
        <v>799</v>
      </c>
      <c r="K3257">
        <v>205</v>
      </c>
      <c r="L3257">
        <f t="shared" si="750"/>
        <v>594</v>
      </c>
      <c r="M3257">
        <v>240</v>
      </c>
      <c r="N3257">
        <f t="shared" si="751"/>
        <v>354</v>
      </c>
    </row>
    <row r="3258" spans="1:14" x14ac:dyDescent="0.2">
      <c r="A3258" t="s">
        <v>4069</v>
      </c>
      <c r="B3258" s="1" t="s">
        <v>4008</v>
      </c>
      <c r="C3258" t="s">
        <v>20</v>
      </c>
      <c r="D3258" t="s">
        <v>1076</v>
      </c>
      <c r="E3258">
        <v>6</v>
      </c>
      <c r="F3258" t="s">
        <v>3891</v>
      </c>
      <c r="G3258">
        <v>2023</v>
      </c>
      <c r="H3258" t="s">
        <v>3786</v>
      </c>
      <c r="I3258" t="s">
        <v>85</v>
      </c>
      <c r="J3258">
        <v>0</v>
      </c>
      <c r="K3258">
        <v>0</v>
      </c>
      <c r="L3258">
        <v>0</v>
      </c>
      <c r="M3258">
        <v>0</v>
      </c>
      <c r="N3258">
        <v>0</v>
      </c>
    </row>
    <row r="3259" spans="1:14" x14ac:dyDescent="0.2">
      <c r="A3259" t="s">
        <v>4070</v>
      </c>
      <c r="B3259" s="1" t="s">
        <v>4008</v>
      </c>
      <c r="C3259" t="s">
        <v>14</v>
      </c>
      <c r="D3259" t="s">
        <v>923</v>
      </c>
      <c r="E3259">
        <v>6</v>
      </c>
      <c r="F3259" t="s">
        <v>3891</v>
      </c>
      <c r="G3259">
        <v>2023</v>
      </c>
      <c r="H3259" t="s">
        <v>246</v>
      </c>
      <c r="I3259" t="s">
        <v>58</v>
      </c>
      <c r="J3259">
        <v>849</v>
      </c>
      <c r="K3259">
        <v>250</v>
      </c>
      <c r="L3259">
        <f t="shared" ref="L3259:L3264" si="752">J3259-K3259</f>
        <v>599</v>
      </c>
      <c r="M3259">
        <v>240</v>
      </c>
      <c r="N3259">
        <f t="shared" ref="N3259:N3264" si="753">L3259-M3259</f>
        <v>359</v>
      </c>
    </row>
    <row r="3260" spans="1:14" x14ac:dyDescent="0.2">
      <c r="A3260" t="s">
        <v>4071</v>
      </c>
      <c r="B3260" s="1" t="s">
        <v>4008</v>
      </c>
      <c r="C3260" t="s">
        <v>14</v>
      </c>
      <c r="D3260" t="s">
        <v>504</v>
      </c>
      <c r="E3260">
        <v>6</v>
      </c>
      <c r="F3260" t="s">
        <v>3891</v>
      </c>
      <c r="G3260">
        <v>2023</v>
      </c>
      <c r="H3260" t="s">
        <v>4072</v>
      </c>
      <c r="I3260" t="s">
        <v>502</v>
      </c>
      <c r="J3260">
        <v>899</v>
      </c>
      <c r="K3260">
        <v>295</v>
      </c>
      <c r="L3260">
        <f t="shared" si="752"/>
        <v>604</v>
      </c>
      <c r="M3260">
        <v>240</v>
      </c>
      <c r="N3260">
        <f t="shared" si="753"/>
        <v>364</v>
      </c>
    </row>
    <row r="3261" spans="1:14" x14ac:dyDescent="0.2">
      <c r="A3261" t="s">
        <v>4073</v>
      </c>
      <c r="B3261" s="1" t="s">
        <v>4010</v>
      </c>
      <c r="C3261" t="s">
        <v>14</v>
      </c>
      <c r="D3261" t="s">
        <v>133</v>
      </c>
      <c r="E3261">
        <v>5</v>
      </c>
      <c r="F3261" t="s">
        <v>3891</v>
      </c>
      <c r="G3261">
        <v>2023</v>
      </c>
      <c r="H3261" t="s">
        <v>4074</v>
      </c>
      <c r="I3261" t="s">
        <v>122</v>
      </c>
      <c r="J3261">
        <v>799</v>
      </c>
      <c r="K3261">
        <v>205</v>
      </c>
      <c r="L3261">
        <f t="shared" si="752"/>
        <v>594</v>
      </c>
      <c r="M3261">
        <v>240</v>
      </c>
      <c r="N3261">
        <f t="shared" si="753"/>
        <v>354</v>
      </c>
    </row>
    <row r="3262" spans="1:14" x14ac:dyDescent="0.2">
      <c r="A3262" t="s">
        <v>4075</v>
      </c>
      <c r="B3262" s="1" t="s">
        <v>4008</v>
      </c>
      <c r="C3262" t="s">
        <v>14</v>
      </c>
      <c r="D3262" t="s">
        <v>242</v>
      </c>
      <c r="E3262">
        <v>6</v>
      </c>
      <c r="F3262" t="s">
        <v>3891</v>
      </c>
      <c r="G3262">
        <v>2023</v>
      </c>
      <c r="H3262" t="s">
        <v>170</v>
      </c>
      <c r="I3262" t="s">
        <v>171</v>
      </c>
      <c r="J3262">
        <v>899</v>
      </c>
      <c r="K3262">
        <v>295</v>
      </c>
      <c r="L3262">
        <f t="shared" si="752"/>
        <v>604</v>
      </c>
      <c r="M3262">
        <v>240</v>
      </c>
      <c r="N3262">
        <f t="shared" si="753"/>
        <v>364</v>
      </c>
    </row>
    <row r="3263" spans="1:14" x14ac:dyDescent="0.2">
      <c r="A3263" t="s">
        <v>4076</v>
      </c>
      <c r="B3263" s="1" t="s">
        <v>4008</v>
      </c>
      <c r="C3263" t="s">
        <v>14</v>
      </c>
      <c r="D3263" t="s">
        <v>504</v>
      </c>
      <c r="E3263">
        <v>6</v>
      </c>
      <c r="F3263" t="s">
        <v>3891</v>
      </c>
      <c r="G3263">
        <v>2023</v>
      </c>
      <c r="H3263" t="s">
        <v>223</v>
      </c>
      <c r="I3263" t="s">
        <v>32</v>
      </c>
      <c r="J3263">
        <v>899</v>
      </c>
      <c r="K3263">
        <v>295</v>
      </c>
      <c r="L3263">
        <f t="shared" si="752"/>
        <v>604</v>
      </c>
      <c r="M3263">
        <v>240</v>
      </c>
      <c r="N3263">
        <f t="shared" si="753"/>
        <v>364</v>
      </c>
    </row>
    <row r="3264" spans="1:14" x14ac:dyDescent="0.2">
      <c r="A3264" t="s">
        <v>4077</v>
      </c>
      <c r="B3264" s="1" t="s">
        <v>4008</v>
      </c>
      <c r="C3264" t="s">
        <v>14</v>
      </c>
      <c r="D3264" t="s">
        <v>2750</v>
      </c>
      <c r="E3264">
        <v>6</v>
      </c>
      <c r="F3264" t="s">
        <v>3891</v>
      </c>
      <c r="G3264">
        <v>2023</v>
      </c>
      <c r="H3264" t="s">
        <v>413</v>
      </c>
      <c r="I3264" t="s">
        <v>122</v>
      </c>
      <c r="J3264">
        <v>849</v>
      </c>
      <c r="K3264">
        <v>250</v>
      </c>
      <c r="L3264">
        <f t="shared" si="752"/>
        <v>599</v>
      </c>
      <c r="M3264">
        <v>240</v>
      </c>
      <c r="N3264">
        <f t="shared" si="753"/>
        <v>359</v>
      </c>
    </row>
    <row r="3265" spans="1:14" x14ac:dyDescent="0.2">
      <c r="A3265" t="s">
        <v>4078</v>
      </c>
      <c r="B3265" s="1" t="s">
        <v>4008</v>
      </c>
      <c r="C3265" t="s">
        <v>20</v>
      </c>
      <c r="D3265" t="s">
        <v>1560</v>
      </c>
      <c r="E3265">
        <v>6</v>
      </c>
      <c r="F3265" t="s">
        <v>3891</v>
      </c>
      <c r="G3265">
        <v>2023</v>
      </c>
      <c r="H3265" t="s">
        <v>170</v>
      </c>
      <c r="I3265" t="s">
        <v>171</v>
      </c>
      <c r="J3265">
        <v>0</v>
      </c>
      <c r="K3265">
        <v>0</v>
      </c>
      <c r="L3265">
        <v>0</v>
      </c>
      <c r="M3265">
        <v>0</v>
      </c>
      <c r="N3265">
        <v>0</v>
      </c>
    </row>
    <row r="3266" spans="1:14" x14ac:dyDescent="0.2">
      <c r="A3266" t="s">
        <v>4079</v>
      </c>
      <c r="B3266" s="1" t="s">
        <v>4008</v>
      </c>
      <c r="C3266" t="s">
        <v>14</v>
      </c>
      <c r="D3266" t="s">
        <v>573</v>
      </c>
      <c r="E3266">
        <v>6</v>
      </c>
      <c r="F3266" t="s">
        <v>3891</v>
      </c>
      <c r="G3266">
        <v>2023</v>
      </c>
      <c r="H3266" t="s">
        <v>246</v>
      </c>
      <c r="I3266" t="s">
        <v>58</v>
      </c>
      <c r="J3266">
        <v>899</v>
      </c>
      <c r="K3266">
        <v>295</v>
      </c>
      <c r="L3266">
        <f t="shared" ref="L3266:L3279" si="754">J3266-K3266</f>
        <v>604</v>
      </c>
      <c r="M3266">
        <v>240</v>
      </c>
      <c r="N3266">
        <f t="shared" ref="N3266:N3279" si="755">L3266-M3266</f>
        <v>364</v>
      </c>
    </row>
    <row r="3267" spans="1:14" x14ac:dyDescent="0.2">
      <c r="A3267" t="s">
        <v>4080</v>
      </c>
      <c r="B3267" s="1" t="s">
        <v>4008</v>
      </c>
      <c r="C3267" t="s">
        <v>14</v>
      </c>
      <c r="D3267" t="s">
        <v>2403</v>
      </c>
      <c r="E3267">
        <v>6</v>
      </c>
      <c r="F3267" t="s">
        <v>3891</v>
      </c>
      <c r="G3267">
        <v>2023</v>
      </c>
      <c r="H3267" t="s">
        <v>91</v>
      </c>
      <c r="I3267" t="s">
        <v>23</v>
      </c>
      <c r="J3267">
        <v>799</v>
      </c>
      <c r="K3267">
        <v>205</v>
      </c>
      <c r="L3267">
        <f t="shared" si="754"/>
        <v>594</v>
      </c>
      <c r="M3267">
        <v>240</v>
      </c>
      <c r="N3267">
        <f t="shared" si="755"/>
        <v>354</v>
      </c>
    </row>
    <row r="3268" spans="1:14" x14ac:dyDescent="0.2">
      <c r="A3268" t="s">
        <v>4081</v>
      </c>
      <c r="B3268" s="1" t="s">
        <v>4008</v>
      </c>
      <c r="C3268" t="s">
        <v>14</v>
      </c>
      <c r="D3268" t="s">
        <v>975</v>
      </c>
      <c r="E3268">
        <v>6</v>
      </c>
      <c r="F3268" t="s">
        <v>3891</v>
      </c>
      <c r="G3268">
        <v>2023</v>
      </c>
      <c r="H3268" t="s">
        <v>4082</v>
      </c>
      <c r="I3268" t="s">
        <v>122</v>
      </c>
      <c r="J3268">
        <v>799</v>
      </c>
      <c r="K3268">
        <v>205</v>
      </c>
      <c r="L3268">
        <f t="shared" si="754"/>
        <v>594</v>
      </c>
      <c r="M3268">
        <v>240</v>
      </c>
      <c r="N3268">
        <f t="shared" si="755"/>
        <v>354</v>
      </c>
    </row>
    <row r="3269" spans="1:14" x14ac:dyDescent="0.2">
      <c r="A3269" t="s">
        <v>4083</v>
      </c>
      <c r="B3269" s="1" t="s">
        <v>4008</v>
      </c>
      <c r="C3269" t="s">
        <v>14</v>
      </c>
      <c r="D3269" t="s">
        <v>379</v>
      </c>
      <c r="E3269">
        <v>6</v>
      </c>
      <c r="F3269" t="s">
        <v>3891</v>
      </c>
      <c r="G3269">
        <v>2023</v>
      </c>
      <c r="H3269" t="s">
        <v>1282</v>
      </c>
      <c r="I3269" t="s">
        <v>502</v>
      </c>
      <c r="J3269">
        <v>799</v>
      </c>
      <c r="K3269">
        <v>205</v>
      </c>
      <c r="L3269">
        <f t="shared" si="754"/>
        <v>594</v>
      </c>
      <c r="M3269">
        <v>240</v>
      </c>
      <c r="N3269">
        <f t="shared" si="755"/>
        <v>354</v>
      </c>
    </row>
    <row r="3270" spans="1:14" x14ac:dyDescent="0.2">
      <c r="A3270" t="s">
        <v>4084</v>
      </c>
      <c r="B3270" s="1" t="s">
        <v>4008</v>
      </c>
      <c r="C3270" t="s">
        <v>14</v>
      </c>
      <c r="D3270" t="s">
        <v>284</v>
      </c>
      <c r="E3270">
        <v>6</v>
      </c>
      <c r="F3270" t="s">
        <v>3891</v>
      </c>
      <c r="G3270">
        <v>2023</v>
      </c>
      <c r="H3270" t="s">
        <v>170</v>
      </c>
      <c r="I3270" t="s">
        <v>171</v>
      </c>
      <c r="J3270">
        <v>899</v>
      </c>
      <c r="K3270">
        <v>295</v>
      </c>
      <c r="L3270">
        <f t="shared" si="754"/>
        <v>604</v>
      </c>
      <c r="M3270">
        <v>240</v>
      </c>
      <c r="N3270">
        <f t="shared" si="755"/>
        <v>364</v>
      </c>
    </row>
    <row r="3271" spans="1:14" x14ac:dyDescent="0.2">
      <c r="A3271" t="s">
        <v>4085</v>
      </c>
      <c r="B3271" s="1" t="s">
        <v>4010</v>
      </c>
      <c r="C3271" t="s">
        <v>14</v>
      </c>
      <c r="D3271" t="s">
        <v>133</v>
      </c>
      <c r="E3271">
        <v>5</v>
      </c>
      <c r="F3271" t="s">
        <v>3891</v>
      </c>
      <c r="G3271">
        <v>2023</v>
      </c>
      <c r="H3271" t="s">
        <v>4086</v>
      </c>
      <c r="I3271" t="s">
        <v>62</v>
      </c>
      <c r="J3271">
        <v>799</v>
      </c>
      <c r="K3271">
        <v>205</v>
      </c>
      <c r="L3271">
        <f t="shared" si="754"/>
        <v>594</v>
      </c>
      <c r="M3271">
        <v>240</v>
      </c>
      <c r="N3271">
        <f t="shared" si="755"/>
        <v>354</v>
      </c>
    </row>
    <row r="3272" spans="1:14" x14ac:dyDescent="0.2">
      <c r="A3272" t="s">
        <v>4087</v>
      </c>
      <c r="B3272" s="1" t="s">
        <v>4008</v>
      </c>
      <c r="C3272" t="s">
        <v>14</v>
      </c>
      <c r="D3272" t="s">
        <v>242</v>
      </c>
      <c r="E3272">
        <v>6</v>
      </c>
      <c r="F3272" t="s">
        <v>3891</v>
      </c>
      <c r="G3272">
        <v>2023</v>
      </c>
      <c r="H3272" t="s">
        <v>1245</v>
      </c>
      <c r="I3272" t="s">
        <v>502</v>
      </c>
      <c r="J3272">
        <v>899</v>
      </c>
      <c r="K3272">
        <v>295</v>
      </c>
      <c r="L3272">
        <f t="shared" si="754"/>
        <v>604</v>
      </c>
      <c r="M3272">
        <v>240</v>
      </c>
      <c r="N3272">
        <f t="shared" si="755"/>
        <v>364</v>
      </c>
    </row>
    <row r="3273" spans="1:14" x14ac:dyDescent="0.2">
      <c r="A3273" t="s">
        <v>4088</v>
      </c>
      <c r="B3273" s="1" t="s">
        <v>4008</v>
      </c>
      <c r="C3273" t="s">
        <v>14</v>
      </c>
      <c r="D3273" t="s">
        <v>308</v>
      </c>
      <c r="E3273">
        <v>6</v>
      </c>
      <c r="F3273" t="s">
        <v>3891</v>
      </c>
      <c r="G3273">
        <v>2023</v>
      </c>
      <c r="H3273" t="s">
        <v>1148</v>
      </c>
      <c r="I3273" t="s">
        <v>32</v>
      </c>
      <c r="J3273">
        <v>899</v>
      </c>
      <c r="K3273">
        <v>295</v>
      </c>
      <c r="L3273">
        <f t="shared" si="754"/>
        <v>604</v>
      </c>
      <c r="M3273">
        <v>240</v>
      </c>
      <c r="N3273">
        <f t="shared" si="755"/>
        <v>364</v>
      </c>
    </row>
    <row r="3274" spans="1:14" x14ac:dyDescent="0.2">
      <c r="A3274" t="s">
        <v>4089</v>
      </c>
      <c r="B3274" s="1" t="s">
        <v>4008</v>
      </c>
      <c r="C3274" t="s">
        <v>14</v>
      </c>
      <c r="D3274" t="s">
        <v>1076</v>
      </c>
      <c r="E3274">
        <v>6</v>
      </c>
      <c r="F3274" t="s">
        <v>3891</v>
      </c>
      <c r="G3274">
        <v>2023</v>
      </c>
      <c r="H3274" t="s">
        <v>246</v>
      </c>
      <c r="I3274" t="s">
        <v>58</v>
      </c>
      <c r="J3274">
        <v>849</v>
      </c>
      <c r="K3274">
        <v>250</v>
      </c>
      <c r="L3274">
        <f t="shared" si="754"/>
        <v>599</v>
      </c>
      <c r="M3274">
        <v>240</v>
      </c>
      <c r="N3274">
        <f t="shared" si="755"/>
        <v>359</v>
      </c>
    </row>
    <row r="3275" spans="1:14" x14ac:dyDescent="0.2">
      <c r="A3275" t="s">
        <v>4090</v>
      </c>
      <c r="B3275" s="1" t="s">
        <v>4008</v>
      </c>
      <c r="C3275" t="s">
        <v>14</v>
      </c>
      <c r="D3275" t="s">
        <v>448</v>
      </c>
      <c r="E3275">
        <v>6</v>
      </c>
      <c r="F3275" t="s">
        <v>3891</v>
      </c>
      <c r="G3275">
        <v>2023</v>
      </c>
      <c r="H3275" t="s">
        <v>3867</v>
      </c>
      <c r="I3275" t="s">
        <v>19</v>
      </c>
      <c r="J3275">
        <v>899</v>
      </c>
      <c r="K3275">
        <v>295</v>
      </c>
      <c r="L3275">
        <f t="shared" si="754"/>
        <v>604</v>
      </c>
      <c r="M3275">
        <v>240</v>
      </c>
      <c r="N3275">
        <f t="shared" si="755"/>
        <v>364</v>
      </c>
    </row>
    <row r="3276" spans="1:14" x14ac:dyDescent="0.2">
      <c r="A3276" t="s">
        <v>4091</v>
      </c>
      <c r="B3276" s="1" t="s">
        <v>4008</v>
      </c>
      <c r="C3276" t="s">
        <v>14</v>
      </c>
      <c r="D3276" t="s">
        <v>665</v>
      </c>
      <c r="E3276">
        <v>6</v>
      </c>
      <c r="F3276" t="s">
        <v>3891</v>
      </c>
      <c r="G3276">
        <v>2023</v>
      </c>
      <c r="H3276" t="s">
        <v>4092</v>
      </c>
      <c r="I3276" t="s">
        <v>97</v>
      </c>
      <c r="J3276">
        <v>799</v>
      </c>
      <c r="K3276">
        <v>205</v>
      </c>
      <c r="L3276">
        <f t="shared" si="754"/>
        <v>594</v>
      </c>
      <c r="M3276">
        <v>240</v>
      </c>
      <c r="N3276">
        <f t="shared" si="755"/>
        <v>354</v>
      </c>
    </row>
    <row r="3277" spans="1:14" x14ac:dyDescent="0.2">
      <c r="A3277" t="s">
        <v>4093</v>
      </c>
      <c r="B3277" s="1" t="s">
        <v>4008</v>
      </c>
      <c r="C3277" t="s">
        <v>14</v>
      </c>
      <c r="D3277" t="s">
        <v>893</v>
      </c>
      <c r="E3277">
        <v>6</v>
      </c>
      <c r="F3277" t="s">
        <v>3891</v>
      </c>
      <c r="G3277">
        <v>2023</v>
      </c>
      <c r="H3277" t="s">
        <v>4094</v>
      </c>
      <c r="I3277" t="s">
        <v>85</v>
      </c>
      <c r="J3277">
        <v>849</v>
      </c>
      <c r="K3277">
        <v>250</v>
      </c>
      <c r="L3277">
        <f t="shared" si="754"/>
        <v>599</v>
      </c>
      <c r="M3277">
        <v>240</v>
      </c>
      <c r="N3277">
        <f t="shared" si="755"/>
        <v>359</v>
      </c>
    </row>
    <row r="3278" spans="1:14" x14ac:dyDescent="0.2">
      <c r="A3278" t="s">
        <v>4095</v>
      </c>
      <c r="B3278" s="1" t="s">
        <v>4008</v>
      </c>
      <c r="C3278" t="s">
        <v>14</v>
      </c>
      <c r="D3278" t="s">
        <v>1338</v>
      </c>
      <c r="E3278">
        <v>6</v>
      </c>
      <c r="F3278" t="s">
        <v>3891</v>
      </c>
      <c r="G3278">
        <v>2023</v>
      </c>
      <c r="H3278" t="s">
        <v>4096</v>
      </c>
      <c r="I3278" t="s">
        <v>160</v>
      </c>
      <c r="J3278">
        <v>799</v>
      </c>
      <c r="K3278">
        <v>205</v>
      </c>
      <c r="L3278">
        <f t="shared" si="754"/>
        <v>594</v>
      </c>
      <c r="M3278">
        <v>240</v>
      </c>
      <c r="N3278">
        <f t="shared" si="755"/>
        <v>354</v>
      </c>
    </row>
    <row r="3279" spans="1:14" x14ac:dyDescent="0.2">
      <c r="A3279" t="s">
        <v>4009</v>
      </c>
      <c r="B3279" s="1" t="s">
        <v>4008</v>
      </c>
      <c r="C3279" t="s">
        <v>14</v>
      </c>
      <c r="D3279" t="s">
        <v>893</v>
      </c>
      <c r="E3279">
        <v>6</v>
      </c>
      <c r="F3279" t="s">
        <v>3891</v>
      </c>
      <c r="G3279">
        <v>2023</v>
      </c>
      <c r="H3279" t="s">
        <v>104</v>
      </c>
      <c r="I3279" t="s">
        <v>62</v>
      </c>
      <c r="J3279">
        <v>849</v>
      </c>
      <c r="K3279">
        <v>250</v>
      </c>
      <c r="L3279">
        <f t="shared" si="754"/>
        <v>599</v>
      </c>
      <c r="M3279">
        <v>240</v>
      </c>
      <c r="N3279">
        <f t="shared" si="755"/>
        <v>359</v>
      </c>
    </row>
    <row r="3280" spans="1:14" x14ac:dyDescent="0.2">
      <c r="A3280" t="s">
        <v>4097</v>
      </c>
      <c r="B3280" s="1" t="s">
        <v>4054</v>
      </c>
      <c r="C3280" t="s">
        <v>43</v>
      </c>
      <c r="D3280" t="s">
        <v>4098</v>
      </c>
      <c r="E3280">
        <v>7</v>
      </c>
      <c r="F3280" t="s">
        <v>3891</v>
      </c>
      <c r="G3280">
        <v>2023</v>
      </c>
      <c r="H3280" t="s">
        <v>4099</v>
      </c>
      <c r="I3280" t="s">
        <v>58</v>
      </c>
      <c r="J3280">
        <v>0</v>
      </c>
      <c r="K3280">
        <v>0</v>
      </c>
      <c r="L3280">
        <v>0</v>
      </c>
      <c r="M3280">
        <v>0</v>
      </c>
      <c r="N3280">
        <v>0</v>
      </c>
    </row>
    <row r="3281" spans="1:14" x14ac:dyDescent="0.2">
      <c r="A3281" t="s">
        <v>4101</v>
      </c>
      <c r="B3281" s="1" t="s">
        <v>4100</v>
      </c>
      <c r="C3281" t="s">
        <v>43</v>
      </c>
      <c r="D3281" t="s">
        <v>117</v>
      </c>
      <c r="E3281">
        <v>8</v>
      </c>
      <c r="F3281" t="s">
        <v>3891</v>
      </c>
      <c r="G3281">
        <v>2023</v>
      </c>
      <c r="H3281" t="s">
        <v>49</v>
      </c>
      <c r="I3281" t="s">
        <v>32</v>
      </c>
      <c r="J3281">
        <v>0</v>
      </c>
      <c r="K3281">
        <v>0</v>
      </c>
      <c r="L3281">
        <v>0</v>
      </c>
      <c r="M3281">
        <v>0</v>
      </c>
      <c r="N3281">
        <v>0</v>
      </c>
    </row>
    <row r="3282" spans="1:14" x14ac:dyDescent="0.2">
      <c r="A3282" t="s">
        <v>4102</v>
      </c>
      <c r="B3282" s="1" t="s">
        <v>4054</v>
      </c>
      <c r="C3282" t="s">
        <v>14</v>
      </c>
      <c r="D3282" t="s">
        <v>977</v>
      </c>
      <c r="E3282">
        <v>7</v>
      </c>
      <c r="F3282" t="s">
        <v>3891</v>
      </c>
      <c r="G3282">
        <v>2023</v>
      </c>
      <c r="H3282" t="s">
        <v>84</v>
      </c>
      <c r="I3282" t="s">
        <v>85</v>
      </c>
      <c r="J3282">
        <v>799</v>
      </c>
      <c r="K3282">
        <v>205</v>
      </c>
      <c r="L3282">
        <f t="shared" ref="L3282:L3300" si="756">J3282-K3282</f>
        <v>594</v>
      </c>
      <c r="M3282">
        <v>240</v>
      </c>
      <c r="N3282">
        <f t="shared" ref="N3282:N3300" si="757">L3282-M3282</f>
        <v>354</v>
      </c>
    </row>
    <row r="3283" spans="1:14" x14ac:dyDescent="0.2">
      <c r="A3283" t="s">
        <v>4103</v>
      </c>
      <c r="B3283" s="1" t="s">
        <v>4054</v>
      </c>
      <c r="C3283" t="s">
        <v>14</v>
      </c>
      <c r="D3283" t="s">
        <v>379</v>
      </c>
      <c r="E3283">
        <v>7</v>
      </c>
      <c r="F3283" t="s">
        <v>3891</v>
      </c>
      <c r="G3283">
        <v>2023</v>
      </c>
      <c r="H3283" t="s">
        <v>272</v>
      </c>
      <c r="I3283" t="s">
        <v>23</v>
      </c>
      <c r="J3283">
        <v>799</v>
      </c>
      <c r="K3283">
        <v>205</v>
      </c>
      <c r="L3283">
        <f t="shared" si="756"/>
        <v>594</v>
      </c>
      <c r="M3283">
        <v>240</v>
      </c>
      <c r="N3283">
        <f t="shared" si="757"/>
        <v>354</v>
      </c>
    </row>
    <row r="3284" spans="1:14" x14ac:dyDescent="0.2">
      <c r="A3284" t="s">
        <v>4104</v>
      </c>
      <c r="B3284" s="1" t="s">
        <v>4054</v>
      </c>
      <c r="C3284" t="s">
        <v>14</v>
      </c>
      <c r="D3284" t="s">
        <v>242</v>
      </c>
      <c r="E3284">
        <v>7</v>
      </c>
      <c r="F3284" t="s">
        <v>3891</v>
      </c>
      <c r="G3284">
        <v>2023</v>
      </c>
      <c r="H3284" t="s">
        <v>567</v>
      </c>
      <c r="I3284" t="s">
        <v>23</v>
      </c>
      <c r="J3284">
        <v>899</v>
      </c>
      <c r="K3284">
        <v>295</v>
      </c>
      <c r="L3284">
        <f t="shared" si="756"/>
        <v>604</v>
      </c>
      <c r="M3284">
        <v>240</v>
      </c>
      <c r="N3284">
        <f t="shared" si="757"/>
        <v>364</v>
      </c>
    </row>
    <row r="3285" spans="1:14" x14ac:dyDescent="0.2">
      <c r="A3285" t="s">
        <v>4105</v>
      </c>
      <c r="B3285" s="1" t="s">
        <v>4054</v>
      </c>
      <c r="C3285" t="s">
        <v>14</v>
      </c>
      <c r="D3285" t="s">
        <v>1212</v>
      </c>
      <c r="E3285">
        <v>7</v>
      </c>
      <c r="F3285" t="s">
        <v>3891</v>
      </c>
      <c r="G3285">
        <v>2023</v>
      </c>
      <c r="H3285" t="s">
        <v>4106</v>
      </c>
      <c r="I3285" t="s">
        <v>58</v>
      </c>
      <c r="J3285">
        <v>799</v>
      </c>
      <c r="K3285">
        <v>205</v>
      </c>
      <c r="L3285">
        <f t="shared" si="756"/>
        <v>594</v>
      </c>
      <c r="M3285">
        <v>240</v>
      </c>
      <c r="N3285">
        <f t="shared" si="757"/>
        <v>354</v>
      </c>
    </row>
    <row r="3286" spans="1:14" x14ac:dyDescent="0.2">
      <c r="A3286" t="s">
        <v>4107</v>
      </c>
      <c r="B3286" s="1" t="s">
        <v>4054</v>
      </c>
      <c r="C3286" t="s">
        <v>14</v>
      </c>
      <c r="D3286" t="s">
        <v>2750</v>
      </c>
      <c r="E3286">
        <v>7</v>
      </c>
      <c r="F3286" t="s">
        <v>3891</v>
      </c>
      <c r="G3286">
        <v>2023</v>
      </c>
      <c r="H3286" t="s">
        <v>3767</v>
      </c>
      <c r="I3286" t="s">
        <v>28</v>
      </c>
      <c r="J3286">
        <v>849</v>
      </c>
      <c r="K3286">
        <v>250</v>
      </c>
      <c r="L3286">
        <f t="shared" si="756"/>
        <v>599</v>
      </c>
      <c r="M3286">
        <v>240</v>
      </c>
      <c r="N3286">
        <f t="shared" si="757"/>
        <v>359</v>
      </c>
    </row>
    <row r="3287" spans="1:14" x14ac:dyDescent="0.2">
      <c r="A3287" t="s">
        <v>4108</v>
      </c>
      <c r="B3287" s="1" t="s">
        <v>4054</v>
      </c>
      <c r="C3287" t="s">
        <v>14</v>
      </c>
      <c r="D3287" t="s">
        <v>1834</v>
      </c>
      <c r="E3287">
        <v>7</v>
      </c>
      <c r="F3287" t="s">
        <v>3891</v>
      </c>
      <c r="G3287">
        <v>2023</v>
      </c>
      <c r="H3287" t="s">
        <v>1894</v>
      </c>
      <c r="I3287" t="s">
        <v>85</v>
      </c>
      <c r="J3287">
        <v>849</v>
      </c>
      <c r="K3287">
        <v>250</v>
      </c>
      <c r="L3287">
        <f t="shared" si="756"/>
        <v>599</v>
      </c>
      <c r="M3287">
        <v>240</v>
      </c>
      <c r="N3287">
        <f t="shared" si="757"/>
        <v>359</v>
      </c>
    </row>
    <row r="3288" spans="1:14" x14ac:dyDescent="0.2">
      <c r="A3288" t="s">
        <v>4109</v>
      </c>
      <c r="B3288" s="1" t="s">
        <v>4100</v>
      </c>
      <c r="C3288" t="s">
        <v>14</v>
      </c>
      <c r="D3288" t="s">
        <v>844</v>
      </c>
      <c r="E3288">
        <v>8</v>
      </c>
      <c r="F3288" t="s">
        <v>3891</v>
      </c>
      <c r="G3288">
        <v>2023</v>
      </c>
      <c r="H3288" t="s">
        <v>4110</v>
      </c>
      <c r="I3288" t="s">
        <v>23</v>
      </c>
      <c r="J3288">
        <v>799</v>
      </c>
      <c r="K3288">
        <v>205</v>
      </c>
      <c r="L3288">
        <f t="shared" si="756"/>
        <v>594</v>
      </c>
      <c r="M3288">
        <v>240</v>
      </c>
      <c r="N3288">
        <f t="shared" si="757"/>
        <v>354</v>
      </c>
    </row>
    <row r="3289" spans="1:14" x14ac:dyDescent="0.2">
      <c r="A3289" t="s">
        <v>4111</v>
      </c>
      <c r="B3289" s="1" t="s">
        <v>4054</v>
      </c>
      <c r="C3289" t="s">
        <v>14</v>
      </c>
      <c r="D3289" t="s">
        <v>1448</v>
      </c>
      <c r="E3289">
        <v>7</v>
      </c>
      <c r="F3289" t="s">
        <v>3891</v>
      </c>
      <c r="G3289">
        <v>2023</v>
      </c>
      <c r="H3289" t="s">
        <v>104</v>
      </c>
      <c r="I3289" t="s">
        <v>62</v>
      </c>
      <c r="J3289">
        <v>849</v>
      </c>
      <c r="K3289">
        <v>250</v>
      </c>
      <c r="L3289">
        <f t="shared" si="756"/>
        <v>599</v>
      </c>
      <c r="M3289">
        <v>240</v>
      </c>
      <c r="N3289">
        <f t="shared" si="757"/>
        <v>359</v>
      </c>
    </row>
    <row r="3290" spans="1:14" x14ac:dyDescent="0.2">
      <c r="A3290" t="s">
        <v>4112</v>
      </c>
      <c r="B3290" s="1" t="s">
        <v>4054</v>
      </c>
      <c r="C3290" t="s">
        <v>14</v>
      </c>
      <c r="D3290" t="s">
        <v>379</v>
      </c>
      <c r="E3290">
        <v>7</v>
      </c>
      <c r="F3290" t="s">
        <v>3891</v>
      </c>
      <c r="G3290">
        <v>2023</v>
      </c>
      <c r="H3290" t="s">
        <v>4113</v>
      </c>
      <c r="I3290" t="s">
        <v>253</v>
      </c>
      <c r="J3290">
        <v>799</v>
      </c>
      <c r="K3290">
        <v>205</v>
      </c>
      <c r="L3290">
        <f t="shared" si="756"/>
        <v>594</v>
      </c>
      <c r="M3290">
        <v>240</v>
      </c>
      <c r="N3290">
        <f t="shared" si="757"/>
        <v>354</v>
      </c>
    </row>
    <row r="3291" spans="1:14" x14ac:dyDescent="0.2">
      <c r="A3291" t="s">
        <v>4114</v>
      </c>
      <c r="B3291" s="1" t="s">
        <v>4054</v>
      </c>
      <c r="C3291" t="s">
        <v>14</v>
      </c>
      <c r="D3291" t="s">
        <v>504</v>
      </c>
      <c r="E3291">
        <v>7</v>
      </c>
      <c r="F3291" t="s">
        <v>3891</v>
      </c>
      <c r="G3291">
        <v>2023</v>
      </c>
      <c r="H3291" t="s">
        <v>4115</v>
      </c>
      <c r="I3291" t="s">
        <v>62</v>
      </c>
      <c r="J3291">
        <v>899</v>
      </c>
      <c r="K3291">
        <v>295</v>
      </c>
      <c r="L3291">
        <f t="shared" si="756"/>
        <v>604</v>
      </c>
      <c r="M3291">
        <v>240</v>
      </c>
      <c r="N3291">
        <f t="shared" si="757"/>
        <v>364</v>
      </c>
    </row>
    <row r="3292" spans="1:14" x14ac:dyDescent="0.2">
      <c r="A3292" t="s">
        <v>4114</v>
      </c>
      <c r="B3292" s="1" t="s">
        <v>4054</v>
      </c>
      <c r="C3292" t="s">
        <v>14</v>
      </c>
      <c r="D3292" t="s">
        <v>573</v>
      </c>
      <c r="E3292">
        <v>7</v>
      </c>
      <c r="F3292" t="s">
        <v>3891</v>
      </c>
      <c r="G3292">
        <v>2023</v>
      </c>
      <c r="H3292" t="s">
        <v>4115</v>
      </c>
      <c r="I3292" t="s">
        <v>62</v>
      </c>
      <c r="J3292">
        <v>899</v>
      </c>
      <c r="K3292">
        <v>295</v>
      </c>
      <c r="L3292">
        <f t="shared" si="756"/>
        <v>604</v>
      </c>
      <c r="M3292">
        <v>240</v>
      </c>
      <c r="N3292">
        <f t="shared" si="757"/>
        <v>364</v>
      </c>
    </row>
    <row r="3293" spans="1:14" x14ac:dyDescent="0.2">
      <c r="A3293" t="s">
        <v>4116</v>
      </c>
      <c r="B3293" s="1" t="s">
        <v>4100</v>
      </c>
      <c r="C3293" t="s">
        <v>14</v>
      </c>
      <c r="D3293" t="s">
        <v>308</v>
      </c>
      <c r="E3293">
        <v>8</v>
      </c>
      <c r="F3293" t="s">
        <v>3891</v>
      </c>
      <c r="G3293">
        <v>2023</v>
      </c>
      <c r="H3293" t="s">
        <v>84</v>
      </c>
      <c r="I3293" t="s">
        <v>85</v>
      </c>
      <c r="J3293">
        <v>899</v>
      </c>
      <c r="K3293">
        <v>295</v>
      </c>
      <c r="L3293">
        <f t="shared" si="756"/>
        <v>604</v>
      </c>
      <c r="M3293">
        <v>240</v>
      </c>
      <c r="N3293">
        <f t="shared" si="757"/>
        <v>364</v>
      </c>
    </row>
    <row r="3294" spans="1:14" x14ac:dyDescent="0.2">
      <c r="A3294" t="s">
        <v>4117</v>
      </c>
      <c r="B3294" s="1" t="s">
        <v>4054</v>
      </c>
      <c r="C3294" t="s">
        <v>14</v>
      </c>
      <c r="D3294" t="s">
        <v>893</v>
      </c>
      <c r="E3294">
        <v>7</v>
      </c>
      <c r="F3294" t="s">
        <v>3891</v>
      </c>
      <c r="G3294">
        <v>2023</v>
      </c>
      <c r="H3294" t="s">
        <v>1894</v>
      </c>
      <c r="I3294" t="s">
        <v>85</v>
      </c>
      <c r="J3294">
        <v>849</v>
      </c>
      <c r="K3294">
        <v>250</v>
      </c>
      <c r="L3294">
        <f t="shared" si="756"/>
        <v>599</v>
      </c>
      <c r="M3294">
        <v>240</v>
      </c>
      <c r="N3294">
        <f t="shared" si="757"/>
        <v>359</v>
      </c>
    </row>
    <row r="3295" spans="1:14" x14ac:dyDescent="0.2">
      <c r="A3295" t="s">
        <v>4118</v>
      </c>
      <c r="B3295" s="1" t="s">
        <v>4054</v>
      </c>
      <c r="C3295" t="s">
        <v>14</v>
      </c>
      <c r="D3295" t="s">
        <v>169</v>
      </c>
      <c r="E3295">
        <v>7</v>
      </c>
      <c r="F3295" t="s">
        <v>3891</v>
      </c>
      <c r="G3295">
        <v>2023</v>
      </c>
      <c r="H3295" t="s">
        <v>3823</v>
      </c>
      <c r="I3295" t="s">
        <v>122</v>
      </c>
      <c r="J3295">
        <v>799</v>
      </c>
      <c r="K3295">
        <v>205</v>
      </c>
      <c r="L3295">
        <f t="shared" si="756"/>
        <v>594</v>
      </c>
      <c r="M3295">
        <v>240</v>
      </c>
      <c r="N3295">
        <f t="shared" si="757"/>
        <v>354</v>
      </c>
    </row>
    <row r="3296" spans="1:14" x14ac:dyDescent="0.2">
      <c r="A3296" t="s">
        <v>4055</v>
      </c>
      <c r="B3296" s="1" t="s">
        <v>4054</v>
      </c>
      <c r="C3296" t="s">
        <v>14</v>
      </c>
      <c r="D3296" t="s">
        <v>1303</v>
      </c>
      <c r="E3296">
        <v>7</v>
      </c>
      <c r="F3296" t="s">
        <v>3891</v>
      </c>
      <c r="G3296">
        <v>2023</v>
      </c>
      <c r="H3296" t="s">
        <v>4056</v>
      </c>
      <c r="I3296" t="s">
        <v>85</v>
      </c>
      <c r="J3296">
        <v>849</v>
      </c>
      <c r="K3296">
        <v>250</v>
      </c>
      <c r="L3296">
        <f t="shared" si="756"/>
        <v>599</v>
      </c>
      <c r="M3296">
        <v>240</v>
      </c>
      <c r="N3296">
        <f t="shared" si="757"/>
        <v>359</v>
      </c>
    </row>
    <row r="3297" spans="1:14" x14ac:dyDescent="0.2">
      <c r="A3297" t="s">
        <v>4119</v>
      </c>
      <c r="B3297" s="1" t="s">
        <v>4054</v>
      </c>
      <c r="C3297" t="s">
        <v>14</v>
      </c>
      <c r="D3297" t="s">
        <v>490</v>
      </c>
      <c r="E3297">
        <v>7</v>
      </c>
      <c r="F3297" t="s">
        <v>3891</v>
      </c>
      <c r="G3297">
        <v>2023</v>
      </c>
      <c r="H3297" t="s">
        <v>4120</v>
      </c>
      <c r="I3297" t="s">
        <v>62</v>
      </c>
      <c r="J3297">
        <v>899</v>
      </c>
      <c r="K3297">
        <v>295</v>
      </c>
      <c r="L3297">
        <f t="shared" si="756"/>
        <v>604</v>
      </c>
      <c r="M3297">
        <v>240</v>
      </c>
      <c r="N3297">
        <f t="shared" si="757"/>
        <v>364</v>
      </c>
    </row>
    <row r="3298" spans="1:14" x14ac:dyDescent="0.2">
      <c r="A3298" t="s">
        <v>4121</v>
      </c>
      <c r="B3298" s="1" t="s">
        <v>4054</v>
      </c>
      <c r="C3298" t="s">
        <v>14</v>
      </c>
      <c r="D3298" t="s">
        <v>844</v>
      </c>
      <c r="E3298">
        <v>7</v>
      </c>
      <c r="F3298" t="s">
        <v>3891</v>
      </c>
      <c r="G3298">
        <v>2023</v>
      </c>
      <c r="H3298" t="s">
        <v>249</v>
      </c>
      <c r="I3298" t="s">
        <v>250</v>
      </c>
      <c r="J3298">
        <v>799</v>
      </c>
      <c r="K3298">
        <v>205</v>
      </c>
      <c r="L3298">
        <f t="shared" si="756"/>
        <v>594</v>
      </c>
      <c r="M3298">
        <v>240</v>
      </c>
      <c r="N3298">
        <f t="shared" si="757"/>
        <v>354</v>
      </c>
    </row>
    <row r="3299" spans="1:14" x14ac:dyDescent="0.2">
      <c r="A3299" t="s">
        <v>4122</v>
      </c>
      <c r="B3299" s="1" t="s">
        <v>4054</v>
      </c>
      <c r="C3299" t="s">
        <v>14</v>
      </c>
      <c r="D3299" t="s">
        <v>169</v>
      </c>
      <c r="E3299">
        <v>7</v>
      </c>
      <c r="F3299" t="s">
        <v>3891</v>
      </c>
      <c r="G3299">
        <v>2023</v>
      </c>
      <c r="H3299" t="s">
        <v>838</v>
      </c>
      <c r="I3299" t="s">
        <v>253</v>
      </c>
      <c r="J3299">
        <v>799</v>
      </c>
      <c r="K3299">
        <v>205</v>
      </c>
      <c r="L3299">
        <f t="shared" si="756"/>
        <v>594</v>
      </c>
      <c r="M3299">
        <v>240</v>
      </c>
      <c r="N3299">
        <f t="shared" si="757"/>
        <v>354</v>
      </c>
    </row>
    <row r="3300" spans="1:14" x14ac:dyDescent="0.2">
      <c r="A3300" t="s">
        <v>4123</v>
      </c>
      <c r="B3300" s="1" t="s">
        <v>4054</v>
      </c>
      <c r="C3300" t="s">
        <v>14</v>
      </c>
      <c r="D3300" t="s">
        <v>380</v>
      </c>
      <c r="E3300">
        <v>7</v>
      </c>
      <c r="F3300" t="s">
        <v>3891</v>
      </c>
      <c r="G3300">
        <v>2023</v>
      </c>
      <c r="H3300" t="s">
        <v>18</v>
      </c>
      <c r="I3300" t="s">
        <v>19</v>
      </c>
      <c r="J3300">
        <v>849</v>
      </c>
      <c r="K3300">
        <v>250</v>
      </c>
      <c r="L3300">
        <f t="shared" si="756"/>
        <v>599</v>
      </c>
      <c r="M3300">
        <v>240</v>
      </c>
      <c r="N3300">
        <f t="shared" si="757"/>
        <v>359</v>
      </c>
    </row>
    <row r="3301" spans="1:14" x14ac:dyDescent="0.2">
      <c r="A3301" t="s">
        <v>4124</v>
      </c>
      <c r="B3301" s="1" t="s">
        <v>4054</v>
      </c>
      <c r="C3301" t="s">
        <v>20</v>
      </c>
      <c r="D3301" t="s">
        <v>548</v>
      </c>
      <c r="E3301">
        <v>7</v>
      </c>
      <c r="F3301" t="s">
        <v>3891</v>
      </c>
      <c r="G3301">
        <v>2023</v>
      </c>
      <c r="H3301" t="s">
        <v>4006</v>
      </c>
      <c r="I3301" t="s">
        <v>23</v>
      </c>
      <c r="J3301">
        <v>0</v>
      </c>
      <c r="K3301">
        <v>0</v>
      </c>
      <c r="L3301">
        <v>0</v>
      </c>
      <c r="M3301">
        <v>0</v>
      </c>
      <c r="N3301">
        <v>0</v>
      </c>
    </row>
    <row r="3302" spans="1:14" x14ac:dyDescent="0.2">
      <c r="A3302" t="s">
        <v>4125</v>
      </c>
      <c r="B3302" s="1" t="s">
        <v>4054</v>
      </c>
      <c r="C3302" t="s">
        <v>14</v>
      </c>
      <c r="D3302" t="s">
        <v>452</v>
      </c>
      <c r="E3302">
        <v>7</v>
      </c>
      <c r="F3302" t="s">
        <v>3891</v>
      </c>
      <c r="G3302">
        <v>2023</v>
      </c>
      <c r="H3302" t="s">
        <v>2782</v>
      </c>
      <c r="I3302" t="s">
        <v>502</v>
      </c>
      <c r="J3302">
        <v>799</v>
      </c>
      <c r="K3302">
        <v>205</v>
      </c>
      <c r="L3302">
        <f t="shared" ref="L3302:L3305" si="758">J3302-K3302</f>
        <v>594</v>
      </c>
      <c r="M3302">
        <v>240</v>
      </c>
      <c r="N3302">
        <f t="shared" ref="N3302:N3305" si="759">L3302-M3302</f>
        <v>354</v>
      </c>
    </row>
    <row r="3303" spans="1:14" x14ac:dyDescent="0.2">
      <c r="A3303" t="s">
        <v>4126</v>
      </c>
      <c r="B3303" s="1" t="s">
        <v>4054</v>
      </c>
      <c r="C3303" t="s">
        <v>14</v>
      </c>
      <c r="D3303" t="s">
        <v>798</v>
      </c>
      <c r="E3303">
        <v>7</v>
      </c>
      <c r="F3303" t="s">
        <v>3891</v>
      </c>
      <c r="G3303">
        <v>2023</v>
      </c>
      <c r="H3303" t="s">
        <v>49</v>
      </c>
      <c r="I3303" t="s">
        <v>32</v>
      </c>
      <c r="J3303">
        <v>799</v>
      </c>
      <c r="K3303">
        <v>205</v>
      </c>
      <c r="L3303">
        <f t="shared" si="758"/>
        <v>594</v>
      </c>
      <c r="M3303">
        <v>240</v>
      </c>
      <c r="N3303">
        <f t="shared" si="759"/>
        <v>354</v>
      </c>
    </row>
    <row r="3304" spans="1:14" x14ac:dyDescent="0.2">
      <c r="A3304" t="s">
        <v>4127</v>
      </c>
      <c r="B3304" s="1" t="s">
        <v>4054</v>
      </c>
      <c r="C3304" t="s">
        <v>14</v>
      </c>
      <c r="D3304" t="s">
        <v>2096</v>
      </c>
      <c r="E3304">
        <v>7</v>
      </c>
      <c r="F3304" t="s">
        <v>3891</v>
      </c>
      <c r="G3304">
        <v>2023</v>
      </c>
      <c r="H3304" t="s">
        <v>4128</v>
      </c>
      <c r="I3304" t="s">
        <v>502</v>
      </c>
      <c r="J3304">
        <v>799</v>
      </c>
      <c r="K3304">
        <v>205</v>
      </c>
      <c r="L3304">
        <f t="shared" si="758"/>
        <v>594</v>
      </c>
      <c r="M3304">
        <v>240</v>
      </c>
      <c r="N3304">
        <f t="shared" si="759"/>
        <v>354</v>
      </c>
    </row>
    <row r="3305" spans="1:14" x14ac:dyDescent="0.2">
      <c r="A3305" t="s">
        <v>4129</v>
      </c>
      <c r="B3305" s="1" t="s">
        <v>4054</v>
      </c>
      <c r="C3305" t="s">
        <v>14</v>
      </c>
      <c r="D3305" t="s">
        <v>915</v>
      </c>
      <c r="E3305">
        <v>7</v>
      </c>
      <c r="F3305" t="s">
        <v>3891</v>
      </c>
      <c r="G3305">
        <v>2023</v>
      </c>
      <c r="H3305" t="s">
        <v>101</v>
      </c>
      <c r="I3305" t="s">
        <v>62</v>
      </c>
      <c r="J3305">
        <v>799</v>
      </c>
      <c r="K3305">
        <v>205</v>
      </c>
      <c r="L3305">
        <f t="shared" si="758"/>
        <v>594</v>
      </c>
      <c r="M3305">
        <v>240</v>
      </c>
      <c r="N3305">
        <f t="shared" si="759"/>
        <v>354</v>
      </c>
    </row>
    <row r="3306" spans="1:14" x14ac:dyDescent="0.2">
      <c r="A3306" t="s">
        <v>3911</v>
      </c>
      <c r="B3306" s="1" t="s">
        <v>3889</v>
      </c>
      <c r="C3306" t="s">
        <v>106</v>
      </c>
      <c r="D3306" t="s">
        <v>1999</v>
      </c>
      <c r="E3306">
        <v>1</v>
      </c>
      <c r="F3306" t="s">
        <v>3891</v>
      </c>
      <c r="G3306">
        <v>2023</v>
      </c>
      <c r="H3306" t="s">
        <v>3912</v>
      </c>
      <c r="I3306" t="s">
        <v>97</v>
      </c>
      <c r="J3306">
        <v>-849</v>
      </c>
      <c r="K3306">
        <v>345</v>
      </c>
      <c r="L3306">
        <f t="shared" ref="L3306:L3307" si="760">J3306+K3306</f>
        <v>-504</v>
      </c>
      <c r="M3306">
        <v>240</v>
      </c>
      <c r="N3306">
        <f t="shared" ref="N3306:N3307" si="761">L3306+M3306</f>
        <v>-264</v>
      </c>
    </row>
    <row r="3307" spans="1:14" x14ac:dyDescent="0.2">
      <c r="A3307" t="s">
        <v>3925</v>
      </c>
      <c r="B3307" s="1" t="s">
        <v>3889</v>
      </c>
      <c r="C3307" t="s">
        <v>106</v>
      </c>
      <c r="D3307" t="s">
        <v>70</v>
      </c>
      <c r="E3307">
        <v>1</v>
      </c>
      <c r="F3307" t="s">
        <v>3891</v>
      </c>
      <c r="G3307">
        <v>2023</v>
      </c>
      <c r="H3307" t="s">
        <v>415</v>
      </c>
      <c r="I3307" t="s">
        <v>135</v>
      </c>
      <c r="J3307">
        <v>-849</v>
      </c>
      <c r="K3307">
        <v>345</v>
      </c>
      <c r="L3307">
        <f t="shared" si="760"/>
        <v>-504</v>
      </c>
      <c r="M3307">
        <v>240</v>
      </c>
      <c r="N3307">
        <f t="shared" si="761"/>
        <v>-264</v>
      </c>
    </row>
    <row r="3308" spans="1:14" x14ac:dyDescent="0.2">
      <c r="A3308" t="s">
        <v>4130</v>
      </c>
      <c r="B3308" s="1" t="s">
        <v>4054</v>
      </c>
      <c r="C3308" t="s">
        <v>14</v>
      </c>
      <c r="D3308" t="s">
        <v>379</v>
      </c>
      <c r="E3308">
        <v>7</v>
      </c>
      <c r="F3308" t="s">
        <v>3891</v>
      </c>
      <c r="G3308">
        <v>2023</v>
      </c>
      <c r="H3308" t="s">
        <v>4131</v>
      </c>
      <c r="I3308" t="s">
        <v>23</v>
      </c>
      <c r="J3308">
        <v>799</v>
      </c>
      <c r="K3308">
        <v>205</v>
      </c>
      <c r="L3308">
        <f t="shared" ref="L3308:L3309" si="762">J3308-K3308</f>
        <v>594</v>
      </c>
      <c r="M3308">
        <v>240</v>
      </c>
      <c r="N3308">
        <f t="shared" ref="N3308:N3309" si="763">L3308-M3308</f>
        <v>354</v>
      </c>
    </row>
    <row r="3309" spans="1:14" x14ac:dyDescent="0.2">
      <c r="A3309" t="s">
        <v>4132</v>
      </c>
      <c r="B3309" s="1" t="s">
        <v>4054</v>
      </c>
      <c r="C3309" t="s">
        <v>14</v>
      </c>
      <c r="D3309" t="s">
        <v>448</v>
      </c>
      <c r="E3309">
        <v>7</v>
      </c>
      <c r="F3309" t="s">
        <v>3891</v>
      </c>
      <c r="G3309">
        <v>2023</v>
      </c>
      <c r="H3309" t="s">
        <v>246</v>
      </c>
      <c r="I3309" t="s">
        <v>58</v>
      </c>
      <c r="J3309">
        <v>899</v>
      </c>
      <c r="K3309">
        <v>295</v>
      </c>
      <c r="L3309">
        <f t="shared" si="762"/>
        <v>604</v>
      </c>
      <c r="M3309">
        <v>240</v>
      </c>
      <c r="N3309">
        <f t="shared" si="763"/>
        <v>364</v>
      </c>
    </row>
    <row r="3310" spans="1:14" x14ac:dyDescent="0.2">
      <c r="A3310" t="s">
        <v>4133</v>
      </c>
      <c r="B3310" s="1" t="s">
        <v>4100</v>
      </c>
      <c r="C3310" t="s">
        <v>43</v>
      </c>
      <c r="D3310" t="s">
        <v>1015</v>
      </c>
      <c r="E3310">
        <v>8</v>
      </c>
      <c r="F3310" t="s">
        <v>3891</v>
      </c>
      <c r="G3310">
        <v>2023</v>
      </c>
      <c r="H3310" t="s">
        <v>4134</v>
      </c>
      <c r="I3310" t="s">
        <v>212</v>
      </c>
      <c r="J3310">
        <v>0</v>
      </c>
      <c r="K3310">
        <v>0</v>
      </c>
      <c r="L3310">
        <v>0</v>
      </c>
      <c r="M3310">
        <v>0</v>
      </c>
      <c r="N3310">
        <v>0</v>
      </c>
    </row>
    <row r="3311" spans="1:14" x14ac:dyDescent="0.2">
      <c r="A3311" t="s">
        <v>3948</v>
      </c>
      <c r="B3311" s="1" t="s">
        <v>3922</v>
      </c>
      <c r="C3311" t="s">
        <v>106</v>
      </c>
      <c r="D3311" t="s">
        <v>2005</v>
      </c>
      <c r="E3311">
        <v>2</v>
      </c>
      <c r="F3311" t="s">
        <v>3891</v>
      </c>
      <c r="G3311">
        <v>2023</v>
      </c>
      <c r="H3311" t="s">
        <v>668</v>
      </c>
      <c r="I3311" t="s">
        <v>502</v>
      </c>
      <c r="J3311">
        <v>-799</v>
      </c>
      <c r="K3311">
        <v>320</v>
      </c>
      <c r="L3311">
        <f t="shared" ref="L3311:L3312" si="764">J3311+K3311</f>
        <v>-479</v>
      </c>
      <c r="M3311">
        <v>240</v>
      </c>
      <c r="N3311">
        <f t="shared" ref="N3311:N3312" si="765">L3311+M3311</f>
        <v>-239</v>
      </c>
    </row>
    <row r="3312" spans="1:14" x14ac:dyDescent="0.2">
      <c r="A3312" t="s">
        <v>4087</v>
      </c>
      <c r="B3312" s="1" t="s">
        <v>4008</v>
      </c>
      <c r="C3312" t="s">
        <v>106</v>
      </c>
      <c r="D3312" t="s">
        <v>242</v>
      </c>
      <c r="E3312">
        <v>6</v>
      </c>
      <c r="F3312" t="s">
        <v>3891</v>
      </c>
      <c r="G3312">
        <v>2023</v>
      </c>
      <c r="H3312" t="s">
        <v>1245</v>
      </c>
      <c r="I3312" t="s">
        <v>502</v>
      </c>
      <c r="J3312">
        <v>-899</v>
      </c>
      <c r="K3312">
        <v>375</v>
      </c>
      <c r="L3312">
        <f t="shared" si="764"/>
        <v>-524</v>
      </c>
      <c r="M3312">
        <v>240</v>
      </c>
      <c r="N3312">
        <f t="shared" si="765"/>
        <v>-284</v>
      </c>
    </row>
    <row r="3313" spans="1:14" x14ac:dyDescent="0.2">
      <c r="A3313" t="s">
        <v>4135</v>
      </c>
      <c r="B3313" s="1" t="s">
        <v>4100</v>
      </c>
      <c r="C3313" t="s">
        <v>43</v>
      </c>
      <c r="D3313" t="s">
        <v>504</v>
      </c>
      <c r="E3313">
        <v>8</v>
      </c>
      <c r="F3313" t="s">
        <v>3891</v>
      </c>
      <c r="G3313">
        <v>2023</v>
      </c>
      <c r="H3313" t="s">
        <v>4136</v>
      </c>
      <c r="I3313" t="s">
        <v>85</v>
      </c>
      <c r="J3313">
        <v>0</v>
      </c>
      <c r="K3313">
        <v>0</v>
      </c>
      <c r="L3313">
        <v>0</v>
      </c>
      <c r="M3313">
        <v>0</v>
      </c>
      <c r="N3313">
        <v>0</v>
      </c>
    </row>
    <row r="3314" spans="1:14" x14ac:dyDescent="0.2">
      <c r="A3314" t="s">
        <v>4024</v>
      </c>
      <c r="B3314" s="1" t="s">
        <v>4010</v>
      </c>
      <c r="C3314" t="s">
        <v>106</v>
      </c>
      <c r="D3314" t="s">
        <v>901</v>
      </c>
      <c r="E3314">
        <v>5</v>
      </c>
      <c r="F3314" t="s">
        <v>3891</v>
      </c>
      <c r="G3314">
        <v>2023</v>
      </c>
      <c r="H3314" t="s">
        <v>22</v>
      </c>
      <c r="I3314" t="s">
        <v>23</v>
      </c>
      <c r="J3314">
        <v>-799</v>
      </c>
      <c r="K3314">
        <v>320</v>
      </c>
      <c r="L3314">
        <f>J3314+K3314</f>
        <v>-479</v>
      </c>
      <c r="M3314">
        <v>240</v>
      </c>
      <c r="N3314">
        <f>L3314+M3314</f>
        <v>-239</v>
      </c>
    </row>
    <row r="3315" spans="1:14" x14ac:dyDescent="0.2">
      <c r="A3315" t="s">
        <v>4137</v>
      </c>
      <c r="B3315" s="1" t="s">
        <v>4100</v>
      </c>
      <c r="C3315" t="s">
        <v>14</v>
      </c>
      <c r="D3315" t="s">
        <v>2310</v>
      </c>
      <c r="E3315">
        <v>8</v>
      </c>
      <c r="F3315" t="s">
        <v>3891</v>
      </c>
      <c r="G3315">
        <v>2023</v>
      </c>
      <c r="H3315" t="s">
        <v>4138</v>
      </c>
      <c r="I3315" t="s">
        <v>23</v>
      </c>
      <c r="J3315">
        <v>799</v>
      </c>
      <c r="K3315">
        <v>205</v>
      </c>
      <c r="L3315">
        <f t="shared" ref="L3315:L3317" si="766">J3315-K3315</f>
        <v>594</v>
      </c>
      <c r="M3315">
        <v>240</v>
      </c>
      <c r="N3315">
        <f t="shared" ref="N3315:N3317" si="767">L3315-M3315</f>
        <v>354</v>
      </c>
    </row>
    <row r="3316" spans="1:14" x14ac:dyDescent="0.2">
      <c r="A3316" t="s">
        <v>4139</v>
      </c>
      <c r="B3316" s="1" t="s">
        <v>4100</v>
      </c>
      <c r="C3316" t="s">
        <v>14</v>
      </c>
      <c r="D3316" t="s">
        <v>1560</v>
      </c>
      <c r="E3316">
        <v>8</v>
      </c>
      <c r="F3316" t="s">
        <v>3891</v>
      </c>
      <c r="G3316">
        <v>2023</v>
      </c>
      <c r="H3316" t="s">
        <v>4140</v>
      </c>
      <c r="I3316" t="s">
        <v>85</v>
      </c>
      <c r="J3316">
        <v>799</v>
      </c>
      <c r="K3316">
        <v>205</v>
      </c>
      <c r="L3316">
        <f t="shared" si="766"/>
        <v>594</v>
      </c>
      <c r="M3316">
        <v>240</v>
      </c>
      <c r="N3316">
        <f t="shared" si="767"/>
        <v>354</v>
      </c>
    </row>
    <row r="3317" spans="1:14" x14ac:dyDescent="0.2">
      <c r="A3317" t="s">
        <v>4141</v>
      </c>
      <c r="B3317" s="1" t="s">
        <v>4100</v>
      </c>
      <c r="C3317" t="s">
        <v>14</v>
      </c>
      <c r="D3317" t="s">
        <v>989</v>
      </c>
      <c r="E3317">
        <v>8</v>
      </c>
      <c r="F3317" t="s">
        <v>3891</v>
      </c>
      <c r="G3317">
        <v>2023</v>
      </c>
      <c r="H3317" t="s">
        <v>263</v>
      </c>
      <c r="I3317" t="s">
        <v>144</v>
      </c>
      <c r="J3317">
        <v>799</v>
      </c>
      <c r="K3317">
        <v>205</v>
      </c>
      <c r="L3317">
        <f t="shared" si="766"/>
        <v>594</v>
      </c>
      <c r="M3317">
        <v>240</v>
      </c>
      <c r="N3317">
        <f t="shared" si="767"/>
        <v>354</v>
      </c>
    </row>
    <row r="3318" spans="1:14" x14ac:dyDescent="0.2">
      <c r="A3318" t="s">
        <v>4142</v>
      </c>
      <c r="B3318" s="1" t="s">
        <v>4100</v>
      </c>
      <c r="C3318" t="s">
        <v>20</v>
      </c>
      <c r="D3318" t="s">
        <v>3994</v>
      </c>
      <c r="E3318">
        <v>8</v>
      </c>
      <c r="F3318" t="s">
        <v>3891</v>
      </c>
      <c r="G3318">
        <v>2023</v>
      </c>
      <c r="H3318" t="s">
        <v>246</v>
      </c>
      <c r="I3318" t="s">
        <v>58</v>
      </c>
      <c r="J3318">
        <v>0</v>
      </c>
      <c r="K3318">
        <v>0</v>
      </c>
      <c r="L3318">
        <v>0</v>
      </c>
      <c r="M3318">
        <v>0</v>
      </c>
      <c r="N3318">
        <v>0</v>
      </c>
    </row>
    <row r="3319" spans="1:14" x14ac:dyDescent="0.2">
      <c r="A3319" t="s">
        <v>4143</v>
      </c>
      <c r="B3319" s="1" t="s">
        <v>4100</v>
      </c>
      <c r="C3319" t="s">
        <v>14</v>
      </c>
      <c r="D3319" t="s">
        <v>2266</v>
      </c>
      <c r="E3319">
        <v>8</v>
      </c>
      <c r="F3319" t="s">
        <v>3891</v>
      </c>
      <c r="G3319">
        <v>2023</v>
      </c>
      <c r="H3319" t="s">
        <v>31</v>
      </c>
      <c r="I3319" t="s">
        <v>32</v>
      </c>
      <c r="J3319">
        <v>799</v>
      </c>
      <c r="K3319">
        <v>205</v>
      </c>
      <c r="L3319">
        <f t="shared" ref="L3319:L3323" si="768">J3319-K3319</f>
        <v>594</v>
      </c>
      <c r="M3319">
        <v>240</v>
      </c>
      <c r="N3319">
        <f t="shared" ref="N3319:N3323" si="769">L3319-M3319</f>
        <v>354</v>
      </c>
    </row>
    <row r="3320" spans="1:14" x14ac:dyDescent="0.2">
      <c r="A3320" t="s">
        <v>4144</v>
      </c>
      <c r="B3320" s="1" t="s">
        <v>4100</v>
      </c>
      <c r="C3320" t="s">
        <v>14</v>
      </c>
      <c r="D3320" t="s">
        <v>379</v>
      </c>
      <c r="E3320">
        <v>8</v>
      </c>
      <c r="F3320" t="s">
        <v>3891</v>
      </c>
      <c r="G3320">
        <v>2023</v>
      </c>
      <c r="H3320" t="s">
        <v>84</v>
      </c>
      <c r="I3320" t="s">
        <v>85</v>
      </c>
      <c r="J3320">
        <v>799</v>
      </c>
      <c r="K3320">
        <v>205</v>
      </c>
      <c r="L3320">
        <f t="shared" si="768"/>
        <v>594</v>
      </c>
      <c r="M3320">
        <v>240</v>
      </c>
      <c r="N3320">
        <f t="shared" si="769"/>
        <v>354</v>
      </c>
    </row>
    <row r="3321" spans="1:14" x14ac:dyDescent="0.2">
      <c r="A3321" t="s">
        <v>4145</v>
      </c>
      <c r="B3321" s="1" t="s">
        <v>4100</v>
      </c>
      <c r="C3321" t="s">
        <v>14</v>
      </c>
      <c r="D3321" t="s">
        <v>4146</v>
      </c>
      <c r="E3321">
        <v>8</v>
      </c>
      <c r="F3321" t="s">
        <v>3891</v>
      </c>
      <c r="G3321">
        <v>2023</v>
      </c>
      <c r="H3321" t="s">
        <v>104</v>
      </c>
      <c r="I3321" t="s">
        <v>62</v>
      </c>
      <c r="J3321">
        <v>849</v>
      </c>
      <c r="K3321">
        <v>250</v>
      </c>
      <c r="L3321">
        <f t="shared" si="768"/>
        <v>599</v>
      </c>
      <c r="M3321">
        <v>240</v>
      </c>
      <c r="N3321">
        <f t="shared" si="769"/>
        <v>359</v>
      </c>
    </row>
    <row r="3322" spans="1:14" x14ac:dyDescent="0.2">
      <c r="A3322" t="s">
        <v>4147</v>
      </c>
      <c r="B3322" s="1" t="s">
        <v>4100</v>
      </c>
      <c r="C3322" t="s">
        <v>14</v>
      </c>
      <c r="D3322" t="s">
        <v>975</v>
      </c>
      <c r="E3322">
        <v>8</v>
      </c>
      <c r="F3322" t="s">
        <v>3891</v>
      </c>
      <c r="G3322">
        <v>2023</v>
      </c>
      <c r="H3322" t="s">
        <v>4148</v>
      </c>
      <c r="I3322" t="s">
        <v>85</v>
      </c>
      <c r="J3322">
        <v>799</v>
      </c>
      <c r="K3322">
        <v>205</v>
      </c>
      <c r="L3322">
        <f t="shared" si="768"/>
        <v>594</v>
      </c>
      <c r="M3322">
        <v>240</v>
      </c>
      <c r="N3322">
        <f t="shared" si="769"/>
        <v>354</v>
      </c>
    </row>
    <row r="3323" spans="1:14" x14ac:dyDescent="0.2">
      <c r="A3323" t="s">
        <v>4149</v>
      </c>
      <c r="B3323" s="1" t="s">
        <v>4100</v>
      </c>
      <c r="C3323" t="s">
        <v>14</v>
      </c>
      <c r="D3323" t="s">
        <v>1212</v>
      </c>
      <c r="E3323">
        <v>8</v>
      </c>
      <c r="F3323" t="s">
        <v>3891</v>
      </c>
      <c r="G3323">
        <v>2023</v>
      </c>
      <c r="H3323" t="s">
        <v>272</v>
      </c>
      <c r="I3323" t="s">
        <v>23</v>
      </c>
      <c r="J3323">
        <v>799</v>
      </c>
      <c r="K3323">
        <v>205</v>
      </c>
      <c r="L3323">
        <f t="shared" si="768"/>
        <v>594</v>
      </c>
      <c r="M3323">
        <v>240</v>
      </c>
      <c r="N3323">
        <f t="shared" si="769"/>
        <v>354</v>
      </c>
    </row>
    <row r="3324" spans="1:14" x14ac:dyDescent="0.2">
      <c r="A3324" t="s">
        <v>4150</v>
      </c>
      <c r="B3324" s="1" t="s">
        <v>4100</v>
      </c>
      <c r="C3324" t="s">
        <v>20</v>
      </c>
      <c r="D3324" t="s">
        <v>380</v>
      </c>
      <c r="E3324">
        <v>8</v>
      </c>
      <c r="F3324" t="s">
        <v>3891</v>
      </c>
      <c r="G3324">
        <v>2023</v>
      </c>
      <c r="H3324" t="s">
        <v>22</v>
      </c>
      <c r="I3324" t="s">
        <v>23</v>
      </c>
      <c r="J3324">
        <v>0</v>
      </c>
      <c r="K3324">
        <v>0</v>
      </c>
      <c r="L3324">
        <v>0</v>
      </c>
      <c r="M3324">
        <v>0</v>
      </c>
      <c r="N3324">
        <v>0</v>
      </c>
    </row>
    <row r="3325" spans="1:14" x14ac:dyDescent="0.2">
      <c r="A3325" t="s">
        <v>4151</v>
      </c>
      <c r="B3325" s="1" t="s">
        <v>4100</v>
      </c>
      <c r="C3325" t="s">
        <v>14</v>
      </c>
      <c r="D3325" t="s">
        <v>117</v>
      </c>
      <c r="E3325">
        <v>8</v>
      </c>
      <c r="F3325" t="s">
        <v>3891</v>
      </c>
      <c r="G3325">
        <v>2023</v>
      </c>
      <c r="H3325" t="s">
        <v>3928</v>
      </c>
      <c r="I3325" t="s">
        <v>135</v>
      </c>
      <c r="J3325">
        <v>899</v>
      </c>
      <c r="K3325">
        <v>295</v>
      </c>
      <c r="L3325">
        <f t="shared" ref="L3325:L3335" si="770">J3325-K3325</f>
        <v>604</v>
      </c>
      <c r="M3325">
        <v>240</v>
      </c>
      <c r="N3325">
        <f t="shared" ref="N3325:N3335" si="771">L3325-M3325</f>
        <v>364</v>
      </c>
    </row>
    <row r="3326" spans="1:14" x14ac:dyDescent="0.2">
      <c r="A3326" t="s">
        <v>4152</v>
      </c>
      <c r="B3326" s="1" t="s">
        <v>4100</v>
      </c>
      <c r="C3326" t="s">
        <v>14</v>
      </c>
      <c r="D3326" t="s">
        <v>3620</v>
      </c>
      <c r="E3326">
        <v>8</v>
      </c>
      <c r="F3326" t="s">
        <v>3891</v>
      </c>
      <c r="G3326">
        <v>2023</v>
      </c>
      <c r="H3326" t="s">
        <v>4153</v>
      </c>
      <c r="I3326" t="s">
        <v>1742</v>
      </c>
      <c r="J3326">
        <v>799</v>
      </c>
      <c r="K3326">
        <v>205</v>
      </c>
      <c r="L3326">
        <f t="shared" si="770"/>
        <v>594</v>
      </c>
      <c r="M3326">
        <v>240</v>
      </c>
      <c r="N3326">
        <f t="shared" si="771"/>
        <v>354</v>
      </c>
    </row>
    <row r="3327" spans="1:14" x14ac:dyDescent="0.2">
      <c r="A3327" t="s">
        <v>4154</v>
      </c>
      <c r="B3327" s="1" t="s">
        <v>4100</v>
      </c>
      <c r="C3327" t="s">
        <v>14</v>
      </c>
      <c r="D3327" t="s">
        <v>747</v>
      </c>
      <c r="E3327">
        <v>8</v>
      </c>
      <c r="F3327" t="s">
        <v>3891</v>
      </c>
      <c r="G3327">
        <v>2023</v>
      </c>
      <c r="H3327" t="s">
        <v>619</v>
      </c>
      <c r="I3327" t="s">
        <v>23</v>
      </c>
      <c r="J3327">
        <v>799</v>
      </c>
      <c r="K3327">
        <v>205</v>
      </c>
      <c r="L3327">
        <f t="shared" si="770"/>
        <v>594</v>
      </c>
      <c r="M3327">
        <v>240</v>
      </c>
      <c r="N3327">
        <f t="shared" si="771"/>
        <v>354</v>
      </c>
    </row>
    <row r="3328" spans="1:14" x14ac:dyDescent="0.2">
      <c r="A3328" t="s">
        <v>4155</v>
      </c>
      <c r="B3328" s="1" t="s">
        <v>4100</v>
      </c>
      <c r="C3328" t="s">
        <v>14</v>
      </c>
      <c r="D3328" t="s">
        <v>81</v>
      </c>
      <c r="E3328">
        <v>8</v>
      </c>
      <c r="F3328" t="s">
        <v>3891</v>
      </c>
      <c r="G3328">
        <v>2023</v>
      </c>
      <c r="H3328" t="s">
        <v>198</v>
      </c>
      <c r="I3328" t="s">
        <v>32</v>
      </c>
      <c r="J3328">
        <v>849</v>
      </c>
      <c r="K3328">
        <v>250</v>
      </c>
      <c r="L3328">
        <f t="shared" si="770"/>
        <v>599</v>
      </c>
      <c r="M3328">
        <v>240</v>
      </c>
      <c r="N3328">
        <f t="shared" si="771"/>
        <v>359</v>
      </c>
    </row>
    <row r="3329" spans="1:14" x14ac:dyDescent="0.2">
      <c r="A3329" t="s">
        <v>4133</v>
      </c>
      <c r="B3329" s="1" t="s">
        <v>4100</v>
      </c>
      <c r="C3329" t="s">
        <v>14</v>
      </c>
      <c r="D3329" t="s">
        <v>1015</v>
      </c>
      <c r="E3329">
        <v>8</v>
      </c>
      <c r="F3329" t="s">
        <v>3891</v>
      </c>
      <c r="G3329">
        <v>2023</v>
      </c>
      <c r="H3329" t="s">
        <v>4134</v>
      </c>
      <c r="I3329" t="s">
        <v>212</v>
      </c>
      <c r="J3329">
        <v>849</v>
      </c>
      <c r="K3329">
        <v>250</v>
      </c>
      <c r="L3329">
        <f t="shared" si="770"/>
        <v>599</v>
      </c>
      <c r="M3329">
        <v>240</v>
      </c>
      <c r="N3329">
        <f t="shared" si="771"/>
        <v>359</v>
      </c>
    </row>
    <row r="3330" spans="1:14" x14ac:dyDescent="0.2">
      <c r="A3330" t="s">
        <v>4156</v>
      </c>
      <c r="B3330" s="1" t="s">
        <v>4100</v>
      </c>
      <c r="C3330" t="s">
        <v>14</v>
      </c>
      <c r="D3330" t="s">
        <v>169</v>
      </c>
      <c r="E3330">
        <v>8</v>
      </c>
      <c r="F3330" t="s">
        <v>3891</v>
      </c>
      <c r="G3330">
        <v>2023</v>
      </c>
      <c r="H3330" t="s">
        <v>104</v>
      </c>
      <c r="I3330" t="s">
        <v>62</v>
      </c>
      <c r="J3330">
        <v>799</v>
      </c>
      <c r="K3330">
        <v>205</v>
      </c>
      <c r="L3330">
        <f t="shared" si="770"/>
        <v>594</v>
      </c>
      <c r="M3330">
        <v>240</v>
      </c>
      <c r="N3330">
        <f t="shared" si="771"/>
        <v>354</v>
      </c>
    </row>
    <row r="3331" spans="1:14" x14ac:dyDescent="0.2">
      <c r="A3331" t="s">
        <v>4157</v>
      </c>
      <c r="B3331" s="1" t="s">
        <v>4100</v>
      </c>
      <c r="C3331" t="s">
        <v>14</v>
      </c>
      <c r="D3331" t="s">
        <v>169</v>
      </c>
      <c r="E3331">
        <v>8</v>
      </c>
      <c r="F3331" t="s">
        <v>3891</v>
      </c>
      <c r="G3331">
        <v>2023</v>
      </c>
      <c r="H3331" t="s">
        <v>1282</v>
      </c>
      <c r="I3331" t="s">
        <v>502</v>
      </c>
      <c r="J3331">
        <v>799</v>
      </c>
      <c r="K3331">
        <v>205</v>
      </c>
      <c r="L3331">
        <f t="shared" si="770"/>
        <v>594</v>
      </c>
      <c r="M3331">
        <v>240</v>
      </c>
      <c r="N3331">
        <f t="shared" si="771"/>
        <v>354</v>
      </c>
    </row>
    <row r="3332" spans="1:14" x14ac:dyDescent="0.2">
      <c r="A3332" t="s">
        <v>4158</v>
      </c>
      <c r="B3332" s="1" t="s">
        <v>4100</v>
      </c>
      <c r="C3332" t="s">
        <v>14</v>
      </c>
      <c r="D3332" t="s">
        <v>840</v>
      </c>
      <c r="E3332">
        <v>8</v>
      </c>
      <c r="F3332" t="s">
        <v>3891</v>
      </c>
      <c r="G3332">
        <v>2023</v>
      </c>
      <c r="H3332" t="s">
        <v>612</v>
      </c>
      <c r="I3332" t="s">
        <v>58</v>
      </c>
      <c r="J3332">
        <v>999</v>
      </c>
      <c r="K3332">
        <v>325</v>
      </c>
      <c r="L3332">
        <f t="shared" si="770"/>
        <v>674</v>
      </c>
      <c r="M3332">
        <v>240</v>
      </c>
      <c r="N3332">
        <f t="shared" si="771"/>
        <v>434</v>
      </c>
    </row>
    <row r="3333" spans="1:14" x14ac:dyDescent="0.2">
      <c r="A3333" t="s">
        <v>4159</v>
      </c>
      <c r="B3333" s="1" t="s">
        <v>4100</v>
      </c>
      <c r="C3333" t="s">
        <v>14</v>
      </c>
      <c r="D3333" t="s">
        <v>448</v>
      </c>
      <c r="E3333">
        <v>8</v>
      </c>
      <c r="F3333" t="s">
        <v>3891</v>
      </c>
      <c r="G3333">
        <v>2023</v>
      </c>
      <c r="H3333" t="s">
        <v>170</v>
      </c>
      <c r="I3333" t="s">
        <v>171</v>
      </c>
      <c r="J3333">
        <v>899</v>
      </c>
      <c r="K3333">
        <v>295</v>
      </c>
      <c r="L3333">
        <f t="shared" si="770"/>
        <v>604</v>
      </c>
      <c r="M3333">
        <v>240</v>
      </c>
      <c r="N3333">
        <f t="shared" si="771"/>
        <v>364</v>
      </c>
    </row>
    <row r="3334" spans="1:14" x14ac:dyDescent="0.2">
      <c r="A3334" t="s">
        <v>4160</v>
      </c>
      <c r="B3334" s="1" t="s">
        <v>4100</v>
      </c>
      <c r="C3334" t="s">
        <v>14</v>
      </c>
      <c r="D3334" t="s">
        <v>445</v>
      </c>
      <c r="E3334">
        <v>8</v>
      </c>
      <c r="F3334" t="s">
        <v>3891</v>
      </c>
      <c r="G3334">
        <v>2023</v>
      </c>
      <c r="H3334" t="s">
        <v>1245</v>
      </c>
      <c r="I3334" t="s">
        <v>502</v>
      </c>
      <c r="J3334">
        <v>899</v>
      </c>
      <c r="K3334">
        <v>295</v>
      </c>
      <c r="L3334">
        <f t="shared" si="770"/>
        <v>604</v>
      </c>
      <c r="M3334">
        <v>240</v>
      </c>
      <c r="N3334">
        <f t="shared" si="771"/>
        <v>364</v>
      </c>
    </row>
    <row r="3335" spans="1:14" x14ac:dyDescent="0.2">
      <c r="A3335" t="s">
        <v>4160</v>
      </c>
      <c r="B3335" s="1" t="s">
        <v>4100</v>
      </c>
      <c r="C3335" t="s">
        <v>14</v>
      </c>
      <c r="D3335" t="s">
        <v>242</v>
      </c>
      <c r="E3335">
        <v>8</v>
      </c>
      <c r="F3335" t="s">
        <v>3891</v>
      </c>
      <c r="G3335">
        <v>2023</v>
      </c>
      <c r="H3335" t="s">
        <v>1245</v>
      </c>
      <c r="I3335" t="s">
        <v>502</v>
      </c>
      <c r="J3335">
        <v>899</v>
      </c>
      <c r="K3335">
        <v>295</v>
      </c>
      <c r="L3335">
        <f t="shared" si="770"/>
        <v>604</v>
      </c>
      <c r="M3335">
        <v>240</v>
      </c>
      <c r="N3335">
        <f t="shared" si="771"/>
        <v>364</v>
      </c>
    </row>
    <row r="3336" spans="1:14" x14ac:dyDescent="0.2">
      <c r="A3336" t="s">
        <v>4162</v>
      </c>
      <c r="B3336" s="1" t="s">
        <v>4161</v>
      </c>
      <c r="C3336" t="s">
        <v>43</v>
      </c>
      <c r="D3336" t="s">
        <v>242</v>
      </c>
      <c r="E3336">
        <v>9</v>
      </c>
      <c r="F3336" t="s">
        <v>3891</v>
      </c>
      <c r="G3336">
        <v>2023</v>
      </c>
      <c r="H3336" t="s">
        <v>4163</v>
      </c>
      <c r="I3336" t="s">
        <v>160</v>
      </c>
      <c r="J3336">
        <v>0</v>
      </c>
      <c r="K3336">
        <v>0</v>
      </c>
      <c r="L3336">
        <v>0</v>
      </c>
      <c r="M3336">
        <v>0</v>
      </c>
      <c r="N3336">
        <v>0</v>
      </c>
    </row>
    <row r="3337" spans="1:14" x14ac:dyDescent="0.2">
      <c r="A3337" t="s">
        <v>4164</v>
      </c>
      <c r="B3337" s="1" t="s">
        <v>4161</v>
      </c>
      <c r="C3337" t="s">
        <v>43</v>
      </c>
      <c r="D3337" t="s">
        <v>1508</v>
      </c>
      <c r="E3337">
        <v>9</v>
      </c>
      <c r="F3337" t="s">
        <v>3891</v>
      </c>
      <c r="G3337">
        <v>2023</v>
      </c>
      <c r="H3337" t="s">
        <v>170</v>
      </c>
      <c r="I3337" t="s">
        <v>171</v>
      </c>
      <c r="J3337">
        <v>0</v>
      </c>
      <c r="K3337">
        <v>0</v>
      </c>
      <c r="L3337">
        <v>0</v>
      </c>
      <c r="M3337">
        <v>0</v>
      </c>
      <c r="N3337">
        <v>0</v>
      </c>
    </row>
    <row r="3338" spans="1:14" x14ac:dyDescent="0.2">
      <c r="A3338" t="s">
        <v>4046</v>
      </c>
      <c r="B3338" s="1" t="s">
        <v>3978</v>
      </c>
      <c r="C3338" t="s">
        <v>106</v>
      </c>
      <c r="D3338" t="s">
        <v>379</v>
      </c>
      <c r="E3338">
        <v>4</v>
      </c>
      <c r="F3338" t="s">
        <v>3891</v>
      </c>
      <c r="G3338">
        <v>2023</v>
      </c>
      <c r="H3338" t="s">
        <v>215</v>
      </c>
      <c r="I3338" t="s">
        <v>135</v>
      </c>
      <c r="J3338">
        <v>-799</v>
      </c>
      <c r="K3338">
        <v>320</v>
      </c>
      <c r="L3338">
        <f t="shared" ref="L3338:L3339" si="772">J3338+K3338</f>
        <v>-479</v>
      </c>
      <c r="M3338">
        <v>240</v>
      </c>
      <c r="N3338">
        <f t="shared" ref="N3338:N3339" si="773">L3338+M3338</f>
        <v>-239</v>
      </c>
    </row>
    <row r="3339" spans="1:14" x14ac:dyDescent="0.2">
      <c r="A3339" t="s">
        <v>3940</v>
      </c>
      <c r="B3339" s="1" t="s">
        <v>3922</v>
      </c>
      <c r="C3339" t="s">
        <v>106</v>
      </c>
      <c r="D3339" t="s">
        <v>452</v>
      </c>
      <c r="E3339">
        <v>2</v>
      </c>
      <c r="F3339" t="s">
        <v>3891</v>
      </c>
      <c r="G3339">
        <v>2023</v>
      </c>
      <c r="H3339" t="s">
        <v>3941</v>
      </c>
      <c r="I3339" t="s">
        <v>135</v>
      </c>
      <c r="J3339">
        <v>-799</v>
      </c>
      <c r="K3339">
        <v>320</v>
      </c>
      <c r="L3339">
        <f t="shared" si="772"/>
        <v>-479</v>
      </c>
      <c r="M3339">
        <v>240</v>
      </c>
      <c r="N3339">
        <f t="shared" si="773"/>
        <v>-239</v>
      </c>
    </row>
    <row r="3340" spans="1:14" x14ac:dyDescent="0.2">
      <c r="A3340" t="s">
        <v>4165</v>
      </c>
      <c r="B3340" s="1" t="s">
        <v>4161</v>
      </c>
      <c r="C3340" t="s">
        <v>43</v>
      </c>
      <c r="D3340" t="s">
        <v>573</v>
      </c>
      <c r="E3340">
        <v>9</v>
      </c>
      <c r="F3340" t="s">
        <v>3891</v>
      </c>
      <c r="G3340">
        <v>2023</v>
      </c>
      <c r="H3340" t="s">
        <v>235</v>
      </c>
      <c r="I3340" t="s">
        <v>62</v>
      </c>
      <c r="J3340">
        <v>0</v>
      </c>
      <c r="K3340">
        <v>0</v>
      </c>
      <c r="L3340">
        <v>0</v>
      </c>
      <c r="M3340">
        <v>0</v>
      </c>
      <c r="N3340">
        <v>0</v>
      </c>
    </row>
    <row r="3341" spans="1:14" x14ac:dyDescent="0.2">
      <c r="A3341" t="s">
        <v>4166</v>
      </c>
      <c r="B3341" s="1" t="s">
        <v>4161</v>
      </c>
      <c r="C3341" t="s">
        <v>14</v>
      </c>
      <c r="D3341" t="s">
        <v>133</v>
      </c>
      <c r="E3341">
        <v>9</v>
      </c>
      <c r="F3341" t="s">
        <v>3891</v>
      </c>
      <c r="G3341">
        <v>2023</v>
      </c>
      <c r="H3341" t="s">
        <v>263</v>
      </c>
      <c r="I3341" t="s">
        <v>144</v>
      </c>
      <c r="J3341">
        <v>799</v>
      </c>
      <c r="K3341">
        <v>205</v>
      </c>
      <c r="L3341">
        <f t="shared" ref="L3341:L3347" si="774">J3341-K3341</f>
        <v>594</v>
      </c>
      <c r="M3341">
        <v>240</v>
      </c>
      <c r="N3341">
        <f t="shared" ref="N3341:N3347" si="775">L3341-M3341</f>
        <v>354</v>
      </c>
    </row>
    <row r="3342" spans="1:14" x14ac:dyDescent="0.2">
      <c r="A3342" t="s">
        <v>4162</v>
      </c>
      <c r="B3342" s="1" t="s">
        <v>4161</v>
      </c>
      <c r="C3342" t="s">
        <v>14</v>
      </c>
      <c r="D3342" t="s">
        <v>242</v>
      </c>
      <c r="E3342">
        <v>9</v>
      </c>
      <c r="F3342" t="s">
        <v>3891</v>
      </c>
      <c r="G3342">
        <v>2023</v>
      </c>
      <c r="H3342" t="s">
        <v>4163</v>
      </c>
      <c r="I3342" t="s">
        <v>160</v>
      </c>
      <c r="J3342">
        <v>899</v>
      </c>
      <c r="K3342">
        <v>295</v>
      </c>
      <c r="L3342">
        <f t="shared" si="774"/>
        <v>604</v>
      </c>
      <c r="M3342">
        <v>240</v>
      </c>
      <c r="N3342">
        <f t="shared" si="775"/>
        <v>364</v>
      </c>
    </row>
    <row r="3343" spans="1:14" x14ac:dyDescent="0.2">
      <c r="A3343" t="s">
        <v>4167</v>
      </c>
      <c r="B3343" s="1" t="s">
        <v>4161</v>
      </c>
      <c r="C3343" t="s">
        <v>14</v>
      </c>
      <c r="D3343" t="s">
        <v>4168</v>
      </c>
      <c r="E3343">
        <v>9</v>
      </c>
      <c r="F3343" t="s">
        <v>3891</v>
      </c>
      <c r="G3343">
        <v>2023</v>
      </c>
      <c r="H3343" t="s">
        <v>4169</v>
      </c>
      <c r="I3343" t="s">
        <v>122</v>
      </c>
      <c r="J3343">
        <v>799</v>
      </c>
      <c r="K3343">
        <v>205</v>
      </c>
      <c r="L3343">
        <f t="shared" si="774"/>
        <v>594</v>
      </c>
      <c r="M3343">
        <v>240</v>
      </c>
      <c r="N3343">
        <f t="shared" si="775"/>
        <v>354</v>
      </c>
    </row>
    <row r="3344" spans="1:14" x14ac:dyDescent="0.2">
      <c r="A3344" t="s">
        <v>4170</v>
      </c>
      <c r="B3344" s="1" t="s">
        <v>4161</v>
      </c>
      <c r="C3344" t="s">
        <v>14</v>
      </c>
      <c r="D3344" t="s">
        <v>840</v>
      </c>
      <c r="E3344">
        <v>9</v>
      </c>
      <c r="F3344" t="s">
        <v>3891</v>
      </c>
      <c r="G3344">
        <v>2023</v>
      </c>
      <c r="H3344" t="s">
        <v>170</v>
      </c>
      <c r="I3344" t="s">
        <v>171</v>
      </c>
      <c r="J3344">
        <v>999</v>
      </c>
      <c r="K3344">
        <v>325</v>
      </c>
      <c r="L3344">
        <f t="shared" si="774"/>
        <v>674</v>
      </c>
      <c r="M3344">
        <v>240</v>
      </c>
      <c r="N3344">
        <f t="shared" si="775"/>
        <v>434</v>
      </c>
    </row>
    <row r="3345" spans="1:14" x14ac:dyDescent="0.2">
      <c r="A3345" t="s">
        <v>4171</v>
      </c>
      <c r="B3345" s="1" t="s">
        <v>4161</v>
      </c>
      <c r="C3345" t="s">
        <v>14</v>
      </c>
      <c r="D3345" t="s">
        <v>504</v>
      </c>
      <c r="E3345">
        <v>9</v>
      </c>
      <c r="F3345" t="s">
        <v>3891</v>
      </c>
      <c r="G3345">
        <v>2023</v>
      </c>
      <c r="H3345" t="s">
        <v>4172</v>
      </c>
      <c r="I3345" t="s">
        <v>19</v>
      </c>
      <c r="J3345">
        <v>899</v>
      </c>
      <c r="K3345">
        <v>295</v>
      </c>
      <c r="L3345">
        <f t="shared" si="774"/>
        <v>604</v>
      </c>
      <c r="M3345">
        <v>240</v>
      </c>
      <c r="N3345">
        <f t="shared" si="775"/>
        <v>364</v>
      </c>
    </row>
    <row r="3346" spans="1:14" x14ac:dyDescent="0.2">
      <c r="A3346" t="s">
        <v>4173</v>
      </c>
      <c r="B3346" s="1" t="s">
        <v>4161</v>
      </c>
      <c r="C3346" t="s">
        <v>14</v>
      </c>
      <c r="D3346" t="s">
        <v>792</v>
      </c>
      <c r="E3346">
        <v>9</v>
      </c>
      <c r="F3346" t="s">
        <v>3891</v>
      </c>
      <c r="G3346">
        <v>2023</v>
      </c>
      <c r="H3346" t="s">
        <v>2114</v>
      </c>
      <c r="I3346" t="s">
        <v>85</v>
      </c>
      <c r="J3346">
        <v>849</v>
      </c>
      <c r="K3346">
        <v>250</v>
      </c>
      <c r="L3346">
        <f t="shared" si="774"/>
        <v>599</v>
      </c>
      <c r="M3346">
        <v>240</v>
      </c>
      <c r="N3346">
        <f t="shared" si="775"/>
        <v>359</v>
      </c>
    </row>
    <row r="3347" spans="1:14" x14ac:dyDescent="0.2">
      <c r="A3347" t="s">
        <v>4174</v>
      </c>
      <c r="B3347" s="1" t="s">
        <v>4161</v>
      </c>
      <c r="C3347" t="s">
        <v>14</v>
      </c>
      <c r="D3347" t="s">
        <v>81</v>
      </c>
      <c r="E3347">
        <v>9</v>
      </c>
      <c r="F3347" t="s">
        <v>3891</v>
      </c>
      <c r="G3347">
        <v>2023</v>
      </c>
      <c r="H3347" t="s">
        <v>4175</v>
      </c>
      <c r="I3347" t="s">
        <v>4176</v>
      </c>
      <c r="J3347">
        <v>849</v>
      </c>
      <c r="K3347">
        <v>250</v>
      </c>
      <c r="L3347">
        <f t="shared" si="774"/>
        <v>599</v>
      </c>
      <c r="M3347">
        <v>240</v>
      </c>
      <c r="N3347">
        <f t="shared" si="775"/>
        <v>359</v>
      </c>
    </row>
    <row r="3348" spans="1:14" x14ac:dyDescent="0.2">
      <c r="A3348" t="s">
        <v>3986</v>
      </c>
      <c r="B3348" s="1" t="s">
        <v>3935</v>
      </c>
      <c r="C3348" t="s">
        <v>106</v>
      </c>
      <c r="D3348" t="s">
        <v>1354</v>
      </c>
      <c r="E3348">
        <v>3</v>
      </c>
      <c r="F3348" t="s">
        <v>3891</v>
      </c>
      <c r="G3348">
        <v>2023</v>
      </c>
      <c r="H3348" t="s">
        <v>170</v>
      </c>
      <c r="I3348" t="s">
        <v>171</v>
      </c>
      <c r="J3348">
        <v>-799</v>
      </c>
      <c r="K3348">
        <v>320</v>
      </c>
      <c r="L3348">
        <f>J3348+K3348</f>
        <v>-479</v>
      </c>
      <c r="M3348">
        <v>240</v>
      </c>
      <c r="N3348">
        <f>L3348+M3348</f>
        <v>-239</v>
      </c>
    </row>
    <row r="3349" spans="1:14" x14ac:dyDescent="0.2">
      <c r="A3349" t="s">
        <v>4177</v>
      </c>
      <c r="B3349" s="1" t="s">
        <v>4161</v>
      </c>
      <c r="C3349" t="s">
        <v>14</v>
      </c>
      <c r="D3349" t="s">
        <v>812</v>
      </c>
      <c r="E3349">
        <v>9</v>
      </c>
      <c r="F3349" t="s">
        <v>3891</v>
      </c>
      <c r="G3349">
        <v>2023</v>
      </c>
      <c r="H3349" t="s">
        <v>4178</v>
      </c>
      <c r="I3349" t="s">
        <v>32</v>
      </c>
      <c r="J3349">
        <v>999</v>
      </c>
      <c r="K3349">
        <v>325</v>
      </c>
      <c r="L3349">
        <f t="shared" ref="L3349:L3356" si="776">J3349-K3349</f>
        <v>674</v>
      </c>
      <c r="M3349">
        <v>240</v>
      </c>
      <c r="N3349">
        <f t="shared" ref="N3349:N3356" si="777">L3349-M3349</f>
        <v>434</v>
      </c>
    </row>
    <row r="3350" spans="1:14" x14ac:dyDescent="0.2">
      <c r="A3350" t="s">
        <v>4179</v>
      </c>
      <c r="B3350" s="1" t="s">
        <v>4161</v>
      </c>
      <c r="C3350" t="s">
        <v>14</v>
      </c>
      <c r="D3350" t="s">
        <v>893</v>
      </c>
      <c r="E3350">
        <v>9</v>
      </c>
      <c r="F3350" t="s">
        <v>3891</v>
      </c>
      <c r="G3350">
        <v>2023</v>
      </c>
      <c r="H3350" t="s">
        <v>91</v>
      </c>
      <c r="I3350" t="s">
        <v>23</v>
      </c>
      <c r="J3350">
        <v>849</v>
      </c>
      <c r="K3350">
        <v>250</v>
      </c>
      <c r="L3350">
        <f t="shared" si="776"/>
        <v>599</v>
      </c>
      <c r="M3350">
        <v>240</v>
      </c>
      <c r="N3350">
        <f t="shared" si="777"/>
        <v>359</v>
      </c>
    </row>
    <row r="3351" spans="1:14" x14ac:dyDescent="0.2">
      <c r="A3351" t="s">
        <v>4180</v>
      </c>
      <c r="B3351" s="1" t="s">
        <v>4161</v>
      </c>
      <c r="C3351" t="s">
        <v>14</v>
      </c>
      <c r="D3351" t="s">
        <v>923</v>
      </c>
      <c r="E3351">
        <v>9</v>
      </c>
      <c r="F3351" t="s">
        <v>3891</v>
      </c>
      <c r="G3351">
        <v>2023</v>
      </c>
      <c r="H3351" t="s">
        <v>579</v>
      </c>
      <c r="I3351" t="s">
        <v>62</v>
      </c>
      <c r="J3351">
        <v>849</v>
      </c>
      <c r="K3351">
        <v>250</v>
      </c>
      <c r="L3351">
        <f t="shared" si="776"/>
        <v>599</v>
      </c>
      <c r="M3351">
        <v>240</v>
      </c>
      <c r="N3351">
        <f t="shared" si="777"/>
        <v>359</v>
      </c>
    </row>
    <row r="3352" spans="1:14" x14ac:dyDescent="0.2">
      <c r="A3352" t="s">
        <v>4181</v>
      </c>
      <c r="B3352" s="1" t="s">
        <v>4161</v>
      </c>
      <c r="C3352" t="s">
        <v>14</v>
      </c>
      <c r="D3352" t="s">
        <v>901</v>
      </c>
      <c r="E3352">
        <v>9</v>
      </c>
      <c r="F3352" t="s">
        <v>3891</v>
      </c>
      <c r="G3352">
        <v>2023</v>
      </c>
      <c r="H3352" t="s">
        <v>1540</v>
      </c>
      <c r="I3352" t="s">
        <v>122</v>
      </c>
      <c r="J3352">
        <v>799</v>
      </c>
      <c r="K3352">
        <v>205</v>
      </c>
      <c r="L3352">
        <f t="shared" si="776"/>
        <v>594</v>
      </c>
      <c r="M3352">
        <v>240</v>
      </c>
      <c r="N3352">
        <f t="shared" si="777"/>
        <v>354</v>
      </c>
    </row>
    <row r="3353" spans="1:14" x14ac:dyDescent="0.2">
      <c r="A3353" t="s">
        <v>4182</v>
      </c>
      <c r="B3353" s="1" t="s">
        <v>4161</v>
      </c>
      <c r="C3353" t="s">
        <v>14</v>
      </c>
      <c r="D3353" t="s">
        <v>81</v>
      </c>
      <c r="E3353">
        <v>9</v>
      </c>
      <c r="F3353" t="s">
        <v>3891</v>
      </c>
      <c r="G3353">
        <v>2023</v>
      </c>
      <c r="H3353" t="s">
        <v>157</v>
      </c>
      <c r="I3353" t="s">
        <v>97</v>
      </c>
      <c r="J3353">
        <v>849</v>
      </c>
      <c r="K3353">
        <v>250</v>
      </c>
      <c r="L3353">
        <f t="shared" si="776"/>
        <v>599</v>
      </c>
      <c r="M3353">
        <v>240</v>
      </c>
      <c r="N3353">
        <f t="shared" si="777"/>
        <v>359</v>
      </c>
    </row>
    <row r="3354" spans="1:14" x14ac:dyDescent="0.2">
      <c r="A3354" t="s">
        <v>4183</v>
      </c>
      <c r="B3354" s="1" t="s">
        <v>4161</v>
      </c>
      <c r="C3354" t="s">
        <v>14</v>
      </c>
      <c r="D3354" t="s">
        <v>1105</v>
      </c>
      <c r="E3354">
        <v>9</v>
      </c>
      <c r="F3354" t="s">
        <v>3891</v>
      </c>
      <c r="G3354">
        <v>2023</v>
      </c>
      <c r="H3354" t="s">
        <v>4184</v>
      </c>
      <c r="I3354" t="s">
        <v>28</v>
      </c>
      <c r="J3354">
        <v>849</v>
      </c>
      <c r="K3354">
        <v>250</v>
      </c>
      <c r="L3354">
        <f t="shared" si="776"/>
        <v>599</v>
      </c>
      <c r="M3354">
        <v>240</v>
      </c>
      <c r="N3354">
        <f t="shared" si="777"/>
        <v>359</v>
      </c>
    </row>
    <row r="3355" spans="1:14" x14ac:dyDescent="0.2">
      <c r="A3355" t="s">
        <v>4185</v>
      </c>
      <c r="B3355" s="1" t="s">
        <v>4161</v>
      </c>
      <c r="C3355" t="s">
        <v>14</v>
      </c>
      <c r="D3355" t="s">
        <v>504</v>
      </c>
      <c r="E3355">
        <v>9</v>
      </c>
      <c r="F3355" t="s">
        <v>3891</v>
      </c>
      <c r="G3355">
        <v>2023</v>
      </c>
      <c r="H3355" t="s">
        <v>4136</v>
      </c>
      <c r="I3355" t="s">
        <v>85</v>
      </c>
      <c r="J3355">
        <v>899</v>
      </c>
      <c r="K3355">
        <v>295</v>
      </c>
      <c r="L3355">
        <f t="shared" si="776"/>
        <v>604</v>
      </c>
      <c r="M3355">
        <v>240</v>
      </c>
      <c r="N3355">
        <f t="shared" si="777"/>
        <v>364</v>
      </c>
    </row>
    <row r="3356" spans="1:14" x14ac:dyDescent="0.2">
      <c r="A3356" t="s">
        <v>4186</v>
      </c>
      <c r="B3356" s="1" t="s">
        <v>4161</v>
      </c>
      <c r="C3356" t="s">
        <v>14</v>
      </c>
      <c r="D3356" t="s">
        <v>573</v>
      </c>
      <c r="E3356">
        <v>9</v>
      </c>
      <c r="F3356" t="s">
        <v>3891</v>
      </c>
      <c r="G3356">
        <v>2023</v>
      </c>
      <c r="H3356" t="s">
        <v>4178</v>
      </c>
      <c r="I3356" t="s">
        <v>32</v>
      </c>
      <c r="J3356">
        <v>899</v>
      </c>
      <c r="K3356">
        <v>295</v>
      </c>
      <c r="L3356">
        <f t="shared" si="776"/>
        <v>604</v>
      </c>
      <c r="M3356">
        <v>240</v>
      </c>
      <c r="N3356">
        <f t="shared" si="777"/>
        <v>364</v>
      </c>
    </row>
    <row r="3357" spans="1:14" x14ac:dyDescent="0.2">
      <c r="A3357" t="s">
        <v>4084</v>
      </c>
      <c r="B3357" s="1" t="s">
        <v>4008</v>
      </c>
      <c r="C3357" t="s">
        <v>106</v>
      </c>
      <c r="D3357" t="s">
        <v>284</v>
      </c>
      <c r="E3357">
        <v>6</v>
      </c>
      <c r="F3357" t="s">
        <v>3891</v>
      </c>
      <c r="G3357">
        <v>2023</v>
      </c>
      <c r="H3357" t="s">
        <v>170</v>
      </c>
      <c r="I3357" t="s">
        <v>171</v>
      </c>
      <c r="J3357">
        <v>-899</v>
      </c>
      <c r="K3357">
        <v>375</v>
      </c>
      <c r="L3357">
        <f>J3357+K3357</f>
        <v>-524</v>
      </c>
      <c r="M3357">
        <v>240</v>
      </c>
      <c r="N3357">
        <f>L3357+M3357</f>
        <v>-284</v>
      </c>
    </row>
    <row r="3358" spans="1:14" x14ac:dyDescent="0.2">
      <c r="A3358" t="s">
        <v>4188</v>
      </c>
      <c r="B3358" s="1" t="s">
        <v>4187</v>
      </c>
      <c r="C3358" t="s">
        <v>43</v>
      </c>
      <c r="D3358" t="s">
        <v>901</v>
      </c>
      <c r="E3358">
        <v>10</v>
      </c>
      <c r="F3358" t="s">
        <v>3891</v>
      </c>
      <c r="G3358">
        <v>2023</v>
      </c>
      <c r="H3358" t="s">
        <v>4189</v>
      </c>
      <c r="I3358" t="s">
        <v>58</v>
      </c>
      <c r="J3358">
        <v>0</v>
      </c>
      <c r="K3358">
        <v>0</v>
      </c>
      <c r="L3358">
        <v>0</v>
      </c>
      <c r="M3358">
        <v>0</v>
      </c>
      <c r="N3358">
        <v>0</v>
      </c>
    </row>
    <row r="3359" spans="1:14" x14ac:dyDescent="0.2">
      <c r="A3359" t="s">
        <v>4190</v>
      </c>
      <c r="B3359" s="1" t="s">
        <v>4187</v>
      </c>
      <c r="C3359" t="s">
        <v>43</v>
      </c>
      <c r="D3359" t="s">
        <v>1370</v>
      </c>
      <c r="E3359">
        <v>10</v>
      </c>
      <c r="F3359" t="s">
        <v>3891</v>
      </c>
      <c r="G3359">
        <v>2023</v>
      </c>
      <c r="H3359" t="s">
        <v>170</v>
      </c>
      <c r="I3359" t="s">
        <v>171</v>
      </c>
      <c r="J3359">
        <v>0</v>
      </c>
      <c r="K3359">
        <v>0</v>
      </c>
      <c r="L3359">
        <v>0</v>
      </c>
      <c r="M3359">
        <v>0</v>
      </c>
      <c r="N3359">
        <v>0</v>
      </c>
    </row>
    <row r="3360" spans="1:14" x14ac:dyDescent="0.2">
      <c r="A3360" t="s">
        <v>3985</v>
      </c>
      <c r="B3360" s="1" t="s">
        <v>3935</v>
      </c>
      <c r="C3360" t="s">
        <v>106</v>
      </c>
      <c r="D3360" t="s">
        <v>45</v>
      </c>
      <c r="E3360">
        <v>3</v>
      </c>
      <c r="F3360" t="s">
        <v>3891</v>
      </c>
      <c r="G3360">
        <v>2023</v>
      </c>
      <c r="H3360" t="s">
        <v>796</v>
      </c>
      <c r="I3360" t="s">
        <v>58</v>
      </c>
      <c r="J3360">
        <v>-899</v>
      </c>
      <c r="K3360">
        <v>375</v>
      </c>
      <c r="L3360">
        <f>J3360+K3360</f>
        <v>-524</v>
      </c>
      <c r="M3360">
        <v>240</v>
      </c>
      <c r="N3360">
        <f>L3360+M3360</f>
        <v>-284</v>
      </c>
    </row>
    <row r="3361" spans="1:14" x14ac:dyDescent="0.2">
      <c r="A3361" t="s">
        <v>4191</v>
      </c>
      <c r="B3361" s="1" t="s">
        <v>4187</v>
      </c>
      <c r="C3361" t="s">
        <v>20</v>
      </c>
      <c r="D3361" t="s">
        <v>573</v>
      </c>
      <c r="E3361">
        <v>10</v>
      </c>
      <c r="F3361" t="s">
        <v>3891</v>
      </c>
      <c r="G3361">
        <v>2023</v>
      </c>
      <c r="H3361" t="s">
        <v>249</v>
      </c>
      <c r="I3361" t="s">
        <v>250</v>
      </c>
      <c r="J3361">
        <v>0</v>
      </c>
      <c r="K3361">
        <v>0</v>
      </c>
      <c r="L3361">
        <v>0</v>
      </c>
      <c r="M3361">
        <v>0</v>
      </c>
      <c r="N3361">
        <v>0</v>
      </c>
    </row>
    <row r="3362" spans="1:14" x14ac:dyDescent="0.2">
      <c r="A3362" t="s">
        <v>4188</v>
      </c>
      <c r="B3362" s="1" t="s">
        <v>4187</v>
      </c>
      <c r="C3362" t="s">
        <v>14</v>
      </c>
      <c r="D3362" t="s">
        <v>901</v>
      </c>
      <c r="E3362">
        <v>10</v>
      </c>
      <c r="F3362" t="s">
        <v>3891</v>
      </c>
      <c r="G3362">
        <v>2023</v>
      </c>
      <c r="H3362" t="s">
        <v>4189</v>
      </c>
      <c r="I3362" t="s">
        <v>58</v>
      </c>
      <c r="J3362">
        <v>799</v>
      </c>
      <c r="K3362">
        <v>205</v>
      </c>
      <c r="L3362">
        <f>J3362-K3362</f>
        <v>594</v>
      </c>
      <c r="M3362">
        <v>240</v>
      </c>
      <c r="N3362">
        <f>L3362-M3362</f>
        <v>354</v>
      </c>
    </row>
    <row r="3363" spans="1:14" x14ac:dyDescent="0.2">
      <c r="A3363" t="s">
        <v>4192</v>
      </c>
      <c r="B3363" s="1" t="s">
        <v>4187</v>
      </c>
      <c r="C3363" t="s">
        <v>20</v>
      </c>
      <c r="D3363" t="s">
        <v>1780</v>
      </c>
      <c r="E3363">
        <v>10</v>
      </c>
      <c r="F3363" t="s">
        <v>3891</v>
      </c>
      <c r="G3363">
        <v>2023</v>
      </c>
      <c r="H3363" t="s">
        <v>91</v>
      </c>
      <c r="I3363" t="s">
        <v>23</v>
      </c>
      <c r="J3363">
        <v>0</v>
      </c>
      <c r="K3363">
        <v>0</v>
      </c>
      <c r="L3363">
        <v>0</v>
      </c>
      <c r="M3363">
        <v>0</v>
      </c>
      <c r="N3363">
        <v>0</v>
      </c>
    </row>
    <row r="3364" spans="1:14" x14ac:dyDescent="0.2">
      <c r="A3364" t="s">
        <v>4193</v>
      </c>
      <c r="B3364" s="1" t="s">
        <v>4187</v>
      </c>
      <c r="C3364" t="s">
        <v>14</v>
      </c>
      <c r="D3364" t="s">
        <v>1015</v>
      </c>
      <c r="E3364">
        <v>10</v>
      </c>
      <c r="F3364" t="s">
        <v>3891</v>
      </c>
      <c r="G3364">
        <v>2023</v>
      </c>
      <c r="H3364" t="s">
        <v>4194</v>
      </c>
      <c r="I3364" t="s">
        <v>62</v>
      </c>
      <c r="J3364">
        <v>849</v>
      </c>
      <c r="K3364">
        <v>250</v>
      </c>
      <c r="L3364">
        <f t="shared" ref="L3364:L3383" si="778">J3364-K3364</f>
        <v>599</v>
      </c>
      <c r="M3364">
        <v>240</v>
      </c>
      <c r="N3364">
        <f t="shared" ref="N3364:N3383" si="779">L3364-M3364</f>
        <v>359</v>
      </c>
    </row>
    <row r="3365" spans="1:14" x14ac:dyDescent="0.2">
      <c r="A3365" t="s">
        <v>4195</v>
      </c>
      <c r="B3365" s="1" t="s">
        <v>4187</v>
      </c>
      <c r="C3365" t="s">
        <v>14</v>
      </c>
      <c r="D3365" t="s">
        <v>4196</v>
      </c>
      <c r="E3365">
        <v>10</v>
      </c>
      <c r="F3365" t="s">
        <v>3891</v>
      </c>
      <c r="G3365">
        <v>2023</v>
      </c>
      <c r="H3365" t="s">
        <v>4197</v>
      </c>
      <c r="I3365" t="s">
        <v>23</v>
      </c>
      <c r="J3365">
        <v>799</v>
      </c>
      <c r="K3365">
        <v>205</v>
      </c>
      <c r="L3365">
        <f t="shared" si="778"/>
        <v>594</v>
      </c>
      <c r="M3365">
        <v>240</v>
      </c>
      <c r="N3365">
        <f t="shared" si="779"/>
        <v>354</v>
      </c>
    </row>
    <row r="3366" spans="1:14" x14ac:dyDescent="0.2">
      <c r="A3366" t="s">
        <v>4198</v>
      </c>
      <c r="B3366" s="1" t="s">
        <v>4187</v>
      </c>
      <c r="C3366" t="s">
        <v>14</v>
      </c>
      <c r="D3366" t="s">
        <v>954</v>
      </c>
      <c r="E3366">
        <v>10</v>
      </c>
      <c r="F3366" t="s">
        <v>3891</v>
      </c>
      <c r="G3366">
        <v>2023</v>
      </c>
      <c r="H3366" t="s">
        <v>4199</v>
      </c>
      <c r="I3366" t="s">
        <v>58</v>
      </c>
      <c r="J3366">
        <v>799</v>
      </c>
      <c r="K3366">
        <v>205</v>
      </c>
      <c r="L3366">
        <f t="shared" si="778"/>
        <v>594</v>
      </c>
      <c r="M3366">
        <v>240</v>
      </c>
      <c r="N3366">
        <f t="shared" si="779"/>
        <v>354</v>
      </c>
    </row>
    <row r="3367" spans="1:14" x14ac:dyDescent="0.2">
      <c r="A3367" t="s">
        <v>4200</v>
      </c>
      <c r="B3367" s="1" t="s">
        <v>4187</v>
      </c>
      <c r="C3367" t="s">
        <v>14</v>
      </c>
      <c r="D3367" t="s">
        <v>169</v>
      </c>
      <c r="E3367">
        <v>10</v>
      </c>
      <c r="F3367" t="s">
        <v>3891</v>
      </c>
      <c r="G3367">
        <v>2023</v>
      </c>
      <c r="H3367" t="s">
        <v>4201</v>
      </c>
      <c r="I3367" t="s">
        <v>62</v>
      </c>
      <c r="J3367">
        <v>799</v>
      </c>
      <c r="K3367">
        <v>205</v>
      </c>
      <c r="L3367">
        <f t="shared" si="778"/>
        <v>594</v>
      </c>
      <c r="M3367">
        <v>240</v>
      </c>
      <c r="N3367">
        <f t="shared" si="779"/>
        <v>354</v>
      </c>
    </row>
    <row r="3368" spans="1:14" x14ac:dyDescent="0.2">
      <c r="A3368" t="s">
        <v>4202</v>
      </c>
      <c r="B3368" s="1" t="s">
        <v>4187</v>
      </c>
      <c r="C3368" t="s">
        <v>14</v>
      </c>
      <c r="D3368" t="s">
        <v>954</v>
      </c>
      <c r="E3368">
        <v>10</v>
      </c>
      <c r="F3368" t="s">
        <v>3891</v>
      </c>
      <c r="G3368">
        <v>2023</v>
      </c>
      <c r="H3368" t="s">
        <v>309</v>
      </c>
      <c r="I3368" t="s">
        <v>212</v>
      </c>
      <c r="J3368">
        <v>799</v>
      </c>
      <c r="K3368">
        <v>205</v>
      </c>
      <c r="L3368">
        <f t="shared" si="778"/>
        <v>594</v>
      </c>
      <c r="M3368">
        <v>240</v>
      </c>
      <c r="N3368">
        <f t="shared" si="779"/>
        <v>354</v>
      </c>
    </row>
    <row r="3369" spans="1:14" x14ac:dyDescent="0.2">
      <c r="A3369" t="s">
        <v>4203</v>
      </c>
      <c r="B3369" s="1" t="s">
        <v>4187</v>
      </c>
      <c r="C3369" t="s">
        <v>14</v>
      </c>
      <c r="D3369" t="s">
        <v>242</v>
      </c>
      <c r="E3369">
        <v>10</v>
      </c>
      <c r="F3369" t="s">
        <v>3891</v>
      </c>
      <c r="G3369">
        <v>2023</v>
      </c>
      <c r="H3369" t="s">
        <v>170</v>
      </c>
      <c r="I3369" t="s">
        <v>171</v>
      </c>
      <c r="J3369">
        <v>899</v>
      </c>
      <c r="K3369">
        <v>295</v>
      </c>
      <c r="L3369">
        <f t="shared" si="778"/>
        <v>604</v>
      </c>
      <c r="M3369">
        <v>240</v>
      </c>
      <c r="N3369">
        <f t="shared" si="779"/>
        <v>364</v>
      </c>
    </row>
    <row r="3370" spans="1:14" x14ac:dyDescent="0.2">
      <c r="A3370" t="s">
        <v>4204</v>
      </c>
      <c r="B3370" s="1" t="s">
        <v>4187</v>
      </c>
      <c r="C3370" t="s">
        <v>14</v>
      </c>
      <c r="D3370" t="s">
        <v>1508</v>
      </c>
      <c r="E3370">
        <v>10</v>
      </c>
      <c r="F3370" t="s">
        <v>3891</v>
      </c>
      <c r="G3370">
        <v>2023</v>
      </c>
      <c r="H3370" t="s">
        <v>1225</v>
      </c>
      <c r="I3370" t="s">
        <v>85</v>
      </c>
      <c r="J3370">
        <v>999</v>
      </c>
      <c r="K3370">
        <v>325</v>
      </c>
      <c r="L3370">
        <f t="shared" si="778"/>
        <v>674</v>
      </c>
      <c r="M3370">
        <v>240</v>
      </c>
      <c r="N3370">
        <f t="shared" si="779"/>
        <v>434</v>
      </c>
    </row>
    <row r="3371" spans="1:14" x14ac:dyDescent="0.2">
      <c r="A3371" t="s">
        <v>4205</v>
      </c>
      <c r="B3371" s="1" t="s">
        <v>4187</v>
      </c>
      <c r="C3371" t="s">
        <v>14</v>
      </c>
      <c r="D3371" t="s">
        <v>1144</v>
      </c>
      <c r="E3371">
        <v>10</v>
      </c>
      <c r="F3371" t="s">
        <v>3891</v>
      </c>
      <c r="G3371">
        <v>2023</v>
      </c>
      <c r="H3371" t="s">
        <v>4206</v>
      </c>
      <c r="I3371" t="s">
        <v>257</v>
      </c>
      <c r="J3371">
        <v>799</v>
      </c>
      <c r="K3371">
        <v>205</v>
      </c>
      <c r="L3371">
        <f t="shared" si="778"/>
        <v>594</v>
      </c>
      <c r="M3371">
        <v>240</v>
      </c>
      <c r="N3371">
        <f t="shared" si="779"/>
        <v>354</v>
      </c>
    </row>
    <row r="3372" spans="1:14" x14ac:dyDescent="0.2">
      <c r="A3372" t="s">
        <v>4207</v>
      </c>
      <c r="B3372" s="1" t="s">
        <v>4187</v>
      </c>
      <c r="C3372" t="s">
        <v>14</v>
      </c>
      <c r="D3372" t="s">
        <v>117</v>
      </c>
      <c r="E3372">
        <v>10</v>
      </c>
      <c r="F3372" t="s">
        <v>3891</v>
      </c>
      <c r="G3372">
        <v>2023</v>
      </c>
      <c r="H3372" t="s">
        <v>4208</v>
      </c>
      <c r="I3372" t="s">
        <v>122</v>
      </c>
      <c r="J3372">
        <v>899</v>
      </c>
      <c r="K3372">
        <v>295</v>
      </c>
      <c r="L3372">
        <f t="shared" si="778"/>
        <v>604</v>
      </c>
      <c r="M3372">
        <v>240</v>
      </c>
      <c r="N3372">
        <f t="shared" si="779"/>
        <v>364</v>
      </c>
    </row>
    <row r="3373" spans="1:14" x14ac:dyDescent="0.2">
      <c r="A3373" t="s">
        <v>4207</v>
      </c>
      <c r="B3373" s="1" t="s">
        <v>4187</v>
      </c>
      <c r="C3373" t="s">
        <v>14</v>
      </c>
      <c r="D3373" t="s">
        <v>477</v>
      </c>
      <c r="E3373">
        <v>10</v>
      </c>
      <c r="F3373" t="s">
        <v>3891</v>
      </c>
      <c r="G3373">
        <v>2023</v>
      </c>
      <c r="H3373" t="s">
        <v>4208</v>
      </c>
      <c r="I3373" t="s">
        <v>122</v>
      </c>
      <c r="J3373">
        <v>899</v>
      </c>
      <c r="K3373">
        <v>295</v>
      </c>
      <c r="L3373">
        <f t="shared" si="778"/>
        <v>604</v>
      </c>
      <c r="M3373">
        <v>240</v>
      </c>
      <c r="N3373">
        <f t="shared" si="779"/>
        <v>364</v>
      </c>
    </row>
    <row r="3374" spans="1:14" x14ac:dyDescent="0.2">
      <c r="A3374" t="s">
        <v>4209</v>
      </c>
      <c r="B3374" s="1" t="s">
        <v>4187</v>
      </c>
      <c r="C3374" t="s">
        <v>14</v>
      </c>
      <c r="D3374" t="s">
        <v>133</v>
      </c>
      <c r="E3374">
        <v>10</v>
      </c>
      <c r="F3374" t="s">
        <v>3891</v>
      </c>
      <c r="G3374">
        <v>2023</v>
      </c>
      <c r="H3374" t="s">
        <v>4210</v>
      </c>
      <c r="I3374" t="s">
        <v>23</v>
      </c>
      <c r="J3374">
        <v>799</v>
      </c>
      <c r="K3374">
        <v>205</v>
      </c>
      <c r="L3374">
        <f t="shared" si="778"/>
        <v>594</v>
      </c>
      <c r="M3374">
        <v>240</v>
      </c>
      <c r="N3374">
        <f t="shared" si="779"/>
        <v>354</v>
      </c>
    </row>
    <row r="3375" spans="1:14" x14ac:dyDescent="0.2">
      <c r="A3375" t="s">
        <v>4211</v>
      </c>
      <c r="B3375" s="1" t="s">
        <v>4187</v>
      </c>
      <c r="C3375" t="s">
        <v>14</v>
      </c>
      <c r="D3375" t="s">
        <v>133</v>
      </c>
      <c r="E3375">
        <v>10</v>
      </c>
      <c r="F3375" t="s">
        <v>3891</v>
      </c>
      <c r="G3375">
        <v>2023</v>
      </c>
      <c r="H3375" t="s">
        <v>4212</v>
      </c>
      <c r="I3375" t="s">
        <v>19</v>
      </c>
      <c r="J3375">
        <v>799</v>
      </c>
      <c r="K3375">
        <v>205</v>
      </c>
      <c r="L3375">
        <f t="shared" si="778"/>
        <v>594</v>
      </c>
      <c r="M3375">
        <v>240</v>
      </c>
      <c r="N3375">
        <f t="shared" si="779"/>
        <v>354</v>
      </c>
    </row>
    <row r="3376" spans="1:14" x14ac:dyDescent="0.2">
      <c r="A3376" t="s">
        <v>4213</v>
      </c>
      <c r="B3376" s="1" t="s">
        <v>4187</v>
      </c>
      <c r="C3376" t="s">
        <v>14</v>
      </c>
      <c r="D3376" t="s">
        <v>1508</v>
      </c>
      <c r="E3376">
        <v>10</v>
      </c>
      <c r="F3376" t="s">
        <v>3891</v>
      </c>
      <c r="G3376">
        <v>2023</v>
      </c>
      <c r="H3376" t="s">
        <v>4214</v>
      </c>
      <c r="I3376" t="s">
        <v>32</v>
      </c>
      <c r="J3376">
        <v>999</v>
      </c>
      <c r="K3376">
        <v>325</v>
      </c>
      <c r="L3376">
        <f t="shared" si="778"/>
        <v>674</v>
      </c>
      <c r="M3376">
        <v>240</v>
      </c>
      <c r="N3376">
        <f t="shared" si="779"/>
        <v>434</v>
      </c>
    </row>
    <row r="3377" spans="1:14" x14ac:dyDescent="0.2">
      <c r="A3377" t="s">
        <v>4215</v>
      </c>
      <c r="B3377" s="1" t="s">
        <v>4187</v>
      </c>
      <c r="C3377" t="s">
        <v>14</v>
      </c>
      <c r="D3377" t="s">
        <v>448</v>
      </c>
      <c r="E3377">
        <v>10</v>
      </c>
      <c r="F3377" t="s">
        <v>3891</v>
      </c>
      <c r="G3377">
        <v>2023</v>
      </c>
      <c r="H3377" t="s">
        <v>71</v>
      </c>
      <c r="I3377" t="s">
        <v>62</v>
      </c>
      <c r="J3377">
        <v>899</v>
      </c>
      <c r="K3377">
        <v>295</v>
      </c>
      <c r="L3377">
        <f t="shared" si="778"/>
        <v>604</v>
      </c>
      <c r="M3377">
        <v>240</v>
      </c>
      <c r="N3377">
        <f t="shared" si="779"/>
        <v>364</v>
      </c>
    </row>
    <row r="3378" spans="1:14" x14ac:dyDescent="0.2">
      <c r="A3378" t="s">
        <v>4216</v>
      </c>
      <c r="B3378" s="1" t="s">
        <v>4187</v>
      </c>
      <c r="C3378" t="s">
        <v>14</v>
      </c>
      <c r="D3378" t="s">
        <v>893</v>
      </c>
      <c r="E3378">
        <v>10</v>
      </c>
      <c r="F3378" t="s">
        <v>3891</v>
      </c>
      <c r="G3378">
        <v>2023</v>
      </c>
      <c r="H3378" t="s">
        <v>272</v>
      </c>
      <c r="I3378" t="s">
        <v>23</v>
      </c>
      <c r="J3378">
        <v>849</v>
      </c>
      <c r="K3378">
        <v>250</v>
      </c>
      <c r="L3378">
        <f t="shared" si="778"/>
        <v>599</v>
      </c>
      <c r="M3378">
        <v>240</v>
      </c>
      <c r="N3378">
        <f t="shared" si="779"/>
        <v>359</v>
      </c>
    </row>
    <row r="3379" spans="1:14" x14ac:dyDescent="0.2">
      <c r="A3379" t="s">
        <v>4190</v>
      </c>
      <c r="B3379" s="1" t="s">
        <v>4187</v>
      </c>
      <c r="C3379" t="s">
        <v>14</v>
      </c>
      <c r="D3379" t="s">
        <v>1370</v>
      </c>
      <c r="E3379">
        <v>10</v>
      </c>
      <c r="F3379" t="s">
        <v>3891</v>
      </c>
      <c r="G3379">
        <v>2023</v>
      </c>
      <c r="H3379" t="s">
        <v>170</v>
      </c>
      <c r="I3379" t="s">
        <v>171</v>
      </c>
      <c r="J3379">
        <v>799</v>
      </c>
      <c r="K3379">
        <v>205</v>
      </c>
      <c r="L3379">
        <f t="shared" si="778"/>
        <v>594</v>
      </c>
      <c r="M3379">
        <v>240</v>
      </c>
      <c r="N3379">
        <f t="shared" si="779"/>
        <v>354</v>
      </c>
    </row>
    <row r="3380" spans="1:14" x14ac:dyDescent="0.2">
      <c r="A3380" t="s">
        <v>4217</v>
      </c>
      <c r="B3380" s="1" t="s">
        <v>4187</v>
      </c>
      <c r="C3380" t="s">
        <v>14</v>
      </c>
      <c r="D3380" t="s">
        <v>548</v>
      </c>
      <c r="E3380">
        <v>10</v>
      </c>
      <c r="F3380" t="s">
        <v>3891</v>
      </c>
      <c r="G3380">
        <v>2023</v>
      </c>
      <c r="H3380" t="s">
        <v>272</v>
      </c>
      <c r="I3380" t="s">
        <v>23</v>
      </c>
      <c r="J3380">
        <v>899</v>
      </c>
      <c r="K3380">
        <v>295</v>
      </c>
      <c r="L3380">
        <f t="shared" si="778"/>
        <v>604</v>
      </c>
      <c r="M3380">
        <v>240</v>
      </c>
      <c r="N3380">
        <f t="shared" si="779"/>
        <v>364</v>
      </c>
    </row>
    <row r="3381" spans="1:14" x14ac:dyDescent="0.2">
      <c r="A3381" t="s">
        <v>4218</v>
      </c>
      <c r="B3381" s="1" t="s">
        <v>4187</v>
      </c>
      <c r="C3381" t="s">
        <v>14</v>
      </c>
      <c r="D3381" t="s">
        <v>548</v>
      </c>
      <c r="E3381">
        <v>10</v>
      </c>
      <c r="F3381" t="s">
        <v>3891</v>
      </c>
      <c r="G3381">
        <v>2023</v>
      </c>
      <c r="H3381" t="s">
        <v>391</v>
      </c>
      <c r="I3381" t="s">
        <v>85</v>
      </c>
      <c r="J3381">
        <v>899</v>
      </c>
      <c r="K3381">
        <v>295</v>
      </c>
      <c r="L3381">
        <f t="shared" si="778"/>
        <v>604</v>
      </c>
      <c r="M3381">
        <v>240</v>
      </c>
      <c r="N3381">
        <f t="shared" si="779"/>
        <v>364</v>
      </c>
    </row>
    <row r="3382" spans="1:14" x14ac:dyDescent="0.2">
      <c r="A3382" t="s">
        <v>4219</v>
      </c>
      <c r="B3382" s="1" t="s">
        <v>4187</v>
      </c>
      <c r="C3382" t="s">
        <v>14</v>
      </c>
      <c r="D3382" t="s">
        <v>989</v>
      </c>
      <c r="E3382">
        <v>10</v>
      </c>
      <c r="F3382" t="s">
        <v>3891</v>
      </c>
      <c r="G3382">
        <v>2023</v>
      </c>
      <c r="H3382" t="s">
        <v>157</v>
      </c>
      <c r="I3382" t="s">
        <v>97</v>
      </c>
      <c r="J3382">
        <v>799</v>
      </c>
      <c r="K3382">
        <v>205</v>
      </c>
      <c r="L3382">
        <f t="shared" si="778"/>
        <v>594</v>
      </c>
      <c r="M3382">
        <v>240</v>
      </c>
      <c r="N3382">
        <f t="shared" si="779"/>
        <v>354</v>
      </c>
    </row>
    <row r="3383" spans="1:14" x14ac:dyDescent="0.2">
      <c r="A3383" t="s">
        <v>4220</v>
      </c>
      <c r="B3383" s="1" t="s">
        <v>4187</v>
      </c>
      <c r="C3383" t="s">
        <v>14</v>
      </c>
      <c r="D3383" t="s">
        <v>573</v>
      </c>
      <c r="E3383">
        <v>10</v>
      </c>
      <c r="F3383" t="s">
        <v>3891</v>
      </c>
      <c r="G3383">
        <v>2023</v>
      </c>
      <c r="H3383" t="s">
        <v>3287</v>
      </c>
      <c r="I3383" t="s">
        <v>250</v>
      </c>
      <c r="J3383">
        <v>899</v>
      </c>
      <c r="K3383">
        <v>295</v>
      </c>
      <c r="L3383">
        <f t="shared" si="778"/>
        <v>604</v>
      </c>
      <c r="M3383">
        <v>240</v>
      </c>
      <c r="N3383">
        <f t="shared" si="779"/>
        <v>364</v>
      </c>
    </row>
    <row r="3384" spans="1:14" x14ac:dyDescent="0.2">
      <c r="A3384" t="s">
        <v>4029</v>
      </c>
      <c r="B3384" s="1" t="s">
        <v>4010</v>
      </c>
      <c r="C3384" t="s">
        <v>106</v>
      </c>
      <c r="D3384" t="s">
        <v>1105</v>
      </c>
      <c r="E3384">
        <v>5</v>
      </c>
      <c r="F3384" t="s">
        <v>3891</v>
      </c>
      <c r="G3384">
        <v>2023</v>
      </c>
      <c r="H3384" t="s">
        <v>4016</v>
      </c>
      <c r="I3384" t="s">
        <v>144</v>
      </c>
      <c r="J3384">
        <v>-849</v>
      </c>
      <c r="K3384">
        <v>345</v>
      </c>
      <c r="L3384">
        <f t="shared" ref="L3384:L3385" si="780">J3384+K3384</f>
        <v>-504</v>
      </c>
      <c r="M3384">
        <v>240</v>
      </c>
      <c r="N3384">
        <f t="shared" ref="N3384:N3385" si="781">L3384+M3384</f>
        <v>-264</v>
      </c>
    </row>
    <row r="3385" spans="1:14" x14ac:dyDescent="0.2">
      <c r="A3385" t="s">
        <v>3952</v>
      </c>
      <c r="B3385" s="1" t="s">
        <v>3922</v>
      </c>
      <c r="C3385" t="s">
        <v>106</v>
      </c>
      <c r="D3385" t="s">
        <v>3953</v>
      </c>
      <c r="E3385">
        <v>2</v>
      </c>
      <c r="F3385" t="s">
        <v>3891</v>
      </c>
      <c r="G3385">
        <v>2023</v>
      </c>
      <c r="H3385" t="s">
        <v>3612</v>
      </c>
      <c r="I3385" t="s">
        <v>85</v>
      </c>
      <c r="J3385">
        <v>-849</v>
      </c>
      <c r="K3385">
        <v>345</v>
      </c>
      <c r="L3385">
        <f t="shared" si="780"/>
        <v>-504</v>
      </c>
      <c r="M3385">
        <v>240</v>
      </c>
      <c r="N3385">
        <f t="shared" si="781"/>
        <v>-264</v>
      </c>
    </row>
    <row r="3386" spans="1:14" x14ac:dyDescent="0.2">
      <c r="A3386" t="s">
        <v>4222</v>
      </c>
      <c r="B3386" s="1" t="s">
        <v>4221</v>
      </c>
      <c r="C3386" t="s">
        <v>43</v>
      </c>
      <c r="D3386" t="s">
        <v>1212</v>
      </c>
      <c r="E3386">
        <v>11</v>
      </c>
      <c r="F3386" t="s">
        <v>3891</v>
      </c>
      <c r="G3386">
        <v>2023</v>
      </c>
      <c r="H3386" t="s">
        <v>157</v>
      </c>
      <c r="I3386" t="s">
        <v>97</v>
      </c>
      <c r="J3386">
        <v>0</v>
      </c>
      <c r="K3386">
        <v>0</v>
      </c>
      <c r="L3386">
        <v>0</v>
      </c>
      <c r="M3386">
        <v>0</v>
      </c>
      <c r="N3386">
        <v>0</v>
      </c>
    </row>
    <row r="3387" spans="1:14" x14ac:dyDescent="0.2">
      <c r="A3387" t="s">
        <v>4223</v>
      </c>
      <c r="B3387" s="1" t="s">
        <v>4221</v>
      </c>
      <c r="C3387" t="s">
        <v>43</v>
      </c>
      <c r="D3387" t="s">
        <v>81</v>
      </c>
      <c r="E3387">
        <v>11</v>
      </c>
      <c r="F3387" t="s">
        <v>3891</v>
      </c>
      <c r="G3387">
        <v>2023</v>
      </c>
      <c r="H3387" t="s">
        <v>246</v>
      </c>
      <c r="I3387" t="s">
        <v>58</v>
      </c>
      <c r="J3387">
        <v>0</v>
      </c>
      <c r="K3387">
        <v>0</v>
      </c>
      <c r="L3387">
        <v>0</v>
      </c>
      <c r="M3387">
        <v>0</v>
      </c>
      <c r="N3387">
        <v>0</v>
      </c>
    </row>
    <row r="3388" spans="1:14" x14ac:dyDescent="0.2">
      <c r="A3388" t="s">
        <v>4067</v>
      </c>
      <c r="B3388" s="1" t="s">
        <v>4008</v>
      </c>
      <c r="C3388" t="s">
        <v>106</v>
      </c>
      <c r="D3388" t="s">
        <v>881</v>
      </c>
      <c r="E3388">
        <v>6</v>
      </c>
      <c r="F3388" t="s">
        <v>3891</v>
      </c>
      <c r="G3388">
        <v>2023</v>
      </c>
      <c r="H3388" t="s">
        <v>104</v>
      </c>
      <c r="I3388" t="s">
        <v>62</v>
      </c>
      <c r="J3388">
        <v>-799</v>
      </c>
      <c r="K3388">
        <v>320</v>
      </c>
      <c r="L3388">
        <f>J3388+K3388</f>
        <v>-479</v>
      </c>
      <c r="M3388">
        <v>240</v>
      </c>
      <c r="N3388">
        <f>L3388+M3388</f>
        <v>-239</v>
      </c>
    </row>
    <row r="3389" spans="1:14" x14ac:dyDescent="0.2">
      <c r="A3389" t="s">
        <v>4224</v>
      </c>
      <c r="B3389" s="1" t="s">
        <v>4221</v>
      </c>
      <c r="C3389" t="s">
        <v>43</v>
      </c>
      <c r="D3389" t="s">
        <v>379</v>
      </c>
      <c r="E3389">
        <v>11</v>
      </c>
      <c r="F3389" t="s">
        <v>3891</v>
      </c>
      <c r="G3389">
        <v>2023</v>
      </c>
      <c r="H3389" t="s">
        <v>567</v>
      </c>
      <c r="I3389" t="s">
        <v>23</v>
      </c>
      <c r="J3389">
        <v>0</v>
      </c>
      <c r="K3389">
        <v>0</v>
      </c>
      <c r="L3389">
        <v>0</v>
      </c>
      <c r="M3389">
        <v>0</v>
      </c>
      <c r="N3389">
        <v>0</v>
      </c>
    </row>
    <row r="3390" spans="1:14" x14ac:dyDescent="0.2">
      <c r="A3390" t="s">
        <v>4225</v>
      </c>
      <c r="B3390" s="1" t="s">
        <v>4221</v>
      </c>
      <c r="C3390" t="s">
        <v>43</v>
      </c>
      <c r="D3390" t="s">
        <v>133</v>
      </c>
      <c r="E3390">
        <v>11</v>
      </c>
      <c r="F3390" t="s">
        <v>3891</v>
      </c>
      <c r="G3390">
        <v>2023</v>
      </c>
      <c r="H3390" t="s">
        <v>157</v>
      </c>
      <c r="I3390" t="s">
        <v>97</v>
      </c>
      <c r="J3390">
        <v>0</v>
      </c>
      <c r="K3390">
        <v>0</v>
      </c>
      <c r="L3390">
        <v>0</v>
      </c>
      <c r="M3390">
        <v>0</v>
      </c>
      <c r="N3390">
        <v>0</v>
      </c>
    </row>
    <row r="3391" spans="1:14" x14ac:dyDescent="0.2">
      <c r="A3391" t="s">
        <v>4227</v>
      </c>
      <c r="B3391" s="1" t="s">
        <v>4226</v>
      </c>
      <c r="C3391" t="s">
        <v>43</v>
      </c>
      <c r="D3391" t="s">
        <v>81</v>
      </c>
      <c r="E3391">
        <v>12</v>
      </c>
      <c r="F3391" t="s">
        <v>3891</v>
      </c>
      <c r="G3391">
        <v>2023</v>
      </c>
      <c r="H3391" t="s">
        <v>1093</v>
      </c>
      <c r="I3391" t="s">
        <v>144</v>
      </c>
      <c r="J3391">
        <v>0</v>
      </c>
      <c r="K3391">
        <v>0</v>
      </c>
      <c r="L3391">
        <v>0</v>
      </c>
      <c r="M3391">
        <v>0</v>
      </c>
      <c r="N3391">
        <v>0</v>
      </c>
    </row>
    <row r="3392" spans="1:14" x14ac:dyDescent="0.2">
      <c r="A3392" t="s">
        <v>4228</v>
      </c>
      <c r="B3392" s="1" t="s">
        <v>4226</v>
      </c>
      <c r="C3392" t="s">
        <v>43</v>
      </c>
      <c r="D3392" t="s">
        <v>901</v>
      </c>
      <c r="E3392">
        <v>12</v>
      </c>
      <c r="F3392" t="s">
        <v>3891</v>
      </c>
      <c r="G3392">
        <v>2023</v>
      </c>
      <c r="H3392" t="s">
        <v>22</v>
      </c>
      <c r="I3392" t="s">
        <v>23</v>
      </c>
      <c r="J3392">
        <v>0</v>
      </c>
      <c r="K3392">
        <v>0</v>
      </c>
      <c r="L3392">
        <v>0</v>
      </c>
      <c r="M3392">
        <v>0</v>
      </c>
      <c r="N3392">
        <v>0</v>
      </c>
    </row>
    <row r="3393" spans="1:14" x14ac:dyDescent="0.2">
      <c r="A3393" t="s">
        <v>4229</v>
      </c>
      <c r="B3393" s="1" t="s">
        <v>4226</v>
      </c>
      <c r="C3393" t="s">
        <v>43</v>
      </c>
      <c r="D3393" t="s">
        <v>133</v>
      </c>
      <c r="E3393">
        <v>12</v>
      </c>
      <c r="F3393" t="s">
        <v>3891</v>
      </c>
      <c r="G3393">
        <v>2023</v>
      </c>
      <c r="H3393" t="s">
        <v>1741</v>
      </c>
      <c r="I3393" t="s">
        <v>1742</v>
      </c>
      <c r="J3393">
        <v>0</v>
      </c>
      <c r="K3393">
        <v>0</v>
      </c>
      <c r="L3393">
        <v>0</v>
      </c>
      <c r="M3393">
        <v>0</v>
      </c>
      <c r="N3393">
        <v>0</v>
      </c>
    </row>
    <row r="3394" spans="1:14" x14ac:dyDescent="0.2">
      <c r="A3394" t="s">
        <v>4126</v>
      </c>
      <c r="B3394" s="1" t="s">
        <v>4054</v>
      </c>
      <c r="C3394" t="s">
        <v>106</v>
      </c>
      <c r="D3394" t="s">
        <v>798</v>
      </c>
      <c r="E3394">
        <v>7</v>
      </c>
      <c r="F3394" t="s">
        <v>3891</v>
      </c>
      <c r="G3394">
        <v>2023</v>
      </c>
      <c r="H3394" t="s">
        <v>49</v>
      </c>
      <c r="I3394" t="s">
        <v>32</v>
      </c>
      <c r="J3394">
        <v>-799</v>
      </c>
      <c r="K3394">
        <v>320</v>
      </c>
      <c r="L3394">
        <f>J3394+K3394</f>
        <v>-479</v>
      </c>
      <c r="M3394">
        <v>240</v>
      </c>
      <c r="N3394">
        <f>L3394+M3394</f>
        <v>-239</v>
      </c>
    </row>
    <row r="3395" spans="1:14" x14ac:dyDescent="0.2">
      <c r="A3395" t="s">
        <v>4230</v>
      </c>
      <c r="B3395" s="1" t="s">
        <v>4226</v>
      </c>
      <c r="C3395" t="s">
        <v>43</v>
      </c>
      <c r="D3395" t="s">
        <v>940</v>
      </c>
      <c r="E3395">
        <v>12</v>
      </c>
      <c r="F3395" t="s">
        <v>3891</v>
      </c>
      <c r="G3395">
        <v>2023</v>
      </c>
      <c r="H3395" t="s">
        <v>193</v>
      </c>
      <c r="I3395" t="s">
        <v>62</v>
      </c>
      <c r="J3395">
        <v>0</v>
      </c>
      <c r="K3395">
        <v>0</v>
      </c>
      <c r="L3395">
        <v>0</v>
      </c>
      <c r="M3395">
        <v>0</v>
      </c>
      <c r="N3395">
        <v>0</v>
      </c>
    </row>
    <row r="3396" spans="1:14" x14ac:dyDescent="0.2">
      <c r="A3396" t="s">
        <v>4230</v>
      </c>
      <c r="B3396" s="1" t="s">
        <v>4226</v>
      </c>
      <c r="C3396" t="s">
        <v>43</v>
      </c>
      <c r="D3396" t="s">
        <v>1937</v>
      </c>
      <c r="E3396">
        <v>12</v>
      </c>
      <c r="F3396" t="s">
        <v>3891</v>
      </c>
      <c r="G3396">
        <v>2023</v>
      </c>
      <c r="H3396" t="s">
        <v>193</v>
      </c>
      <c r="I3396" t="s">
        <v>62</v>
      </c>
      <c r="J3396">
        <v>0</v>
      </c>
      <c r="K3396">
        <v>0</v>
      </c>
      <c r="L3396">
        <v>0</v>
      </c>
      <c r="M3396">
        <v>0</v>
      </c>
      <c r="N3396">
        <v>0</v>
      </c>
    </row>
    <row r="3397" spans="1:14" x14ac:dyDescent="0.2">
      <c r="A3397" t="s">
        <v>4230</v>
      </c>
      <c r="B3397" s="1" t="s">
        <v>4226</v>
      </c>
      <c r="C3397" t="s">
        <v>43</v>
      </c>
      <c r="D3397" t="s">
        <v>1338</v>
      </c>
      <c r="E3397">
        <v>12</v>
      </c>
      <c r="F3397" t="s">
        <v>3891</v>
      </c>
      <c r="G3397">
        <v>2023</v>
      </c>
      <c r="H3397" t="s">
        <v>193</v>
      </c>
      <c r="I3397" t="s">
        <v>62</v>
      </c>
      <c r="J3397">
        <v>0</v>
      </c>
      <c r="K3397">
        <v>0</v>
      </c>
      <c r="L3397">
        <v>0</v>
      </c>
      <c r="M3397">
        <v>0</v>
      </c>
      <c r="N3397">
        <v>0</v>
      </c>
    </row>
    <row r="3398" spans="1:14" x14ac:dyDescent="0.2">
      <c r="A3398" t="s">
        <v>4075</v>
      </c>
      <c r="B3398" s="1" t="s">
        <v>4008</v>
      </c>
      <c r="C3398" t="s">
        <v>106</v>
      </c>
      <c r="D3398" t="s">
        <v>242</v>
      </c>
      <c r="E3398">
        <v>6</v>
      </c>
      <c r="F3398" t="s">
        <v>3891</v>
      </c>
      <c r="G3398">
        <v>2023</v>
      </c>
      <c r="H3398" t="s">
        <v>170</v>
      </c>
      <c r="I3398" t="s">
        <v>171</v>
      </c>
      <c r="J3398">
        <v>-899</v>
      </c>
      <c r="K3398">
        <v>375</v>
      </c>
      <c r="L3398">
        <f t="shared" ref="L3398:L3399" si="782">J3398+K3398</f>
        <v>-524</v>
      </c>
      <c r="M3398">
        <v>240</v>
      </c>
      <c r="N3398">
        <f t="shared" ref="N3398:N3399" si="783">L3398+M3398</f>
        <v>-284</v>
      </c>
    </row>
    <row r="3399" spans="1:14" x14ac:dyDescent="0.2">
      <c r="A3399" t="s">
        <v>4160</v>
      </c>
      <c r="B3399" s="1" t="s">
        <v>4100</v>
      </c>
      <c r="C3399" t="s">
        <v>106</v>
      </c>
      <c r="D3399" t="s">
        <v>242</v>
      </c>
      <c r="E3399">
        <v>8</v>
      </c>
      <c r="F3399" t="s">
        <v>3891</v>
      </c>
      <c r="G3399">
        <v>2023</v>
      </c>
      <c r="H3399" t="s">
        <v>1245</v>
      </c>
      <c r="I3399" t="s">
        <v>502</v>
      </c>
      <c r="J3399">
        <v>-899</v>
      </c>
      <c r="K3399">
        <v>375</v>
      </c>
      <c r="L3399">
        <f t="shared" si="782"/>
        <v>-524</v>
      </c>
      <c r="M3399">
        <v>240</v>
      </c>
      <c r="N3399">
        <f t="shared" si="783"/>
        <v>-284</v>
      </c>
    </row>
    <row r="3400" spans="1:14" x14ac:dyDescent="0.2">
      <c r="A3400" t="s">
        <v>4231</v>
      </c>
      <c r="B3400" s="1" t="s">
        <v>4226</v>
      </c>
      <c r="C3400" t="s">
        <v>43</v>
      </c>
      <c r="D3400" t="s">
        <v>379</v>
      </c>
      <c r="E3400">
        <v>12</v>
      </c>
      <c r="F3400" t="s">
        <v>3891</v>
      </c>
      <c r="G3400">
        <v>2023</v>
      </c>
      <c r="H3400" t="s">
        <v>1305</v>
      </c>
      <c r="I3400" t="s">
        <v>62</v>
      </c>
      <c r="J3400">
        <v>0</v>
      </c>
      <c r="K3400">
        <v>0</v>
      </c>
      <c r="L3400">
        <v>0</v>
      </c>
      <c r="M3400">
        <v>0</v>
      </c>
      <c r="N3400">
        <v>0</v>
      </c>
    </row>
    <row r="3401" spans="1:14" x14ac:dyDescent="0.2">
      <c r="A3401" t="s">
        <v>4095</v>
      </c>
      <c r="B3401" s="1" t="s">
        <v>4008</v>
      </c>
      <c r="C3401" t="s">
        <v>106</v>
      </c>
      <c r="D3401" t="s">
        <v>1338</v>
      </c>
      <c r="E3401">
        <v>6</v>
      </c>
      <c r="F3401" t="s">
        <v>3891</v>
      </c>
      <c r="G3401">
        <v>2023</v>
      </c>
      <c r="H3401" t="s">
        <v>4096</v>
      </c>
      <c r="I3401" t="s">
        <v>160</v>
      </c>
      <c r="J3401">
        <v>-799</v>
      </c>
      <c r="K3401">
        <v>320</v>
      </c>
      <c r="L3401">
        <f t="shared" ref="L3401:L3402" si="784">J3401+K3401</f>
        <v>-479</v>
      </c>
      <c r="M3401">
        <v>240</v>
      </c>
      <c r="N3401">
        <f t="shared" ref="N3401:N3402" si="785">L3401+M3401</f>
        <v>-239</v>
      </c>
    </row>
    <row r="3402" spans="1:14" x14ac:dyDescent="0.2">
      <c r="A3402" t="s">
        <v>4020</v>
      </c>
      <c r="B3402" s="1" t="s">
        <v>4010</v>
      </c>
      <c r="C3402" t="s">
        <v>106</v>
      </c>
      <c r="D3402" t="s">
        <v>431</v>
      </c>
      <c r="E3402">
        <v>5</v>
      </c>
      <c r="F3402" t="s">
        <v>3891</v>
      </c>
      <c r="G3402">
        <v>2023</v>
      </c>
      <c r="H3402" t="s">
        <v>4021</v>
      </c>
      <c r="I3402" t="s">
        <v>85</v>
      </c>
      <c r="J3402">
        <v>-799</v>
      </c>
      <c r="K3402">
        <v>320</v>
      </c>
      <c r="L3402">
        <f t="shared" si="784"/>
        <v>-479</v>
      </c>
      <c r="M3402">
        <v>240</v>
      </c>
      <c r="N3402">
        <f t="shared" si="785"/>
        <v>-239</v>
      </c>
    </row>
    <row r="3403" spans="1:14" x14ac:dyDescent="0.2">
      <c r="A3403" t="s">
        <v>4233</v>
      </c>
      <c r="B3403" s="1" t="s">
        <v>4232</v>
      </c>
      <c r="C3403" t="s">
        <v>43</v>
      </c>
      <c r="D3403" t="s">
        <v>573</v>
      </c>
      <c r="E3403">
        <v>13</v>
      </c>
      <c r="F3403" t="s">
        <v>3891</v>
      </c>
      <c r="G3403">
        <v>2023</v>
      </c>
      <c r="H3403" t="s">
        <v>4234</v>
      </c>
      <c r="I3403" t="s">
        <v>32</v>
      </c>
      <c r="J3403">
        <v>0</v>
      </c>
      <c r="K3403">
        <v>0</v>
      </c>
      <c r="L3403">
        <v>0</v>
      </c>
      <c r="M3403">
        <v>0</v>
      </c>
      <c r="N3403">
        <v>0</v>
      </c>
    </row>
    <row r="3404" spans="1:14" x14ac:dyDescent="0.2">
      <c r="A3404" t="s">
        <v>4114</v>
      </c>
      <c r="B3404" s="1" t="s">
        <v>4054</v>
      </c>
      <c r="C3404" t="s">
        <v>106</v>
      </c>
      <c r="D3404" t="s">
        <v>573</v>
      </c>
      <c r="E3404">
        <v>7</v>
      </c>
      <c r="F3404" t="s">
        <v>3891</v>
      </c>
      <c r="G3404">
        <v>2023</v>
      </c>
      <c r="H3404" t="s">
        <v>4115</v>
      </c>
      <c r="I3404" t="s">
        <v>62</v>
      </c>
      <c r="J3404">
        <v>-899</v>
      </c>
      <c r="K3404">
        <v>375</v>
      </c>
      <c r="L3404">
        <f>J3404+K3404</f>
        <v>-524</v>
      </c>
      <c r="M3404">
        <v>240</v>
      </c>
      <c r="N3404">
        <f>L3404+M3404</f>
        <v>-284</v>
      </c>
    </row>
    <row r="3405" spans="1:14" x14ac:dyDescent="0.2">
      <c r="A3405" t="s">
        <v>4235</v>
      </c>
      <c r="B3405" s="1" t="s">
        <v>4226</v>
      </c>
      <c r="C3405" t="s">
        <v>14</v>
      </c>
      <c r="D3405" t="s">
        <v>822</v>
      </c>
      <c r="E3405">
        <v>12</v>
      </c>
      <c r="F3405" t="s">
        <v>3891</v>
      </c>
      <c r="G3405">
        <v>2023</v>
      </c>
      <c r="H3405" t="s">
        <v>22</v>
      </c>
      <c r="I3405" t="s">
        <v>23</v>
      </c>
      <c r="J3405">
        <v>849</v>
      </c>
      <c r="K3405">
        <v>250</v>
      </c>
      <c r="L3405">
        <f t="shared" ref="L3405:L3412" si="786">J3405-K3405</f>
        <v>599</v>
      </c>
      <c r="M3405">
        <v>240</v>
      </c>
      <c r="N3405">
        <f t="shared" ref="N3405:N3412" si="787">L3405-M3405</f>
        <v>359</v>
      </c>
    </row>
    <row r="3406" spans="1:14" x14ac:dyDescent="0.2">
      <c r="A3406" t="s">
        <v>4236</v>
      </c>
      <c r="B3406" s="1" t="s">
        <v>4221</v>
      </c>
      <c r="C3406" t="s">
        <v>14</v>
      </c>
      <c r="D3406" t="s">
        <v>2409</v>
      </c>
      <c r="E3406">
        <v>11</v>
      </c>
      <c r="F3406" t="s">
        <v>3891</v>
      </c>
      <c r="G3406">
        <v>2023</v>
      </c>
      <c r="H3406" t="s">
        <v>345</v>
      </c>
      <c r="I3406" t="s">
        <v>62</v>
      </c>
      <c r="J3406">
        <v>799</v>
      </c>
      <c r="K3406">
        <v>205</v>
      </c>
      <c r="L3406">
        <f t="shared" si="786"/>
        <v>594</v>
      </c>
      <c r="M3406">
        <v>240</v>
      </c>
      <c r="N3406">
        <f t="shared" si="787"/>
        <v>354</v>
      </c>
    </row>
    <row r="3407" spans="1:14" x14ac:dyDescent="0.2">
      <c r="A3407" t="s">
        <v>4237</v>
      </c>
      <c r="B3407" s="1" t="s">
        <v>4226</v>
      </c>
      <c r="C3407" t="s">
        <v>14</v>
      </c>
      <c r="D3407" t="s">
        <v>1263</v>
      </c>
      <c r="E3407">
        <v>12</v>
      </c>
      <c r="F3407" t="s">
        <v>3891</v>
      </c>
      <c r="G3407">
        <v>2023</v>
      </c>
      <c r="H3407" t="s">
        <v>3612</v>
      </c>
      <c r="I3407" t="s">
        <v>85</v>
      </c>
      <c r="J3407">
        <v>849</v>
      </c>
      <c r="K3407">
        <v>250</v>
      </c>
      <c r="L3407">
        <f t="shared" si="786"/>
        <v>599</v>
      </c>
      <c r="M3407">
        <v>240</v>
      </c>
      <c r="N3407">
        <f t="shared" si="787"/>
        <v>359</v>
      </c>
    </row>
    <row r="3408" spans="1:14" x14ac:dyDescent="0.2">
      <c r="A3408" t="s">
        <v>4238</v>
      </c>
      <c r="B3408" s="1" t="s">
        <v>4221</v>
      </c>
      <c r="C3408" t="s">
        <v>14</v>
      </c>
      <c r="D3408" t="s">
        <v>957</v>
      </c>
      <c r="E3408">
        <v>11</v>
      </c>
      <c r="F3408" t="s">
        <v>3891</v>
      </c>
      <c r="G3408">
        <v>2023</v>
      </c>
      <c r="H3408" t="s">
        <v>3856</v>
      </c>
      <c r="I3408" t="s">
        <v>23</v>
      </c>
      <c r="J3408">
        <v>799</v>
      </c>
      <c r="K3408">
        <v>205</v>
      </c>
      <c r="L3408">
        <f t="shared" si="786"/>
        <v>594</v>
      </c>
      <c r="M3408">
        <v>240</v>
      </c>
      <c r="N3408">
        <f t="shared" si="787"/>
        <v>354</v>
      </c>
    </row>
    <row r="3409" spans="1:14" x14ac:dyDescent="0.2">
      <c r="A3409" t="s">
        <v>4239</v>
      </c>
      <c r="B3409" s="1" t="s">
        <v>4221</v>
      </c>
      <c r="C3409" t="s">
        <v>14</v>
      </c>
      <c r="D3409" t="s">
        <v>1780</v>
      </c>
      <c r="E3409">
        <v>11</v>
      </c>
      <c r="F3409" t="s">
        <v>3891</v>
      </c>
      <c r="G3409">
        <v>2023</v>
      </c>
      <c r="H3409" t="s">
        <v>170</v>
      </c>
      <c r="I3409" t="s">
        <v>171</v>
      </c>
      <c r="J3409">
        <v>799</v>
      </c>
      <c r="K3409">
        <v>205</v>
      </c>
      <c r="L3409">
        <f t="shared" si="786"/>
        <v>594</v>
      </c>
      <c r="M3409">
        <v>240</v>
      </c>
      <c r="N3409">
        <f t="shared" si="787"/>
        <v>354</v>
      </c>
    </row>
    <row r="3410" spans="1:14" x14ac:dyDescent="0.2">
      <c r="A3410" t="s">
        <v>4240</v>
      </c>
      <c r="B3410" s="1" t="s">
        <v>4221</v>
      </c>
      <c r="C3410" t="s">
        <v>14</v>
      </c>
      <c r="D3410" t="s">
        <v>504</v>
      </c>
      <c r="E3410">
        <v>11</v>
      </c>
      <c r="F3410" t="s">
        <v>3891</v>
      </c>
      <c r="G3410">
        <v>2023</v>
      </c>
      <c r="H3410" t="s">
        <v>3241</v>
      </c>
      <c r="I3410" t="s">
        <v>122</v>
      </c>
      <c r="J3410">
        <v>899</v>
      </c>
      <c r="K3410">
        <v>295</v>
      </c>
      <c r="L3410">
        <f t="shared" si="786"/>
        <v>604</v>
      </c>
      <c r="M3410">
        <v>240</v>
      </c>
      <c r="N3410">
        <f t="shared" si="787"/>
        <v>364</v>
      </c>
    </row>
    <row r="3411" spans="1:14" x14ac:dyDescent="0.2">
      <c r="A3411" t="s">
        <v>4223</v>
      </c>
      <c r="B3411" s="1" t="s">
        <v>4221</v>
      </c>
      <c r="C3411" t="s">
        <v>14</v>
      </c>
      <c r="D3411" t="s">
        <v>81</v>
      </c>
      <c r="E3411">
        <v>11</v>
      </c>
      <c r="F3411" t="s">
        <v>3891</v>
      </c>
      <c r="G3411">
        <v>2023</v>
      </c>
      <c r="H3411" t="s">
        <v>246</v>
      </c>
      <c r="I3411" t="s">
        <v>58</v>
      </c>
      <c r="J3411">
        <v>849</v>
      </c>
      <c r="K3411">
        <v>250</v>
      </c>
      <c r="L3411">
        <f t="shared" si="786"/>
        <v>599</v>
      </c>
      <c r="M3411">
        <v>240</v>
      </c>
      <c r="N3411">
        <f t="shared" si="787"/>
        <v>359</v>
      </c>
    </row>
    <row r="3412" spans="1:14" x14ac:dyDescent="0.2">
      <c r="A3412" t="s">
        <v>4241</v>
      </c>
      <c r="B3412" s="1" t="s">
        <v>4226</v>
      </c>
      <c r="C3412" t="s">
        <v>14</v>
      </c>
      <c r="D3412" t="s">
        <v>1486</v>
      </c>
      <c r="E3412">
        <v>12</v>
      </c>
      <c r="F3412" t="s">
        <v>3891</v>
      </c>
      <c r="G3412">
        <v>2023</v>
      </c>
      <c r="H3412" t="s">
        <v>4242</v>
      </c>
      <c r="I3412" t="s">
        <v>28</v>
      </c>
      <c r="J3412">
        <v>999</v>
      </c>
      <c r="K3412">
        <v>325</v>
      </c>
      <c r="L3412">
        <f t="shared" si="786"/>
        <v>674</v>
      </c>
      <c r="M3412">
        <v>240</v>
      </c>
      <c r="N3412">
        <f t="shared" si="787"/>
        <v>434</v>
      </c>
    </row>
    <row r="3413" spans="1:14" x14ac:dyDescent="0.2">
      <c r="A3413" t="s">
        <v>4243</v>
      </c>
      <c r="B3413" s="1" t="s">
        <v>4226</v>
      </c>
      <c r="C3413" t="s">
        <v>20</v>
      </c>
      <c r="D3413" t="s">
        <v>379</v>
      </c>
      <c r="E3413">
        <v>12</v>
      </c>
      <c r="F3413" t="s">
        <v>3891</v>
      </c>
      <c r="G3413">
        <v>2023</v>
      </c>
      <c r="H3413" t="s">
        <v>1282</v>
      </c>
      <c r="I3413" t="s">
        <v>502</v>
      </c>
      <c r="J3413">
        <v>0</v>
      </c>
      <c r="K3413">
        <v>0</v>
      </c>
      <c r="L3413">
        <v>0</v>
      </c>
      <c r="M3413">
        <v>0</v>
      </c>
      <c r="N3413">
        <v>0</v>
      </c>
    </row>
    <row r="3414" spans="1:14" x14ac:dyDescent="0.2">
      <c r="A3414" t="s">
        <v>4244</v>
      </c>
      <c r="B3414" s="1" t="s">
        <v>4226</v>
      </c>
      <c r="C3414" t="s">
        <v>14</v>
      </c>
      <c r="D3414" t="s">
        <v>380</v>
      </c>
      <c r="E3414">
        <v>12</v>
      </c>
      <c r="F3414" t="s">
        <v>3891</v>
      </c>
      <c r="G3414">
        <v>2023</v>
      </c>
      <c r="H3414" t="s">
        <v>101</v>
      </c>
      <c r="I3414" t="s">
        <v>62</v>
      </c>
      <c r="J3414">
        <v>849</v>
      </c>
      <c r="K3414">
        <v>250</v>
      </c>
      <c r="L3414">
        <f t="shared" ref="L3414:L3445" si="788">J3414-K3414</f>
        <v>599</v>
      </c>
      <c r="M3414">
        <v>240</v>
      </c>
      <c r="N3414">
        <f t="shared" ref="N3414:N3445" si="789">L3414-M3414</f>
        <v>359</v>
      </c>
    </row>
    <row r="3415" spans="1:14" x14ac:dyDescent="0.2">
      <c r="A3415" t="s">
        <v>4245</v>
      </c>
      <c r="B3415" s="1" t="s">
        <v>4226</v>
      </c>
      <c r="C3415" t="s">
        <v>14</v>
      </c>
      <c r="D3415" t="s">
        <v>2177</v>
      </c>
      <c r="E3415">
        <v>12</v>
      </c>
      <c r="F3415" t="s">
        <v>3891</v>
      </c>
      <c r="G3415">
        <v>2023</v>
      </c>
      <c r="H3415" t="s">
        <v>4246</v>
      </c>
      <c r="I3415" t="s">
        <v>502</v>
      </c>
      <c r="J3415">
        <v>799</v>
      </c>
      <c r="K3415">
        <v>205</v>
      </c>
      <c r="L3415">
        <f t="shared" si="788"/>
        <v>594</v>
      </c>
      <c r="M3415">
        <v>240</v>
      </c>
      <c r="N3415">
        <f t="shared" si="789"/>
        <v>354</v>
      </c>
    </row>
    <row r="3416" spans="1:14" x14ac:dyDescent="0.2">
      <c r="A3416" t="s">
        <v>4247</v>
      </c>
      <c r="B3416" s="1" t="s">
        <v>4221</v>
      </c>
      <c r="C3416" t="s">
        <v>14</v>
      </c>
      <c r="D3416" t="s">
        <v>133</v>
      </c>
      <c r="E3416">
        <v>11</v>
      </c>
      <c r="F3416" t="s">
        <v>3891</v>
      </c>
      <c r="G3416">
        <v>2023</v>
      </c>
      <c r="H3416" t="s">
        <v>150</v>
      </c>
      <c r="I3416" t="s">
        <v>62</v>
      </c>
      <c r="J3416">
        <v>799</v>
      </c>
      <c r="K3416">
        <v>205</v>
      </c>
      <c r="L3416">
        <f t="shared" si="788"/>
        <v>594</v>
      </c>
      <c r="M3416">
        <v>240</v>
      </c>
      <c r="N3416">
        <f t="shared" si="789"/>
        <v>354</v>
      </c>
    </row>
    <row r="3417" spans="1:14" x14ac:dyDescent="0.2">
      <c r="A3417" t="s">
        <v>4228</v>
      </c>
      <c r="B3417" s="1" t="s">
        <v>4226</v>
      </c>
      <c r="C3417" t="s">
        <v>14</v>
      </c>
      <c r="D3417" t="s">
        <v>901</v>
      </c>
      <c r="E3417">
        <v>12</v>
      </c>
      <c r="F3417" t="s">
        <v>3891</v>
      </c>
      <c r="G3417">
        <v>2023</v>
      </c>
      <c r="H3417" t="s">
        <v>22</v>
      </c>
      <c r="I3417" t="s">
        <v>23</v>
      </c>
      <c r="J3417">
        <v>799</v>
      </c>
      <c r="K3417">
        <v>205</v>
      </c>
      <c r="L3417">
        <f t="shared" si="788"/>
        <v>594</v>
      </c>
      <c r="M3417">
        <v>240</v>
      </c>
      <c r="N3417">
        <f t="shared" si="789"/>
        <v>354</v>
      </c>
    </row>
    <row r="3418" spans="1:14" x14ac:dyDescent="0.2">
      <c r="A3418" t="s">
        <v>4248</v>
      </c>
      <c r="B3418" s="1" t="s">
        <v>4221</v>
      </c>
      <c r="C3418" t="s">
        <v>14</v>
      </c>
      <c r="D3418" t="s">
        <v>881</v>
      </c>
      <c r="E3418">
        <v>11</v>
      </c>
      <c r="F3418" t="s">
        <v>3891</v>
      </c>
      <c r="G3418">
        <v>2023</v>
      </c>
      <c r="H3418" t="s">
        <v>309</v>
      </c>
      <c r="I3418" t="s">
        <v>212</v>
      </c>
      <c r="J3418">
        <v>799</v>
      </c>
      <c r="K3418">
        <v>205</v>
      </c>
      <c r="L3418">
        <f t="shared" si="788"/>
        <v>594</v>
      </c>
      <c r="M3418">
        <v>240</v>
      </c>
      <c r="N3418">
        <f t="shared" si="789"/>
        <v>354</v>
      </c>
    </row>
    <row r="3419" spans="1:14" x14ac:dyDescent="0.2">
      <c r="A3419" t="s">
        <v>4229</v>
      </c>
      <c r="B3419" s="1" t="s">
        <v>4226</v>
      </c>
      <c r="C3419" t="s">
        <v>14</v>
      </c>
      <c r="D3419" t="s">
        <v>133</v>
      </c>
      <c r="E3419">
        <v>12</v>
      </c>
      <c r="F3419" t="s">
        <v>3891</v>
      </c>
      <c r="G3419">
        <v>2023</v>
      </c>
      <c r="H3419" t="s">
        <v>1741</v>
      </c>
      <c r="I3419" t="s">
        <v>1742</v>
      </c>
      <c r="J3419">
        <v>799</v>
      </c>
      <c r="K3419">
        <v>205</v>
      </c>
      <c r="L3419">
        <f t="shared" si="788"/>
        <v>594</v>
      </c>
      <c r="M3419">
        <v>240</v>
      </c>
      <c r="N3419">
        <f t="shared" si="789"/>
        <v>354</v>
      </c>
    </row>
    <row r="3420" spans="1:14" x14ac:dyDescent="0.2">
      <c r="A3420" t="s">
        <v>4249</v>
      </c>
      <c r="B3420" s="1" t="s">
        <v>4221</v>
      </c>
      <c r="C3420" t="s">
        <v>14</v>
      </c>
      <c r="D3420" t="s">
        <v>844</v>
      </c>
      <c r="E3420">
        <v>11</v>
      </c>
      <c r="F3420" t="s">
        <v>3891</v>
      </c>
      <c r="G3420">
        <v>2023</v>
      </c>
      <c r="H3420" t="s">
        <v>170</v>
      </c>
      <c r="I3420" t="s">
        <v>171</v>
      </c>
      <c r="J3420">
        <v>799</v>
      </c>
      <c r="K3420">
        <v>205</v>
      </c>
      <c r="L3420">
        <f t="shared" si="788"/>
        <v>594</v>
      </c>
      <c r="M3420">
        <v>240</v>
      </c>
      <c r="N3420">
        <f t="shared" si="789"/>
        <v>354</v>
      </c>
    </row>
    <row r="3421" spans="1:14" x14ac:dyDescent="0.2">
      <c r="A3421" t="s">
        <v>4250</v>
      </c>
      <c r="B3421" s="1" t="s">
        <v>4221</v>
      </c>
      <c r="C3421" t="s">
        <v>14</v>
      </c>
      <c r="D3421" t="s">
        <v>379</v>
      </c>
      <c r="E3421">
        <v>11</v>
      </c>
      <c r="F3421" t="s">
        <v>3891</v>
      </c>
      <c r="G3421">
        <v>2023</v>
      </c>
      <c r="H3421" t="s">
        <v>1159</v>
      </c>
      <c r="I3421" t="s">
        <v>85</v>
      </c>
      <c r="J3421">
        <v>799</v>
      </c>
      <c r="K3421">
        <v>205</v>
      </c>
      <c r="L3421">
        <f t="shared" si="788"/>
        <v>594</v>
      </c>
      <c r="M3421">
        <v>240</v>
      </c>
      <c r="N3421">
        <f t="shared" si="789"/>
        <v>354</v>
      </c>
    </row>
    <row r="3422" spans="1:14" x14ac:dyDescent="0.2">
      <c r="A3422" t="s">
        <v>4251</v>
      </c>
      <c r="B3422" s="1" t="s">
        <v>4221</v>
      </c>
      <c r="C3422" t="s">
        <v>14</v>
      </c>
      <c r="D3422" t="s">
        <v>81</v>
      </c>
      <c r="E3422">
        <v>11</v>
      </c>
      <c r="F3422" t="s">
        <v>3891</v>
      </c>
      <c r="G3422">
        <v>2023</v>
      </c>
      <c r="H3422" t="s">
        <v>1525</v>
      </c>
      <c r="I3422" t="s">
        <v>85</v>
      </c>
      <c r="J3422">
        <v>849</v>
      </c>
      <c r="K3422">
        <v>250</v>
      </c>
      <c r="L3422">
        <f t="shared" si="788"/>
        <v>599</v>
      </c>
      <c r="M3422">
        <v>240</v>
      </c>
      <c r="N3422">
        <f t="shared" si="789"/>
        <v>359</v>
      </c>
    </row>
    <row r="3423" spans="1:14" x14ac:dyDescent="0.2">
      <c r="A3423" t="s">
        <v>4252</v>
      </c>
      <c r="B3423" s="1" t="s">
        <v>4221</v>
      </c>
      <c r="C3423" t="s">
        <v>14</v>
      </c>
      <c r="D3423" t="s">
        <v>242</v>
      </c>
      <c r="E3423">
        <v>11</v>
      </c>
      <c r="F3423" t="s">
        <v>3891</v>
      </c>
      <c r="G3423">
        <v>2023</v>
      </c>
      <c r="H3423" t="s">
        <v>4253</v>
      </c>
      <c r="I3423" t="s">
        <v>212</v>
      </c>
      <c r="J3423">
        <v>899</v>
      </c>
      <c r="K3423">
        <v>295</v>
      </c>
      <c r="L3423">
        <f t="shared" si="788"/>
        <v>604</v>
      </c>
      <c r="M3423">
        <v>240</v>
      </c>
      <c r="N3423">
        <f t="shared" si="789"/>
        <v>364</v>
      </c>
    </row>
    <row r="3424" spans="1:14" x14ac:dyDescent="0.2">
      <c r="A3424" t="s">
        <v>4254</v>
      </c>
      <c r="B3424" s="1" t="s">
        <v>4221</v>
      </c>
      <c r="C3424" t="s">
        <v>14</v>
      </c>
      <c r="D3424" t="s">
        <v>81</v>
      </c>
      <c r="E3424">
        <v>11</v>
      </c>
      <c r="F3424" t="s">
        <v>3891</v>
      </c>
      <c r="G3424">
        <v>2023</v>
      </c>
      <c r="H3424" t="s">
        <v>246</v>
      </c>
      <c r="I3424" t="s">
        <v>58</v>
      </c>
      <c r="J3424">
        <v>849</v>
      </c>
      <c r="K3424">
        <v>250</v>
      </c>
      <c r="L3424">
        <f t="shared" si="788"/>
        <v>599</v>
      </c>
      <c r="M3424">
        <v>240</v>
      </c>
      <c r="N3424">
        <f t="shared" si="789"/>
        <v>359</v>
      </c>
    </row>
    <row r="3425" spans="1:14" x14ac:dyDescent="0.2">
      <c r="A3425" t="s">
        <v>4255</v>
      </c>
      <c r="B3425" s="1" t="s">
        <v>4226</v>
      </c>
      <c r="C3425" t="s">
        <v>14</v>
      </c>
      <c r="D3425" t="s">
        <v>452</v>
      </c>
      <c r="E3425">
        <v>12</v>
      </c>
      <c r="F3425" t="s">
        <v>3891</v>
      </c>
      <c r="G3425">
        <v>2023</v>
      </c>
      <c r="H3425" t="s">
        <v>1245</v>
      </c>
      <c r="I3425" t="s">
        <v>502</v>
      </c>
      <c r="J3425">
        <v>799</v>
      </c>
      <c r="K3425">
        <v>205</v>
      </c>
      <c r="L3425">
        <f t="shared" si="788"/>
        <v>594</v>
      </c>
      <c r="M3425">
        <v>240</v>
      </c>
      <c r="N3425">
        <f t="shared" si="789"/>
        <v>354</v>
      </c>
    </row>
    <row r="3426" spans="1:14" x14ac:dyDescent="0.2">
      <c r="A3426" t="s">
        <v>4256</v>
      </c>
      <c r="B3426" s="1" t="s">
        <v>4226</v>
      </c>
      <c r="C3426" t="s">
        <v>14</v>
      </c>
      <c r="D3426" t="s">
        <v>840</v>
      </c>
      <c r="E3426">
        <v>12</v>
      </c>
      <c r="F3426" t="s">
        <v>3891</v>
      </c>
      <c r="G3426">
        <v>2023</v>
      </c>
      <c r="H3426" t="s">
        <v>3649</v>
      </c>
      <c r="I3426" t="s">
        <v>253</v>
      </c>
      <c r="J3426">
        <v>999</v>
      </c>
      <c r="K3426">
        <v>325</v>
      </c>
      <c r="L3426">
        <f t="shared" si="788"/>
        <v>674</v>
      </c>
      <c r="M3426">
        <v>240</v>
      </c>
      <c r="N3426">
        <f t="shared" si="789"/>
        <v>434</v>
      </c>
    </row>
    <row r="3427" spans="1:14" x14ac:dyDescent="0.2">
      <c r="A3427" t="s">
        <v>4257</v>
      </c>
      <c r="B3427" s="1" t="s">
        <v>4226</v>
      </c>
      <c r="C3427" t="s">
        <v>14</v>
      </c>
      <c r="D3427" t="s">
        <v>923</v>
      </c>
      <c r="E3427">
        <v>12</v>
      </c>
      <c r="F3427" t="s">
        <v>3891</v>
      </c>
      <c r="G3427">
        <v>2023</v>
      </c>
      <c r="H3427" t="s">
        <v>567</v>
      </c>
      <c r="I3427" t="s">
        <v>23</v>
      </c>
      <c r="J3427">
        <v>849</v>
      </c>
      <c r="K3427">
        <v>250</v>
      </c>
      <c r="L3427">
        <f t="shared" si="788"/>
        <v>599</v>
      </c>
      <c r="M3427">
        <v>240</v>
      </c>
      <c r="N3427">
        <f t="shared" si="789"/>
        <v>359</v>
      </c>
    </row>
    <row r="3428" spans="1:14" x14ac:dyDescent="0.2">
      <c r="A3428" t="s">
        <v>4258</v>
      </c>
      <c r="B3428" s="1" t="s">
        <v>4221</v>
      </c>
      <c r="C3428" t="s">
        <v>14</v>
      </c>
      <c r="D3428" t="s">
        <v>548</v>
      </c>
      <c r="E3428">
        <v>11</v>
      </c>
      <c r="F3428" t="s">
        <v>3891</v>
      </c>
      <c r="G3428">
        <v>2023</v>
      </c>
      <c r="H3428" t="s">
        <v>4259</v>
      </c>
      <c r="I3428" t="s">
        <v>37</v>
      </c>
      <c r="J3428">
        <v>899</v>
      </c>
      <c r="K3428">
        <v>295</v>
      </c>
      <c r="L3428">
        <f t="shared" si="788"/>
        <v>604</v>
      </c>
      <c r="M3428">
        <v>240</v>
      </c>
      <c r="N3428">
        <f t="shared" si="789"/>
        <v>364</v>
      </c>
    </row>
    <row r="3429" spans="1:14" x14ac:dyDescent="0.2">
      <c r="A3429" t="s">
        <v>4260</v>
      </c>
      <c r="B3429" s="1" t="s">
        <v>4226</v>
      </c>
      <c r="C3429" t="s">
        <v>14</v>
      </c>
      <c r="D3429" t="s">
        <v>1089</v>
      </c>
      <c r="E3429">
        <v>12</v>
      </c>
      <c r="F3429" t="s">
        <v>3891</v>
      </c>
      <c r="G3429">
        <v>2023</v>
      </c>
      <c r="H3429" t="s">
        <v>4261</v>
      </c>
      <c r="I3429" t="s">
        <v>257</v>
      </c>
      <c r="J3429">
        <v>799</v>
      </c>
      <c r="K3429">
        <v>205</v>
      </c>
      <c r="L3429">
        <f t="shared" si="788"/>
        <v>594</v>
      </c>
      <c r="M3429">
        <v>240</v>
      </c>
      <c r="N3429">
        <f t="shared" si="789"/>
        <v>354</v>
      </c>
    </row>
    <row r="3430" spans="1:14" x14ac:dyDescent="0.2">
      <c r="A3430" t="s">
        <v>4222</v>
      </c>
      <c r="B3430" s="1" t="s">
        <v>4221</v>
      </c>
      <c r="C3430" t="s">
        <v>14</v>
      </c>
      <c r="D3430" t="s">
        <v>1212</v>
      </c>
      <c r="E3430">
        <v>11</v>
      </c>
      <c r="F3430" t="s">
        <v>3891</v>
      </c>
      <c r="G3430">
        <v>2023</v>
      </c>
      <c r="H3430" t="s">
        <v>157</v>
      </c>
      <c r="I3430" t="s">
        <v>97</v>
      </c>
      <c r="J3430">
        <v>799</v>
      </c>
      <c r="K3430">
        <v>205</v>
      </c>
      <c r="L3430">
        <f t="shared" si="788"/>
        <v>594</v>
      </c>
      <c r="M3430">
        <v>240</v>
      </c>
      <c r="N3430">
        <f t="shared" si="789"/>
        <v>354</v>
      </c>
    </row>
    <row r="3431" spans="1:14" x14ac:dyDescent="0.2">
      <c r="A3431" t="s">
        <v>4262</v>
      </c>
      <c r="B3431" s="1" t="s">
        <v>4221</v>
      </c>
      <c r="C3431" t="s">
        <v>14</v>
      </c>
      <c r="D3431" t="s">
        <v>993</v>
      </c>
      <c r="E3431">
        <v>11</v>
      </c>
      <c r="F3431" t="s">
        <v>3891</v>
      </c>
      <c r="G3431">
        <v>2023</v>
      </c>
      <c r="H3431" t="s">
        <v>4263</v>
      </c>
      <c r="I3431" t="s">
        <v>212</v>
      </c>
      <c r="J3431">
        <v>799</v>
      </c>
      <c r="K3431">
        <v>205</v>
      </c>
      <c r="L3431">
        <f t="shared" si="788"/>
        <v>594</v>
      </c>
      <c r="M3431">
        <v>240</v>
      </c>
      <c r="N3431">
        <f t="shared" si="789"/>
        <v>354</v>
      </c>
    </row>
    <row r="3432" spans="1:14" x14ac:dyDescent="0.2">
      <c r="A3432" t="s">
        <v>4264</v>
      </c>
      <c r="B3432" s="1" t="s">
        <v>4221</v>
      </c>
      <c r="C3432" t="s">
        <v>14</v>
      </c>
      <c r="D3432" t="s">
        <v>1037</v>
      </c>
      <c r="E3432">
        <v>11</v>
      </c>
      <c r="F3432" t="s">
        <v>3891</v>
      </c>
      <c r="G3432">
        <v>2023</v>
      </c>
      <c r="H3432" t="s">
        <v>4265</v>
      </c>
      <c r="I3432" t="s">
        <v>122</v>
      </c>
      <c r="J3432">
        <v>799</v>
      </c>
      <c r="K3432">
        <v>205</v>
      </c>
      <c r="L3432">
        <f t="shared" si="788"/>
        <v>594</v>
      </c>
      <c r="M3432">
        <v>240</v>
      </c>
      <c r="N3432">
        <f t="shared" si="789"/>
        <v>354</v>
      </c>
    </row>
    <row r="3433" spans="1:14" x14ac:dyDescent="0.2">
      <c r="A3433" t="s">
        <v>4266</v>
      </c>
      <c r="B3433" s="1" t="s">
        <v>4221</v>
      </c>
      <c r="C3433" t="s">
        <v>14</v>
      </c>
      <c r="D3433" t="s">
        <v>809</v>
      </c>
      <c r="E3433">
        <v>11</v>
      </c>
      <c r="F3433" t="s">
        <v>3891</v>
      </c>
      <c r="G3433">
        <v>2023</v>
      </c>
      <c r="H3433" t="s">
        <v>1260</v>
      </c>
      <c r="I3433" t="s">
        <v>28</v>
      </c>
      <c r="J3433">
        <v>999</v>
      </c>
      <c r="K3433">
        <v>325</v>
      </c>
      <c r="L3433">
        <f t="shared" si="788"/>
        <v>674</v>
      </c>
      <c r="M3433">
        <v>240</v>
      </c>
      <c r="N3433">
        <f t="shared" si="789"/>
        <v>434</v>
      </c>
    </row>
    <row r="3434" spans="1:14" x14ac:dyDescent="0.2">
      <c r="A3434" t="s">
        <v>4267</v>
      </c>
      <c r="B3434" s="1" t="s">
        <v>4226</v>
      </c>
      <c r="C3434" t="s">
        <v>14</v>
      </c>
      <c r="D3434" t="s">
        <v>1834</v>
      </c>
      <c r="E3434">
        <v>12</v>
      </c>
      <c r="F3434" t="s">
        <v>3891</v>
      </c>
      <c r="G3434">
        <v>2023</v>
      </c>
      <c r="H3434" t="s">
        <v>2396</v>
      </c>
      <c r="I3434" t="s">
        <v>455</v>
      </c>
      <c r="J3434">
        <v>849</v>
      </c>
      <c r="K3434">
        <v>250</v>
      </c>
      <c r="L3434">
        <f t="shared" si="788"/>
        <v>599</v>
      </c>
      <c r="M3434">
        <v>240</v>
      </c>
      <c r="N3434">
        <f t="shared" si="789"/>
        <v>359</v>
      </c>
    </row>
    <row r="3435" spans="1:14" x14ac:dyDescent="0.2">
      <c r="A3435" t="s">
        <v>4268</v>
      </c>
      <c r="B3435" s="1" t="s">
        <v>4226</v>
      </c>
      <c r="C3435" t="s">
        <v>14</v>
      </c>
      <c r="D3435" t="s">
        <v>445</v>
      </c>
      <c r="E3435">
        <v>12</v>
      </c>
      <c r="F3435" t="s">
        <v>3891</v>
      </c>
      <c r="G3435">
        <v>2023</v>
      </c>
      <c r="H3435" t="s">
        <v>104</v>
      </c>
      <c r="I3435" t="s">
        <v>62</v>
      </c>
      <c r="J3435">
        <v>899</v>
      </c>
      <c r="K3435">
        <v>295</v>
      </c>
      <c r="L3435">
        <f t="shared" si="788"/>
        <v>604</v>
      </c>
      <c r="M3435">
        <v>240</v>
      </c>
      <c r="N3435">
        <f t="shared" si="789"/>
        <v>364</v>
      </c>
    </row>
    <row r="3436" spans="1:14" x14ac:dyDescent="0.2">
      <c r="A3436" t="s">
        <v>4269</v>
      </c>
      <c r="B3436" s="1" t="s">
        <v>4226</v>
      </c>
      <c r="C3436" t="s">
        <v>14</v>
      </c>
      <c r="D3436" t="s">
        <v>379</v>
      </c>
      <c r="E3436">
        <v>12</v>
      </c>
      <c r="F3436" t="s">
        <v>3891</v>
      </c>
      <c r="G3436">
        <v>2023</v>
      </c>
      <c r="H3436" t="s">
        <v>4270</v>
      </c>
      <c r="I3436" t="s">
        <v>62</v>
      </c>
      <c r="J3436">
        <v>799</v>
      </c>
      <c r="K3436">
        <v>205</v>
      </c>
      <c r="L3436">
        <f t="shared" si="788"/>
        <v>594</v>
      </c>
      <c r="M3436">
        <v>240</v>
      </c>
      <c r="N3436">
        <f t="shared" si="789"/>
        <v>354</v>
      </c>
    </row>
    <row r="3437" spans="1:14" x14ac:dyDescent="0.2">
      <c r="A3437" t="s">
        <v>4271</v>
      </c>
      <c r="B3437" s="1" t="s">
        <v>4226</v>
      </c>
      <c r="C3437" t="s">
        <v>14</v>
      </c>
      <c r="D3437" t="s">
        <v>1508</v>
      </c>
      <c r="E3437">
        <v>12</v>
      </c>
      <c r="F3437" t="s">
        <v>3891</v>
      </c>
      <c r="G3437">
        <v>2023</v>
      </c>
      <c r="H3437" t="s">
        <v>902</v>
      </c>
      <c r="I3437" t="s">
        <v>135</v>
      </c>
      <c r="J3437">
        <v>999</v>
      </c>
      <c r="K3437">
        <v>325</v>
      </c>
      <c r="L3437">
        <f t="shared" si="788"/>
        <v>674</v>
      </c>
      <c r="M3437">
        <v>240</v>
      </c>
      <c r="N3437">
        <f t="shared" si="789"/>
        <v>434</v>
      </c>
    </row>
    <row r="3438" spans="1:14" x14ac:dyDescent="0.2">
      <c r="A3438" t="s">
        <v>4272</v>
      </c>
      <c r="B3438" s="1" t="s">
        <v>4226</v>
      </c>
      <c r="C3438" t="s">
        <v>14</v>
      </c>
      <c r="D3438" t="s">
        <v>445</v>
      </c>
      <c r="E3438">
        <v>12</v>
      </c>
      <c r="F3438" t="s">
        <v>3891</v>
      </c>
      <c r="G3438">
        <v>2023</v>
      </c>
      <c r="H3438" t="s">
        <v>215</v>
      </c>
      <c r="I3438" t="s">
        <v>135</v>
      </c>
      <c r="J3438">
        <v>899</v>
      </c>
      <c r="K3438">
        <v>295</v>
      </c>
      <c r="L3438">
        <f t="shared" si="788"/>
        <v>604</v>
      </c>
      <c r="M3438">
        <v>240</v>
      </c>
      <c r="N3438">
        <f t="shared" si="789"/>
        <v>364</v>
      </c>
    </row>
    <row r="3439" spans="1:14" x14ac:dyDescent="0.2">
      <c r="A3439" t="s">
        <v>4273</v>
      </c>
      <c r="B3439" s="1" t="s">
        <v>4226</v>
      </c>
      <c r="C3439" t="s">
        <v>14</v>
      </c>
      <c r="D3439" t="s">
        <v>504</v>
      </c>
      <c r="E3439">
        <v>12</v>
      </c>
      <c r="F3439" t="s">
        <v>3891</v>
      </c>
      <c r="G3439">
        <v>2023</v>
      </c>
      <c r="H3439" t="s">
        <v>4274</v>
      </c>
      <c r="I3439" t="s">
        <v>212</v>
      </c>
      <c r="J3439">
        <v>899</v>
      </c>
      <c r="K3439">
        <v>295</v>
      </c>
      <c r="L3439">
        <f t="shared" si="788"/>
        <v>604</v>
      </c>
      <c r="M3439">
        <v>240</v>
      </c>
      <c r="N3439">
        <f t="shared" si="789"/>
        <v>364</v>
      </c>
    </row>
    <row r="3440" spans="1:14" x14ac:dyDescent="0.2">
      <c r="A3440" t="s">
        <v>4275</v>
      </c>
      <c r="B3440" s="1" t="s">
        <v>4226</v>
      </c>
      <c r="C3440" t="s">
        <v>14</v>
      </c>
      <c r="D3440" t="s">
        <v>133</v>
      </c>
      <c r="E3440">
        <v>12</v>
      </c>
      <c r="F3440" t="s">
        <v>3891</v>
      </c>
      <c r="G3440">
        <v>2023</v>
      </c>
      <c r="H3440" t="s">
        <v>162</v>
      </c>
      <c r="I3440" t="s">
        <v>163</v>
      </c>
      <c r="J3440">
        <v>799</v>
      </c>
      <c r="K3440">
        <v>205</v>
      </c>
      <c r="L3440">
        <f t="shared" si="788"/>
        <v>594</v>
      </c>
      <c r="M3440">
        <v>240</v>
      </c>
      <c r="N3440">
        <f t="shared" si="789"/>
        <v>354</v>
      </c>
    </row>
    <row r="3441" spans="1:14" x14ac:dyDescent="0.2">
      <c r="A3441" t="s">
        <v>4276</v>
      </c>
      <c r="B3441" s="1" t="s">
        <v>4226</v>
      </c>
      <c r="C3441" t="s">
        <v>14</v>
      </c>
      <c r="D3441" t="s">
        <v>881</v>
      </c>
      <c r="E3441">
        <v>12</v>
      </c>
      <c r="F3441" t="s">
        <v>3891</v>
      </c>
      <c r="G3441">
        <v>2023</v>
      </c>
      <c r="H3441" t="s">
        <v>104</v>
      </c>
      <c r="I3441" t="s">
        <v>62</v>
      </c>
      <c r="J3441">
        <v>799</v>
      </c>
      <c r="K3441">
        <v>205</v>
      </c>
      <c r="L3441">
        <f t="shared" si="788"/>
        <v>594</v>
      </c>
      <c r="M3441">
        <v>240</v>
      </c>
      <c r="N3441">
        <f t="shared" si="789"/>
        <v>354</v>
      </c>
    </row>
    <row r="3442" spans="1:14" x14ac:dyDescent="0.2">
      <c r="A3442" t="s">
        <v>4227</v>
      </c>
      <c r="B3442" s="1" t="s">
        <v>4226</v>
      </c>
      <c r="C3442" t="s">
        <v>14</v>
      </c>
      <c r="D3442" t="s">
        <v>81</v>
      </c>
      <c r="E3442">
        <v>12</v>
      </c>
      <c r="F3442" t="s">
        <v>3891</v>
      </c>
      <c r="G3442">
        <v>2023</v>
      </c>
      <c r="H3442" t="s">
        <v>1093</v>
      </c>
      <c r="I3442" t="s">
        <v>144</v>
      </c>
      <c r="J3442">
        <v>849</v>
      </c>
      <c r="K3442">
        <v>250</v>
      </c>
      <c r="L3442">
        <f t="shared" si="788"/>
        <v>599</v>
      </c>
      <c r="M3442">
        <v>240</v>
      </c>
      <c r="N3442">
        <f t="shared" si="789"/>
        <v>359</v>
      </c>
    </row>
    <row r="3443" spans="1:14" x14ac:dyDescent="0.2">
      <c r="A3443" t="s">
        <v>4230</v>
      </c>
      <c r="B3443" s="1" t="s">
        <v>4226</v>
      </c>
      <c r="C3443" t="s">
        <v>14</v>
      </c>
      <c r="D3443" t="s">
        <v>940</v>
      </c>
      <c r="E3443">
        <v>12</v>
      </c>
      <c r="F3443" t="s">
        <v>3891</v>
      </c>
      <c r="G3443">
        <v>2023</v>
      </c>
      <c r="H3443" t="s">
        <v>193</v>
      </c>
      <c r="I3443" t="s">
        <v>62</v>
      </c>
      <c r="J3443">
        <v>799</v>
      </c>
      <c r="K3443">
        <v>205</v>
      </c>
      <c r="L3443">
        <f t="shared" si="788"/>
        <v>594</v>
      </c>
      <c r="M3443">
        <v>240</v>
      </c>
      <c r="N3443">
        <f t="shared" si="789"/>
        <v>354</v>
      </c>
    </row>
    <row r="3444" spans="1:14" x14ac:dyDescent="0.2">
      <c r="A3444" t="s">
        <v>4230</v>
      </c>
      <c r="B3444" s="1" t="s">
        <v>4226</v>
      </c>
      <c r="C3444" t="s">
        <v>14</v>
      </c>
      <c r="D3444" t="s">
        <v>1338</v>
      </c>
      <c r="E3444">
        <v>12</v>
      </c>
      <c r="F3444" t="s">
        <v>3891</v>
      </c>
      <c r="G3444">
        <v>2023</v>
      </c>
      <c r="H3444" t="s">
        <v>193</v>
      </c>
      <c r="I3444" t="s">
        <v>62</v>
      </c>
      <c r="J3444">
        <v>799</v>
      </c>
      <c r="K3444">
        <v>205</v>
      </c>
      <c r="L3444">
        <f t="shared" si="788"/>
        <v>594</v>
      </c>
      <c r="M3444">
        <v>240</v>
      </c>
      <c r="N3444">
        <f t="shared" si="789"/>
        <v>354</v>
      </c>
    </row>
    <row r="3445" spans="1:14" x14ac:dyDescent="0.2">
      <c r="A3445" t="s">
        <v>4230</v>
      </c>
      <c r="B3445" s="1" t="s">
        <v>4226</v>
      </c>
      <c r="C3445" t="s">
        <v>14</v>
      </c>
      <c r="D3445" t="s">
        <v>1937</v>
      </c>
      <c r="E3445">
        <v>12</v>
      </c>
      <c r="F3445" t="s">
        <v>3891</v>
      </c>
      <c r="G3445">
        <v>2023</v>
      </c>
      <c r="H3445" t="s">
        <v>193</v>
      </c>
      <c r="I3445" t="s">
        <v>62</v>
      </c>
      <c r="J3445">
        <v>799</v>
      </c>
      <c r="K3445">
        <v>205</v>
      </c>
      <c r="L3445">
        <f t="shared" si="788"/>
        <v>594</v>
      </c>
      <c r="M3445">
        <v>240</v>
      </c>
      <c r="N3445">
        <f t="shared" si="789"/>
        <v>354</v>
      </c>
    </row>
    <row r="3446" spans="1:14" x14ac:dyDescent="0.2">
      <c r="A3446" t="s">
        <v>3976</v>
      </c>
      <c r="B3446" s="1" t="s">
        <v>3935</v>
      </c>
      <c r="C3446" t="s">
        <v>106</v>
      </c>
      <c r="D3446" t="s">
        <v>504</v>
      </c>
      <c r="E3446">
        <v>3</v>
      </c>
      <c r="F3446" t="s">
        <v>3891</v>
      </c>
      <c r="G3446">
        <v>2023</v>
      </c>
      <c r="H3446" t="s">
        <v>170</v>
      </c>
      <c r="I3446" t="s">
        <v>171</v>
      </c>
      <c r="J3446">
        <v>-899</v>
      </c>
      <c r="K3446">
        <v>375</v>
      </c>
      <c r="L3446">
        <f>J3446+K3446</f>
        <v>-524</v>
      </c>
      <c r="M3446">
        <v>240</v>
      </c>
      <c r="N3446">
        <f>L3446+M3446</f>
        <v>-284</v>
      </c>
    </row>
    <row r="3447" spans="1:14" x14ac:dyDescent="0.2">
      <c r="A3447" t="s">
        <v>4277</v>
      </c>
      <c r="B3447" s="1" t="s">
        <v>4232</v>
      </c>
      <c r="C3447" t="s">
        <v>43</v>
      </c>
      <c r="D3447" t="s">
        <v>2429</v>
      </c>
      <c r="E3447">
        <v>13</v>
      </c>
      <c r="F3447" t="s">
        <v>3891</v>
      </c>
      <c r="G3447">
        <v>2023</v>
      </c>
      <c r="H3447" t="s">
        <v>2401</v>
      </c>
      <c r="I3447" t="s">
        <v>62</v>
      </c>
      <c r="J3447">
        <v>0</v>
      </c>
      <c r="K3447">
        <v>0</v>
      </c>
      <c r="L3447">
        <v>0</v>
      </c>
      <c r="M3447">
        <v>0</v>
      </c>
      <c r="N3447">
        <v>0</v>
      </c>
    </row>
    <row r="3448" spans="1:14" x14ac:dyDescent="0.2">
      <c r="A3448" t="s">
        <v>4247</v>
      </c>
      <c r="B3448" s="1" t="s">
        <v>4221</v>
      </c>
      <c r="C3448" t="s">
        <v>106</v>
      </c>
      <c r="D3448" t="s">
        <v>133</v>
      </c>
      <c r="E3448">
        <v>11</v>
      </c>
      <c r="F3448" t="s">
        <v>3891</v>
      </c>
      <c r="G3448">
        <v>2023</v>
      </c>
      <c r="H3448" t="s">
        <v>150</v>
      </c>
      <c r="I3448" t="s">
        <v>62</v>
      </c>
      <c r="J3448">
        <v>-799</v>
      </c>
      <c r="K3448">
        <v>320</v>
      </c>
      <c r="L3448">
        <f t="shared" ref="L3448:L3449" si="790">J3448+K3448</f>
        <v>-479</v>
      </c>
      <c r="M3448">
        <v>240</v>
      </c>
      <c r="N3448">
        <f t="shared" ref="N3448:N3449" si="791">L3448+M3448</f>
        <v>-239</v>
      </c>
    </row>
    <row r="3449" spans="1:14" x14ac:dyDescent="0.2">
      <c r="A3449" t="s">
        <v>4042</v>
      </c>
      <c r="B3449" s="1" t="s">
        <v>3978</v>
      </c>
      <c r="C3449" t="s">
        <v>106</v>
      </c>
      <c r="D3449" t="s">
        <v>1076</v>
      </c>
      <c r="E3449">
        <v>4</v>
      </c>
      <c r="F3449" t="s">
        <v>3891</v>
      </c>
      <c r="G3449">
        <v>2023</v>
      </c>
      <c r="H3449" t="s">
        <v>215</v>
      </c>
      <c r="I3449" t="s">
        <v>135</v>
      </c>
      <c r="J3449">
        <v>-849</v>
      </c>
      <c r="K3449">
        <v>345</v>
      </c>
      <c r="L3449">
        <f t="shared" si="790"/>
        <v>-504</v>
      </c>
      <c r="M3449">
        <v>240</v>
      </c>
      <c r="N3449">
        <f t="shared" si="791"/>
        <v>-264</v>
      </c>
    </row>
    <row r="3450" spans="1:14" x14ac:dyDescent="0.2">
      <c r="A3450" t="s">
        <v>4233</v>
      </c>
      <c r="B3450" s="1" t="s">
        <v>4232</v>
      </c>
      <c r="C3450" t="s">
        <v>14</v>
      </c>
      <c r="D3450" t="s">
        <v>573</v>
      </c>
      <c r="E3450">
        <v>13</v>
      </c>
      <c r="F3450" t="s">
        <v>3891</v>
      </c>
      <c r="G3450">
        <v>2023</v>
      </c>
      <c r="H3450" t="s">
        <v>4234</v>
      </c>
      <c r="I3450" t="s">
        <v>32</v>
      </c>
      <c r="J3450">
        <v>899</v>
      </c>
      <c r="K3450">
        <v>295</v>
      </c>
      <c r="L3450">
        <f t="shared" ref="L3450:L3466" si="792">J3450-K3450</f>
        <v>604</v>
      </c>
      <c r="M3450">
        <v>240</v>
      </c>
      <c r="N3450">
        <f t="shared" ref="N3450:N3466" si="793">L3450-M3450</f>
        <v>364</v>
      </c>
    </row>
    <row r="3451" spans="1:14" x14ac:dyDescent="0.2">
      <c r="A3451" t="s">
        <v>4278</v>
      </c>
      <c r="B3451" s="1" t="s">
        <v>4232</v>
      </c>
      <c r="C3451" t="s">
        <v>14</v>
      </c>
      <c r="D3451" t="s">
        <v>1228</v>
      </c>
      <c r="E3451">
        <v>13</v>
      </c>
      <c r="F3451" t="s">
        <v>3891</v>
      </c>
      <c r="G3451">
        <v>2023</v>
      </c>
      <c r="H3451" t="s">
        <v>3691</v>
      </c>
      <c r="I3451" t="s">
        <v>253</v>
      </c>
      <c r="J3451">
        <v>799</v>
      </c>
      <c r="K3451">
        <v>205</v>
      </c>
      <c r="L3451">
        <f t="shared" si="792"/>
        <v>594</v>
      </c>
      <c r="M3451">
        <v>240</v>
      </c>
      <c r="N3451">
        <f t="shared" si="793"/>
        <v>354</v>
      </c>
    </row>
    <row r="3452" spans="1:14" x14ac:dyDescent="0.2">
      <c r="A3452" t="s">
        <v>4279</v>
      </c>
      <c r="B3452" s="1" t="s">
        <v>4232</v>
      </c>
      <c r="C3452" t="s">
        <v>14</v>
      </c>
      <c r="D3452" t="s">
        <v>1076</v>
      </c>
      <c r="E3452">
        <v>13</v>
      </c>
      <c r="F3452" t="s">
        <v>3891</v>
      </c>
      <c r="G3452">
        <v>2023</v>
      </c>
      <c r="H3452" t="s">
        <v>4280</v>
      </c>
      <c r="I3452" t="s">
        <v>122</v>
      </c>
      <c r="J3452">
        <v>849</v>
      </c>
      <c r="K3452">
        <v>250</v>
      </c>
      <c r="L3452">
        <f t="shared" si="792"/>
        <v>599</v>
      </c>
      <c r="M3452">
        <v>240</v>
      </c>
      <c r="N3452">
        <f t="shared" si="793"/>
        <v>359</v>
      </c>
    </row>
    <row r="3453" spans="1:14" x14ac:dyDescent="0.2">
      <c r="A3453" t="s">
        <v>4281</v>
      </c>
      <c r="B3453" s="1" t="s">
        <v>4232</v>
      </c>
      <c r="C3453" t="s">
        <v>14</v>
      </c>
      <c r="D3453" t="s">
        <v>448</v>
      </c>
      <c r="E3453">
        <v>13</v>
      </c>
      <c r="F3453" t="s">
        <v>3891</v>
      </c>
      <c r="G3453">
        <v>2023</v>
      </c>
      <c r="H3453" t="s">
        <v>2672</v>
      </c>
      <c r="I3453" t="s">
        <v>135</v>
      </c>
      <c r="J3453">
        <v>899</v>
      </c>
      <c r="K3453">
        <v>295</v>
      </c>
      <c r="L3453">
        <f t="shared" si="792"/>
        <v>604</v>
      </c>
      <c r="M3453">
        <v>240</v>
      </c>
      <c r="N3453">
        <f t="shared" si="793"/>
        <v>364</v>
      </c>
    </row>
    <row r="3454" spans="1:14" x14ac:dyDescent="0.2">
      <c r="A3454" t="s">
        <v>4282</v>
      </c>
      <c r="B3454" s="1" t="s">
        <v>4232</v>
      </c>
      <c r="C3454" t="s">
        <v>14</v>
      </c>
      <c r="D3454" t="s">
        <v>1386</v>
      </c>
      <c r="E3454">
        <v>13</v>
      </c>
      <c r="F3454" t="s">
        <v>3891</v>
      </c>
      <c r="G3454">
        <v>2023</v>
      </c>
      <c r="H3454" t="s">
        <v>309</v>
      </c>
      <c r="I3454" t="s">
        <v>212</v>
      </c>
      <c r="J3454">
        <v>799</v>
      </c>
      <c r="K3454">
        <v>205</v>
      </c>
      <c r="L3454">
        <f t="shared" si="792"/>
        <v>594</v>
      </c>
      <c r="M3454">
        <v>240</v>
      </c>
      <c r="N3454">
        <f t="shared" si="793"/>
        <v>354</v>
      </c>
    </row>
    <row r="3455" spans="1:14" x14ac:dyDescent="0.2">
      <c r="A3455" t="s">
        <v>4283</v>
      </c>
      <c r="B3455" s="1" t="s">
        <v>4232</v>
      </c>
      <c r="C3455" t="s">
        <v>14</v>
      </c>
      <c r="D3455" t="s">
        <v>81</v>
      </c>
      <c r="E3455">
        <v>13</v>
      </c>
      <c r="F3455" t="s">
        <v>3891</v>
      </c>
      <c r="G3455">
        <v>2023</v>
      </c>
      <c r="H3455" t="s">
        <v>198</v>
      </c>
      <c r="I3455" t="s">
        <v>32</v>
      </c>
      <c r="J3455">
        <v>849</v>
      </c>
      <c r="K3455">
        <v>250</v>
      </c>
      <c r="L3455">
        <f t="shared" si="792"/>
        <v>599</v>
      </c>
      <c r="M3455">
        <v>240</v>
      </c>
      <c r="N3455">
        <f t="shared" si="793"/>
        <v>359</v>
      </c>
    </row>
    <row r="3456" spans="1:14" x14ac:dyDescent="0.2">
      <c r="A3456" t="s">
        <v>4284</v>
      </c>
      <c r="B3456" s="1" t="s">
        <v>4232</v>
      </c>
      <c r="C3456" t="s">
        <v>14</v>
      </c>
      <c r="D3456" t="s">
        <v>452</v>
      </c>
      <c r="E3456">
        <v>13</v>
      </c>
      <c r="F3456" t="s">
        <v>3891</v>
      </c>
      <c r="G3456">
        <v>2023</v>
      </c>
      <c r="H3456" t="s">
        <v>2622</v>
      </c>
      <c r="I3456" t="s">
        <v>502</v>
      </c>
      <c r="J3456">
        <v>799</v>
      </c>
      <c r="K3456">
        <v>205</v>
      </c>
      <c r="L3456">
        <f t="shared" si="792"/>
        <v>594</v>
      </c>
      <c r="M3456">
        <v>240</v>
      </c>
      <c r="N3456">
        <f t="shared" si="793"/>
        <v>354</v>
      </c>
    </row>
    <row r="3457" spans="1:14" x14ac:dyDescent="0.2">
      <c r="A3457" t="s">
        <v>4285</v>
      </c>
      <c r="B3457" s="1" t="s">
        <v>4232</v>
      </c>
      <c r="C3457" t="s">
        <v>14</v>
      </c>
      <c r="D3457" t="s">
        <v>2152</v>
      </c>
      <c r="E3457">
        <v>13</v>
      </c>
      <c r="F3457" t="s">
        <v>3891</v>
      </c>
      <c r="G3457">
        <v>2023</v>
      </c>
      <c r="H3457" t="s">
        <v>68</v>
      </c>
      <c r="I3457" t="s">
        <v>62</v>
      </c>
      <c r="J3457">
        <v>799</v>
      </c>
      <c r="K3457">
        <v>205</v>
      </c>
      <c r="L3457">
        <f t="shared" si="792"/>
        <v>594</v>
      </c>
      <c r="M3457">
        <v>240</v>
      </c>
      <c r="N3457">
        <f t="shared" si="793"/>
        <v>354</v>
      </c>
    </row>
    <row r="3458" spans="1:14" x14ac:dyDescent="0.2">
      <c r="A3458" t="s">
        <v>4286</v>
      </c>
      <c r="B3458" s="1" t="s">
        <v>4226</v>
      </c>
      <c r="C3458" t="s">
        <v>14</v>
      </c>
      <c r="D3458" t="s">
        <v>1780</v>
      </c>
      <c r="E3458">
        <v>12</v>
      </c>
      <c r="F3458" t="s">
        <v>3891</v>
      </c>
      <c r="G3458">
        <v>2023</v>
      </c>
      <c r="H3458" t="s">
        <v>84</v>
      </c>
      <c r="I3458" t="s">
        <v>85</v>
      </c>
      <c r="J3458">
        <v>799</v>
      </c>
      <c r="K3458">
        <v>205</v>
      </c>
      <c r="L3458">
        <f t="shared" si="792"/>
        <v>594</v>
      </c>
      <c r="M3458">
        <v>240</v>
      </c>
      <c r="N3458">
        <f t="shared" si="793"/>
        <v>354</v>
      </c>
    </row>
    <row r="3459" spans="1:14" x14ac:dyDescent="0.2">
      <c r="A3459" t="s">
        <v>4287</v>
      </c>
      <c r="B3459" s="1" t="s">
        <v>4232</v>
      </c>
      <c r="C3459" t="s">
        <v>14</v>
      </c>
      <c r="D3459" t="s">
        <v>840</v>
      </c>
      <c r="E3459">
        <v>13</v>
      </c>
      <c r="F3459" t="s">
        <v>3891</v>
      </c>
      <c r="G3459">
        <v>2023</v>
      </c>
      <c r="H3459" t="s">
        <v>170</v>
      </c>
      <c r="I3459" t="s">
        <v>171</v>
      </c>
      <c r="J3459">
        <v>999</v>
      </c>
      <c r="K3459">
        <v>325</v>
      </c>
      <c r="L3459">
        <f t="shared" si="792"/>
        <v>674</v>
      </c>
      <c r="M3459">
        <v>240</v>
      </c>
      <c r="N3459">
        <f t="shared" si="793"/>
        <v>434</v>
      </c>
    </row>
    <row r="3460" spans="1:14" x14ac:dyDescent="0.2">
      <c r="A3460" t="s">
        <v>4288</v>
      </c>
      <c r="B3460" s="1" t="s">
        <v>4232</v>
      </c>
      <c r="C3460" t="s">
        <v>14</v>
      </c>
      <c r="D3460" t="s">
        <v>1915</v>
      </c>
      <c r="E3460">
        <v>13</v>
      </c>
      <c r="F3460" t="s">
        <v>3891</v>
      </c>
      <c r="G3460">
        <v>2023</v>
      </c>
      <c r="H3460" t="s">
        <v>157</v>
      </c>
      <c r="I3460" t="s">
        <v>97</v>
      </c>
      <c r="J3460">
        <v>799</v>
      </c>
      <c r="K3460">
        <v>205</v>
      </c>
      <c r="L3460">
        <f t="shared" si="792"/>
        <v>594</v>
      </c>
      <c r="M3460">
        <v>240</v>
      </c>
      <c r="N3460">
        <f t="shared" si="793"/>
        <v>354</v>
      </c>
    </row>
    <row r="3461" spans="1:14" x14ac:dyDescent="0.2">
      <c r="A3461" t="s">
        <v>4289</v>
      </c>
      <c r="B3461" s="1" t="s">
        <v>4226</v>
      </c>
      <c r="C3461" t="s">
        <v>14</v>
      </c>
      <c r="D3461" t="s">
        <v>242</v>
      </c>
      <c r="E3461">
        <v>12</v>
      </c>
      <c r="F3461" t="s">
        <v>3891</v>
      </c>
      <c r="G3461">
        <v>2023</v>
      </c>
      <c r="H3461" t="s">
        <v>170</v>
      </c>
      <c r="I3461" t="s">
        <v>171</v>
      </c>
      <c r="J3461">
        <v>899</v>
      </c>
      <c r="K3461">
        <v>295</v>
      </c>
      <c r="L3461">
        <f t="shared" si="792"/>
        <v>604</v>
      </c>
      <c r="M3461">
        <v>240</v>
      </c>
      <c r="N3461">
        <f t="shared" si="793"/>
        <v>364</v>
      </c>
    </row>
    <row r="3462" spans="1:14" x14ac:dyDescent="0.2">
      <c r="A3462" t="s">
        <v>4290</v>
      </c>
      <c r="B3462" s="1" t="s">
        <v>4232</v>
      </c>
      <c r="C3462" t="s">
        <v>14</v>
      </c>
      <c r="D3462" t="s">
        <v>895</v>
      </c>
      <c r="E3462">
        <v>13</v>
      </c>
      <c r="F3462" t="s">
        <v>3891</v>
      </c>
      <c r="G3462">
        <v>2023</v>
      </c>
      <c r="H3462" t="s">
        <v>2099</v>
      </c>
      <c r="I3462" t="s">
        <v>32</v>
      </c>
      <c r="J3462">
        <v>849</v>
      </c>
      <c r="K3462">
        <v>250</v>
      </c>
      <c r="L3462">
        <f t="shared" si="792"/>
        <v>599</v>
      </c>
      <c r="M3462">
        <v>240</v>
      </c>
      <c r="N3462">
        <f t="shared" si="793"/>
        <v>359</v>
      </c>
    </row>
    <row r="3463" spans="1:14" x14ac:dyDescent="0.2">
      <c r="A3463" t="s">
        <v>4291</v>
      </c>
      <c r="B3463" s="1" t="s">
        <v>4232</v>
      </c>
      <c r="C3463" t="s">
        <v>14</v>
      </c>
      <c r="D3463" t="s">
        <v>4292</v>
      </c>
      <c r="E3463">
        <v>13</v>
      </c>
      <c r="F3463" t="s">
        <v>3891</v>
      </c>
      <c r="G3463">
        <v>2023</v>
      </c>
      <c r="H3463" t="s">
        <v>848</v>
      </c>
      <c r="I3463" t="s">
        <v>376</v>
      </c>
      <c r="J3463">
        <v>799</v>
      </c>
      <c r="K3463">
        <v>205</v>
      </c>
      <c r="L3463">
        <f t="shared" si="792"/>
        <v>594</v>
      </c>
      <c r="M3463">
        <v>240</v>
      </c>
      <c r="N3463">
        <f t="shared" si="793"/>
        <v>354</v>
      </c>
    </row>
    <row r="3464" spans="1:14" x14ac:dyDescent="0.2">
      <c r="A3464" t="s">
        <v>4293</v>
      </c>
      <c r="B3464" s="1" t="s">
        <v>4232</v>
      </c>
      <c r="C3464" t="s">
        <v>14</v>
      </c>
      <c r="D3464" t="s">
        <v>1182</v>
      </c>
      <c r="E3464">
        <v>13</v>
      </c>
      <c r="F3464" t="s">
        <v>3891</v>
      </c>
      <c r="G3464">
        <v>2023</v>
      </c>
      <c r="H3464" t="s">
        <v>4294</v>
      </c>
      <c r="I3464" t="s">
        <v>1742</v>
      </c>
      <c r="J3464">
        <v>799</v>
      </c>
      <c r="K3464">
        <v>205</v>
      </c>
      <c r="L3464">
        <f t="shared" si="792"/>
        <v>594</v>
      </c>
      <c r="M3464">
        <v>240</v>
      </c>
      <c r="N3464">
        <f t="shared" si="793"/>
        <v>354</v>
      </c>
    </row>
    <row r="3465" spans="1:14" x14ac:dyDescent="0.2">
      <c r="A3465" t="s">
        <v>4295</v>
      </c>
      <c r="B3465" s="1" t="s">
        <v>4226</v>
      </c>
      <c r="C3465" t="s">
        <v>14</v>
      </c>
      <c r="D3465" t="s">
        <v>1178</v>
      </c>
      <c r="E3465">
        <v>12</v>
      </c>
      <c r="F3465" t="s">
        <v>3891</v>
      </c>
      <c r="G3465">
        <v>2023</v>
      </c>
      <c r="H3465" t="s">
        <v>157</v>
      </c>
      <c r="I3465" t="s">
        <v>97</v>
      </c>
      <c r="J3465">
        <v>799</v>
      </c>
      <c r="K3465">
        <v>205</v>
      </c>
      <c r="L3465">
        <f t="shared" si="792"/>
        <v>594</v>
      </c>
      <c r="M3465">
        <v>240</v>
      </c>
      <c r="N3465">
        <f t="shared" si="793"/>
        <v>354</v>
      </c>
    </row>
    <row r="3466" spans="1:14" x14ac:dyDescent="0.2">
      <c r="A3466" t="s">
        <v>4296</v>
      </c>
      <c r="B3466" s="1" t="s">
        <v>4232</v>
      </c>
      <c r="C3466" t="s">
        <v>14</v>
      </c>
      <c r="D3466" t="s">
        <v>425</v>
      </c>
      <c r="E3466">
        <v>13</v>
      </c>
      <c r="F3466" t="s">
        <v>3891</v>
      </c>
      <c r="G3466">
        <v>2023</v>
      </c>
      <c r="H3466" t="s">
        <v>1490</v>
      </c>
      <c r="I3466" t="s">
        <v>97</v>
      </c>
      <c r="J3466">
        <v>799</v>
      </c>
      <c r="K3466">
        <v>205</v>
      </c>
      <c r="L3466">
        <f t="shared" si="792"/>
        <v>594</v>
      </c>
      <c r="M3466">
        <v>240</v>
      </c>
      <c r="N3466">
        <f t="shared" si="793"/>
        <v>354</v>
      </c>
    </row>
    <row r="3467" spans="1:14" x14ac:dyDescent="0.2">
      <c r="A3467" t="s">
        <v>3973</v>
      </c>
      <c r="B3467" s="1" t="s">
        <v>3935</v>
      </c>
      <c r="C3467" t="s">
        <v>106</v>
      </c>
      <c r="D3467" t="s">
        <v>798</v>
      </c>
      <c r="E3467">
        <v>3</v>
      </c>
      <c r="F3467" t="s">
        <v>3891</v>
      </c>
      <c r="G3467">
        <v>2023</v>
      </c>
      <c r="H3467" t="s">
        <v>600</v>
      </c>
      <c r="I3467" t="s">
        <v>23</v>
      </c>
      <c r="J3467">
        <v>-799</v>
      </c>
      <c r="K3467">
        <v>320</v>
      </c>
      <c r="L3467">
        <f t="shared" ref="L3467:L3468" si="794">J3467+K3467</f>
        <v>-479</v>
      </c>
      <c r="M3467">
        <v>240</v>
      </c>
      <c r="N3467">
        <f t="shared" ref="N3467:N3468" si="795">L3467+M3467</f>
        <v>-239</v>
      </c>
    </row>
    <row r="3468" spans="1:14" x14ac:dyDescent="0.2">
      <c r="A3468" t="s">
        <v>3971</v>
      </c>
      <c r="B3468" s="1" t="s">
        <v>3889</v>
      </c>
      <c r="C3468" t="s">
        <v>106</v>
      </c>
      <c r="D3468" t="s">
        <v>1548</v>
      </c>
      <c r="E3468">
        <v>1</v>
      </c>
      <c r="F3468" t="s">
        <v>3891</v>
      </c>
      <c r="G3468">
        <v>2023</v>
      </c>
      <c r="H3468" t="s">
        <v>3972</v>
      </c>
      <c r="I3468" t="s">
        <v>1742</v>
      </c>
      <c r="J3468">
        <v>-799</v>
      </c>
      <c r="K3468">
        <v>320</v>
      </c>
      <c r="L3468">
        <f t="shared" si="794"/>
        <v>-479</v>
      </c>
      <c r="M3468">
        <v>240</v>
      </c>
      <c r="N3468">
        <f t="shared" si="795"/>
        <v>-239</v>
      </c>
    </row>
    <row r="3469" spans="1:14" x14ac:dyDescent="0.2">
      <c r="A3469" t="s">
        <v>4298</v>
      </c>
      <c r="B3469" s="1" t="s">
        <v>4297</v>
      </c>
      <c r="C3469" t="s">
        <v>43</v>
      </c>
      <c r="D3469" t="s">
        <v>548</v>
      </c>
      <c r="E3469">
        <v>14</v>
      </c>
      <c r="F3469" t="s">
        <v>3891</v>
      </c>
      <c r="G3469">
        <v>2023</v>
      </c>
      <c r="H3469" t="s">
        <v>2173</v>
      </c>
      <c r="I3469" t="s">
        <v>23</v>
      </c>
      <c r="J3469">
        <v>0</v>
      </c>
      <c r="K3469">
        <v>0</v>
      </c>
      <c r="L3469">
        <v>0</v>
      </c>
      <c r="M3469">
        <v>0</v>
      </c>
      <c r="N3469">
        <v>0</v>
      </c>
    </row>
    <row r="3470" spans="1:14" x14ac:dyDescent="0.2">
      <c r="A3470" t="s">
        <v>4188</v>
      </c>
      <c r="B3470" s="1" t="s">
        <v>4187</v>
      </c>
      <c r="C3470" t="s">
        <v>106</v>
      </c>
      <c r="D3470" t="s">
        <v>901</v>
      </c>
      <c r="E3470">
        <v>10</v>
      </c>
      <c r="F3470" t="s">
        <v>3891</v>
      </c>
      <c r="G3470">
        <v>2023</v>
      </c>
      <c r="H3470" t="s">
        <v>4189</v>
      </c>
      <c r="I3470" t="s">
        <v>58</v>
      </c>
      <c r="J3470">
        <v>-799</v>
      </c>
      <c r="K3470">
        <v>320</v>
      </c>
      <c r="L3470">
        <f t="shared" ref="L3470:L3471" si="796">J3470+K3470</f>
        <v>-479</v>
      </c>
      <c r="M3470">
        <v>240</v>
      </c>
      <c r="N3470">
        <f t="shared" ref="N3470:N3471" si="797">L3470+M3470</f>
        <v>-239</v>
      </c>
    </row>
    <row r="3471" spans="1:14" x14ac:dyDescent="0.2">
      <c r="A3471" t="s">
        <v>4132</v>
      </c>
      <c r="B3471" s="1" t="s">
        <v>4054</v>
      </c>
      <c r="C3471" t="s">
        <v>106</v>
      </c>
      <c r="D3471" t="s">
        <v>448</v>
      </c>
      <c r="E3471">
        <v>7</v>
      </c>
      <c r="F3471" t="s">
        <v>3891</v>
      </c>
      <c r="G3471">
        <v>2023</v>
      </c>
      <c r="H3471" t="s">
        <v>246</v>
      </c>
      <c r="I3471" t="s">
        <v>58</v>
      </c>
      <c r="J3471">
        <v>-899</v>
      </c>
      <c r="K3471">
        <v>375</v>
      </c>
      <c r="L3471">
        <f t="shared" si="796"/>
        <v>-524</v>
      </c>
      <c r="M3471">
        <v>240</v>
      </c>
      <c r="N3471">
        <f t="shared" si="797"/>
        <v>-284</v>
      </c>
    </row>
    <row r="3472" spans="1:14" x14ac:dyDescent="0.2">
      <c r="A3472" t="s">
        <v>4299</v>
      </c>
      <c r="B3472" s="1" t="s">
        <v>4297</v>
      </c>
      <c r="C3472" t="s">
        <v>43</v>
      </c>
      <c r="D3472" t="s">
        <v>548</v>
      </c>
      <c r="E3472">
        <v>14</v>
      </c>
      <c r="F3472" t="s">
        <v>3891</v>
      </c>
      <c r="G3472">
        <v>2023</v>
      </c>
      <c r="H3472" t="s">
        <v>4300</v>
      </c>
      <c r="I3472" t="s">
        <v>62</v>
      </c>
      <c r="J3472">
        <v>0</v>
      </c>
      <c r="K3472">
        <v>0</v>
      </c>
      <c r="L3472">
        <v>0</v>
      </c>
      <c r="M3472">
        <v>0</v>
      </c>
      <c r="N3472">
        <v>0</v>
      </c>
    </row>
    <row r="3473" spans="1:14" x14ac:dyDescent="0.2">
      <c r="A3473" t="s">
        <v>4276</v>
      </c>
      <c r="B3473" s="1" t="s">
        <v>4226</v>
      </c>
      <c r="C3473" t="s">
        <v>106</v>
      </c>
      <c r="D3473" t="s">
        <v>881</v>
      </c>
      <c r="E3473">
        <v>12</v>
      </c>
      <c r="F3473" t="s">
        <v>3891</v>
      </c>
      <c r="G3473">
        <v>2023</v>
      </c>
      <c r="H3473" t="s">
        <v>104</v>
      </c>
      <c r="I3473" t="s">
        <v>62</v>
      </c>
      <c r="J3473">
        <v>-799</v>
      </c>
      <c r="K3473">
        <v>320</v>
      </c>
      <c r="L3473">
        <f t="shared" ref="L3473:L3474" si="798">J3473+K3473</f>
        <v>-479</v>
      </c>
      <c r="M3473">
        <v>240</v>
      </c>
      <c r="N3473">
        <f t="shared" ref="N3473:N3474" si="799">L3473+M3473</f>
        <v>-239</v>
      </c>
    </row>
    <row r="3474" spans="1:14" x14ac:dyDescent="0.2">
      <c r="A3474" t="s">
        <v>4156</v>
      </c>
      <c r="B3474" s="1" t="s">
        <v>4100</v>
      </c>
      <c r="C3474" t="s">
        <v>106</v>
      </c>
      <c r="D3474" t="s">
        <v>169</v>
      </c>
      <c r="E3474">
        <v>8</v>
      </c>
      <c r="F3474" t="s">
        <v>3891</v>
      </c>
      <c r="G3474">
        <v>2023</v>
      </c>
      <c r="H3474" t="s">
        <v>104</v>
      </c>
      <c r="I3474" t="s">
        <v>62</v>
      </c>
      <c r="J3474">
        <v>-799</v>
      </c>
      <c r="K3474">
        <v>320</v>
      </c>
      <c r="L3474">
        <f t="shared" si="798"/>
        <v>-479</v>
      </c>
      <c r="M3474">
        <v>240</v>
      </c>
      <c r="N3474">
        <f t="shared" si="799"/>
        <v>-239</v>
      </c>
    </row>
    <row r="3475" spans="1:14" x14ac:dyDescent="0.2">
      <c r="A3475" t="s">
        <v>4301</v>
      </c>
      <c r="B3475" s="1" t="s">
        <v>4297</v>
      </c>
      <c r="C3475" t="s">
        <v>14</v>
      </c>
      <c r="D3475" t="s">
        <v>81</v>
      </c>
      <c r="E3475">
        <v>14</v>
      </c>
      <c r="F3475" t="s">
        <v>3891</v>
      </c>
      <c r="G3475">
        <v>2023</v>
      </c>
      <c r="H3475" t="s">
        <v>567</v>
      </c>
      <c r="I3475" t="s">
        <v>23</v>
      </c>
      <c r="J3475">
        <v>849</v>
      </c>
      <c r="K3475">
        <v>250</v>
      </c>
      <c r="L3475">
        <f t="shared" ref="L3475:L3485" si="800">J3475-K3475</f>
        <v>599</v>
      </c>
      <c r="M3475">
        <v>240</v>
      </c>
      <c r="N3475">
        <f t="shared" ref="N3475:N3485" si="801">L3475-M3475</f>
        <v>359</v>
      </c>
    </row>
    <row r="3476" spans="1:14" x14ac:dyDescent="0.2">
      <c r="A3476" t="s">
        <v>4302</v>
      </c>
      <c r="B3476" s="1" t="s">
        <v>4297</v>
      </c>
      <c r="C3476" t="s">
        <v>14</v>
      </c>
      <c r="D3476" t="s">
        <v>448</v>
      </c>
      <c r="E3476">
        <v>14</v>
      </c>
      <c r="F3476" t="s">
        <v>3891</v>
      </c>
      <c r="G3476">
        <v>2023</v>
      </c>
      <c r="H3476" t="s">
        <v>198</v>
      </c>
      <c r="I3476" t="s">
        <v>32</v>
      </c>
      <c r="J3476">
        <v>899</v>
      </c>
      <c r="K3476">
        <v>295</v>
      </c>
      <c r="L3476">
        <f t="shared" si="800"/>
        <v>604</v>
      </c>
      <c r="M3476">
        <v>240</v>
      </c>
      <c r="N3476">
        <f t="shared" si="801"/>
        <v>364</v>
      </c>
    </row>
    <row r="3477" spans="1:14" x14ac:dyDescent="0.2">
      <c r="A3477" t="s">
        <v>4303</v>
      </c>
      <c r="B3477" s="1" t="s">
        <v>4297</v>
      </c>
      <c r="C3477" t="s">
        <v>14</v>
      </c>
      <c r="D3477" t="s">
        <v>242</v>
      </c>
      <c r="E3477">
        <v>14</v>
      </c>
      <c r="F3477" t="s">
        <v>3891</v>
      </c>
      <c r="G3477">
        <v>2023</v>
      </c>
      <c r="H3477" t="s">
        <v>246</v>
      </c>
      <c r="I3477" t="s">
        <v>58</v>
      </c>
      <c r="J3477">
        <v>899</v>
      </c>
      <c r="K3477">
        <v>295</v>
      </c>
      <c r="L3477">
        <f t="shared" si="800"/>
        <v>604</v>
      </c>
      <c r="M3477">
        <v>240</v>
      </c>
      <c r="N3477">
        <f t="shared" si="801"/>
        <v>364</v>
      </c>
    </row>
    <row r="3478" spans="1:14" x14ac:dyDescent="0.2">
      <c r="A3478" t="s">
        <v>4304</v>
      </c>
      <c r="B3478" s="1" t="s">
        <v>4297</v>
      </c>
      <c r="C3478" t="s">
        <v>14</v>
      </c>
      <c r="D3478" t="s">
        <v>1556</v>
      </c>
      <c r="E3478">
        <v>14</v>
      </c>
      <c r="F3478" t="s">
        <v>3891</v>
      </c>
      <c r="G3478">
        <v>2023</v>
      </c>
      <c r="H3478" t="s">
        <v>314</v>
      </c>
      <c r="I3478" t="s">
        <v>58</v>
      </c>
      <c r="J3478">
        <v>899</v>
      </c>
      <c r="K3478">
        <v>295</v>
      </c>
      <c r="L3478">
        <f t="shared" si="800"/>
        <v>604</v>
      </c>
      <c r="M3478">
        <v>240</v>
      </c>
      <c r="N3478">
        <f t="shared" si="801"/>
        <v>364</v>
      </c>
    </row>
    <row r="3479" spans="1:14" x14ac:dyDescent="0.2">
      <c r="A3479" t="s">
        <v>4305</v>
      </c>
      <c r="B3479" s="1" t="s">
        <v>4297</v>
      </c>
      <c r="C3479" t="s">
        <v>14</v>
      </c>
      <c r="D3479" t="s">
        <v>1486</v>
      </c>
      <c r="E3479">
        <v>14</v>
      </c>
      <c r="F3479" t="s">
        <v>3891</v>
      </c>
      <c r="G3479">
        <v>2023</v>
      </c>
      <c r="H3479" t="s">
        <v>417</v>
      </c>
      <c r="I3479" t="s">
        <v>253</v>
      </c>
      <c r="J3479">
        <v>999</v>
      </c>
      <c r="K3479">
        <v>325</v>
      </c>
      <c r="L3479">
        <f t="shared" si="800"/>
        <v>674</v>
      </c>
      <c r="M3479">
        <v>240</v>
      </c>
      <c r="N3479">
        <f t="shared" si="801"/>
        <v>434</v>
      </c>
    </row>
    <row r="3480" spans="1:14" x14ac:dyDescent="0.2">
      <c r="A3480" t="s">
        <v>4306</v>
      </c>
      <c r="B3480" s="1" t="s">
        <v>4297</v>
      </c>
      <c r="C3480" t="s">
        <v>14</v>
      </c>
      <c r="D3480" t="s">
        <v>490</v>
      </c>
      <c r="E3480">
        <v>14</v>
      </c>
      <c r="F3480" t="s">
        <v>3891</v>
      </c>
      <c r="G3480">
        <v>2023</v>
      </c>
      <c r="H3480" t="s">
        <v>2564</v>
      </c>
      <c r="I3480" t="s">
        <v>62</v>
      </c>
      <c r="J3480">
        <v>899</v>
      </c>
      <c r="K3480">
        <v>295</v>
      </c>
      <c r="L3480">
        <f t="shared" si="800"/>
        <v>604</v>
      </c>
      <c r="M3480">
        <v>240</v>
      </c>
      <c r="N3480">
        <f t="shared" si="801"/>
        <v>364</v>
      </c>
    </row>
    <row r="3481" spans="1:14" x14ac:dyDescent="0.2">
      <c r="A3481" t="s">
        <v>4307</v>
      </c>
      <c r="B3481" s="1" t="s">
        <v>4297</v>
      </c>
      <c r="C3481" t="s">
        <v>14</v>
      </c>
      <c r="D3481" t="s">
        <v>812</v>
      </c>
      <c r="E3481">
        <v>14</v>
      </c>
      <c r="F3481" t="s">
        <v>3891</v>
      </c>
      <c r="G3481">
        <v>2023</v>
      </c>
      <c r="H3481" t="s">
        <v>49</v>
      </c>
      <c r="I3481" t="s">
        <v>32</v>
      </c>
      <c r="J3481">
        <v>999</v>
      </c>
      <c r="K3481">
        <v>325</v>
      </c>
      <c r="L3481">
        <f t="shared" si="800"/>
        <v>674</v>
      </c>
      <c r="M3481">
        <v>240</v>
      </c>
      <c r="N3481">
        <f t="shared" si="801"/>
        <v>434</v>
      </c>
    </row>
    <row r="3482" spans="1:14" x14ac:dyDescent="0.2">
      <c r="A3482" t="s">
        <v>4308</v>
      </c>
      <c r="B3482" s="1" t="s">
        <v>4297</v>
      </c>
      <c r="C3482" t="s">
        <v>14</v>
      </c>
      <c r="D3482" t="s">
        <v>840</v>
      </c>
      <c r="E3482">
        <v>14</v>
      </c>
      <c r="F3482" t="s">
        <v>3891</v>
      </c>
      <c r="G3482">
        <v>2023</v>
      </c>
      <c r="H3482" t="s">
        <v>4309</v>
      </c>
      <c r="I3482" t="s">
        <v>163</v>
      </c>
      <c r="J3482">
        <v>999</v>
      </c>
      <c r="K3482">
        <v>325</v>
      </c>
      <c r="L3482">
        <f t="shared" si="800"/>
        <v>674</v>
      </c>
      <c r="M3482">
        <v>240</v>
      </c>
      <c r="N3482">
        <f t="shared" si="801"/>
        <v>434</v>
      </c>
    </row>
    <row r="3483" spans="1:14" x14ac:dyDescent="0.2">
      <c r="A3483" t="s">
        <v>4310</v>
      </c>
      <c r="B3483" s="1" t="s">
        <v>4297</v>
      </c>
      <c r="C3483" t="s">
        <v>14</v>
      </c>
      <c r="D3483" t="s">
        <v>548</v>
      </c>
      <c r="E3483">
        <v>14</v>
      </c>
      <c r="F3483" t="s">
        <v>3891</v>
      </c>
      <c r="G3483">
        <v>2023</v>
      </c>
      <c r="H3483" t="s">
        <v>150</v>
      </c>
      <c r="I3483" t="s">
        <v>62</v>
      </c>
      <c r="J3483">
        <v>899</v>
      </c>
      <c r="K3483">
        <v>295</v>
      </c>
      <c r="L3483">
        <f t="shared" si="800"/>
        <v>604</v>
      </c>
      <c r="M3483">
        <v>240</v>
      </c>
      <c r="N3483">
        <f t="shared" si="801"/>
        <v>364</v>
      </c>
    </row>
    <row r="3484" spans="1:14" x14ac:dyDescent="0.2">
      <c r="A3484" t="s">
        <v>4311</v>
      </c>
      <c r="B3484" s="1" t="s">
        <v>4297</v>
      </c>
      <c r="C3484" t="s">
        <v>14</v>
      </c>
      <c r="D3484" t="s">
        <v>169</v>
      </c>
      <c r="E3484">
        <v>14</v>
      </c>
      <c r="F3484" t="s">
        <v>3891</v>
      </c>
      <c r="G3484">
        <v>2023</v>
      </c>
      <c r="H3484" t="s">
        <v>3882</v>
      </c>
      <c r="I3484" t="s">
        <v>23</v>
      </c>
      <c r="J3484">
        <v>799</v>
      </c>
      <c r="K3484">
        <v>205</v>
      </c>
      <c r="L3484">
        <f t="shared" si="800"/>
        <v>594</v>
      </c>
      <c r="M3484">
        <v>240</v>
      </c>
      <c r="N3484">
        <f t="shared" si="801"/>
        <v>354</v>
      </c>
    </row>
    <row r="3485" spans="1:14" x14ac:dyDescent="0.2">
      <c r="A3485" t="s">
        <v>4312</v>
      </c>
      <c r="B3485" s="1" t="s">
        <v>4297</v>
      </c>
      <c r="C3485" t="s">
        <v>14</v>
      </c>
      <c r="D3485" t="s">
        <v>809</v>
      </c>
      <c r="E3485">
        <v>14</v>
      </c>
      <c r="F3485" t="s">
        <v>3891</v>
      </c>
      <c r="G3485">
        <v>2023</v>
      </c>
      <c r="H3485" t="s">
        <v>4313</v>
      </c>
      <c r="I3485" t="s">
        <v>160</v>
      </c>
      <c r="J3485">
        <v>999</v>
      </c>
      <c r="K3485">
        <v>325</v>
      </c>
      <c r="L3485">
        <f t="shared" si="800"/>
        <v>674</v>
      </c>
      <c r="M3485">
        <v>240</v>
      </c>
      <c r="N3485">
        <f t="shared" si="801"/>
        <v>434</v>
      </c>
    </row>
    <row r="3486" spans="1:14" x14ac:dyDescent="0.2">
      <c r="A3486" t="s">
        <v>4314</v>
      </c>
      <c r="B3486" s="1" t="s">
        <v>4297</v>
      </c>
      <c r="C3486" t="s">
        <v>20</v>
      </c>
      <c r="D3486" t="s">
        <v>4315</v>
      </c>
      <c r="E3486">
        <v>14</v>
      </c>
      <c r="F3486" t="s">
        <v>3891</v>
      </c>
      <c r="G3486">
        <v>2023</v>
      </c>
      <c r="H3486" t="s">
        <v>4153</v>
      </c>
      <c r="I3486" t="s">
        <v>1742</v>
      </c>
      <c r="J3486">
        <v>0</v>
      </c>
      <c r="K3486">
        <v>0</v>
      </c>
      <c r="L3486">
        <v>0</v>
      </c>
      <c r="M3486">
        <v>0</v>
      </c>
      <c r="N3486">
        <v>0</v>
      </c>
    </row>
    <row r="3487" spans="1:14" x14ac:dyDescent="0.2">
      <c r="A3487" t="s">
        <v>4316</v>
      </c>
      <c r="B3487" s="1" t="s">
        <v>4297</v>
      </c>
      <c r="C3487" t="s">
        <v>14</v>
      </c>
      <c r="D3487" t="s">
        <v>1193</v>
      </c>
      <c r="E3487">
        <v>14</v>
      </c>
      <c r="F3487" t="s">
        <v>3891</v>
      </c>
      <c r="G3487">
        <v>2023</v>
      </c>
      <c r="H3487" t="s">
        <v>2564</v>
      </c>
      <c r="I3487" t="s">
        <v>62</v>
      </c>
      <c r="J3487">
        <v>899</v>
      </c>
      <c r="K3487">
        <v>295</v>
      </c>
      <c r="L3487">
        <f t="shared" ref="L3487:L3495" si="802">J3487-K3487</f>
        <v>604</v>
      </c>
      <c r="M3487">
        <v>240</v>
      </c>
      <c r="N3487">
        <f t="shared" ref="N3487:N3495" si="803">L3487-M3487</f>
        <v>364</v>
      </c>
    </row>
    <row r="3488" spans="1:14" x14ac:dyDescent="0.2">
      <c r="A3488" t="s">
        <v>4317</v>
      </c>
      <c r="B3488" s="1" t="s">
        <v>4297</v>
      </c>
      <c r="C3488" t="s">
        <v>14</v>
      </c>
      <c r="D3488" t="s">
        <v>81</v>
      </c>
      <c r="E3488">
        <v>14</v>
      </c>
      <c r="F3488" t="s">
        <v>3891</v>
      </c>
      <c r="G3488">
        <v>2023</v>
      </c>
      <c r="H3488" t="s">
        <v>4318</v>
      </c>
      <c r="I3488" t="s">
        <v>122</v>
      </c>
      <c r="J3488">
        <v>849</v>
      </c>
      <c r="K3488">
        <v>250</v>
      </c>
      <c r="L3488">
        <f t="shared" si="802"/>
        <v>599</v>
      </c>
      <c r="M3488">
        <v>240</v>
      </c>
      <c r="N3488">
        <f t="shared" si="803"/>
        <v>359</v>
      </c>
    </row>
    <row r="3489" spans="1:14" x14ac:dyDescent="0.2">
      <c r="A3489" t="s">
        <v>4319</v>
      </c>
      <c r="B3489" s="1" t="s">
        <v>4297</v>
      </c>
      <c r="C3489" t="s">
        <v>14</v>
      </c>
      <c r="D3489" t="s">
        <v>2310</v>
      </c>
      <c r="E3489">
        <v>14</v>
      </c>
      <c r="F3489" t="s">
        <v>3891</v>
      </c>
      <c r="G3489">
        <v>2023</v>
      </c>
      <c r="H3489" t="s">
        <v>4320</v>
      </c>
      <c r="I3489" t="s">
        <v>85</v>
      </c>
      <c r="J3489">
        <v>799</v>
      </c>
      <c r="K3489">
        <v>205</v>
      </c>
      <c r="L3489">
        <f t="shared" si="802"/>
        <v>594</v>
      </c>
      <c r="M3489">
        <v>240</v>
      </c>
      <c r="N3489">
        <f t="shared" si="803"/>
        <v>354</v>
      </c>
    </row>
    <row r="3490" spans="1:14" x14ac:dyDescent="0.2">
      <c r="A3490" t="s">
        <v>4321</v>
      </c>
      <c r="B3490" s="1" t="s">
        <v>4297</v>
      </c>
      <c r="C3490" t="s">
        <v>14</v>
      </c>
      <c r="D3490" t="s">
        <v>452</v>
      </c>
      <c r="E3490">
        <v>14</v>
      </c>
      <c r="F3490" t="s">
        <v>3891</v>
      </c>
      <c r="G3490">
        <v>2023</v>
      </c>
      <c r="H3490" t="s">
        <v>567</v>
      </c>
      <c r="I3490" t="s">
        <v>23</v>
      </c>
      <c r="J3490">
        <v>799</v>
      </c>
      <c r="K3490">
        <v>205</v>
      </c>
      <c r="L3490">
        <f t="shared" si="802"/>
        <v>594</v>
      </c>
      <c r="M3490">
        <v>240</v>
      </c>
      <c r="N3490">
        <f t="shared" si="803"/>
        <v>354</v>
      </c>
    </row>
    <row r="3491" spans="1:14" x14ac:dyDescent="0.2">
      <c r="A3491" t="s">
        <v>4322</v>
      </c>
      <c r="B3491" s="1" t="s">
        <v>4297</v>
      </c>
      <c r="C3491" t="s">
        <v>14</v>
      </c>
      <c r="D3491" t="s">
        <v>490</v>
      </c>
      <c r="E3491">
        <v>14</v>
      </c>
      <c r="F3491" t="s">
        <v>3891</v>
      </c>
      <c r="G3491">
        <v>2023</v>
      </c>
      <c r="H3491" t="s">
        <v>4323</v>
      </c>
      <c r="I3491" t="s">
        <v>376</v>
      </c>
      <c r="J3491">
        <v>899</v>
      </c>
      <c r="K3491">
        <v>295</v>
      </c>
      <c r="L3491">
        <f t="shared" si="802"/>
        <v>604</v>
      </c>
      <c r="M3491">
        <v>240</v>
      </c>
      <c r="N3491">
        <f t="shared" si="803"/>
        <v>364</v>
      </c>
    </row>
    <row r="3492" spans="1:14" x14ac:dyDescent="0.2">
      <c r="A3492" t="s">
        <v>4324</v>
      </c>
      <c r="B3492" s="1" t="s">
        <v>4297</v>
      </c>
      <c r="C3492" t="s">
        <v>14</v>
      </c>
      <c r="D3492" t="s">
        <v>967</v>
      </c>
      <c r="E3492">
        <v>14</v>
      </c>
      <c r="F3492" t="s">
        <v>3891</v>
      </c>
      <c r="G3492">
        <v>2023</v>
      </c>
      <c r="H3492" t="s">
        <v>235</v>
      </c>
      <c r="I3492" t="s">
        <v>62</v>
      </c>
      <c r="J3492">
        <v>799</v>
      </c>
      <c r="K3492">
        <v>205</v>
      </c>
      <c r="L3492">
        <f t="shared" si="802"/>
        <v>594</v>
      </c>
      <c r="M3492">
        <v>240</v>
      </c>
      <c r="N3492">
        <f t="shared" si="803"/>
        <v>354</v>
      </c>
    </row>
    <row r="3493" spans="1:14" x14ac:dyDescent="0.2">
      <c r="A3493" t="s">
        <v>4325</v>
      </c>
      <c r="B3493" s="1" t="s">
        <v>4297</v>
      </c>
      <c r="C3493" t="s">
        <v>14</v>
      </c>
      <c r="D3493" t="s">
        <v>448</v>
      </c>
      <c r="E3493">
        <v>14</v>
      </c>
      <c r="F3493" t="s">
        <v>3891</v>
      </c>
      <c r="G3493">
        <v>2023</v>
      </c>
      <c r="H3493" t="s">
        <v>2173</v>
      </c>
      <c r="I3493" t="s">
        <v>23</v>
      </c>
      <c r="J3493">
        <v>899</v>
      </c>
      <c r="K3493">
        <v>295</v>
      </c>
      <c r="L3493">
        <f t="shared" si="802"/>
        <v>604</v>
      </c>
      <c r="M3493">
        <v>240</v>
      </c>
      <c r="N3493">
        <f t="shared" si="803"/>
        <v>364</v>
      </c>
    </row>
    <row r="3494" spans="1:14" x14ac:dyDescent="0.2">
      <c r="A3494" t="s">
        <v>4326</v>
      </c>
      <c r="B3494" s="1" t="s">
        <v>4297</v>
      </c>
      <c r="C3494" t="s">
        <v>14</v>
      </c>
      <c r="D3494" t="s">
        <v>45</v>
      </c>
      <c r="E3494">
        <v>14</v>
      </c>
      <c r="F3494" t="s">
        <v>3891</v>
      </c>
      <c r="G3494">
        <v>2023</v>
      </c>
      <c r="H3494" t="s">
        <v>2564</v>
      </c>
      <c r="I3494" t="s">
        <v>62</v>
      </c>
      <c r="J3494">
        <v>899</v>
      </c>
      <c r="K3494">
        <v>295</v>
      </c>
      <c r="L3494">
        <f t="shared" si="802"/>
        <v>604</v>
      </c>
      <c r="M3494">
        <v>240</v>
      </c>
      <c r="N3494">
        <f t="shared" si="803"/>
        <v>364</v>
      </c>
    </row>
    <row r="3495" spans="1:14" x14ac:dyDescent="0.2">
      <c r="A3495" t="s">
        <v>4327</v>
      </c>
      <c r="B3495" s="1" t="s">
        <v>4297</v>
      </c>
      <c r="C3495" t="s">
        <v>14</v>
      </c>
      <c r="D3495" t="s">
        <v>1037</v>
      </c>
      <c r="E3495">
        <v>14</v>
      </c>
      <c r="F3495" t="s">
        <v>3891</v>
      </c>
      <c r="G3495">
        <v>2023</v>
      </c>
      <c r="H3495" t="s">
        <v>4328</v>
      </c>
      <c r="I3495" t="s">
        <v>399</v>
      </c>
      <c r="J3495">
        <v>799</v>
      </c>
      <c r="K3495">
        <v>205</v>
      </c>
      <c r="L3495">
        <f t="shared" si="802"/>
        <v>594</v>
      </c>
      <c r="M3495">
        <v>240</v>
      </c>
      <c r="N3495">
        <f t="shared" si="803"/>
        <v>354</v>
      </c>
    </row>
    <row r="3496" spans="1:14" x14ac:dyDescent="0.2">
      <c r="A3496" t="s">
        <v>4166</v>
      </c>
      <c r="B3496" s="1" t="s">
        <v>4161</v>
      </c>
      <c r="C3496" t="s">
        <v>106</v>
      </c>
      <c r="D3496" t="s">
        <v>133</v>
      </c>
      <c r="E3496">
        <v>9</v>
      </c>
      <c r="F3496" t="s">
        <v>3891</v>
      </c>
      <c r="G3496">
        <v>2023</v>
      </c>
      <c r="H3496" t="s">
        <v>263</v>
      </c>
      <c r="I3496" t="s">
        <v>144</v>
      </c>
      <c r="J3496">
        <v>-799</v>
      </c>
      <c r="K3496">
        <v>320</v>
      </c>
      <c r="L3496">
        <f t="shared" ref="L3496:L3500" si="804">J3496+K3496</f>
        <v>-479</v>
      </c>
      <c r="M3496">
        <v>240</v>
      </c>
      <c r="N3496">
        <f t="shared" ref="N3496:N3500" si="805">L3496+M3496</f>
        <v>-239</v>
      </c>
    </row>
    <row r="3497" spans="1:14" x14ac:dyDescent="0.2">
      <c r="A3497" t="s">
        <v>3949</v>
      </c>
      <c r="B3497" s="1" t="s">
        <v>3922</v>
      </c>
      <c r="C3497" t="s">
        <v>106</v>
      </c>
      <c r="D3497" t="s">
        <v>81</v>
      </c>
      <c r="E3497">
        <v>2</v>
      </c>
      <c r="F3497" t="s">
        <v>3891</v>
      </c>
      <c r="G3497">
        <v>2023</v>
      </c>
      <c r="H3497" t="s">
        <v>882</v>
      </c>
      <c r="I3497" t="s">
        <v>883</v>
      </c>
      <c r="J3497">
        <v>-849</v>
      </c>
      <c r="K3497">
        <v>345</v>
      </c>
      <c r="L3497">
        <f t="shared" si="804"/>
        <v>-504</v>
      </c>
      <c r="M3497">
        <v>240</v>
      </c>
      <c r="N3497">
        <f t="shared" si="805"/>
        <v>-264</v>
      </c>
    </row>
    <row r="3498" spans="1:14" x14ac:dyDescent="0.2">
      <c r="A3498" t="s">
        <v>4186</v>
      </c>
      <c r="B3498" s="1" t="s">
        <v>4161</v>
      </c>
      <c r="C3498" t="s">
        <v>106</v>
      </c>
      <c r="D3498" t="s">
        <v>573</v>
      </c>
      <c r="E3498">
        <v>9</v>
      </c>
      <c r="F3498" t="s">
        <v>3891</v>
      </c>
      <c r="G3498">
        <v>2023</v>
      </c>
      <c r="H3498" t="s">
        <v>4178</v>
      </c>
      <c r="I3498" t="s">
        <v>32</v>
      </c>
      <c r="J3498">
        <v>-899</v>
      </c>
      <c r="K3498">
        <v>375</v>
      </c>
      <c r="L3498">
        <f t="shared" si="804"/>
        <v>-524</v>
      </c>
      <c r="M3498">
        <v>240</v>
      </c>
      <c r="N3498">
        <f t="shared" si="805"/>
        <v>-284</v>
      </c>
    </row>
    <row r="3499" spans="1:14" x14ac:dyDescent="0.2">
      <c r="A3499" t="s">
        <v>4064</v>
      </c>
      <c r="B3499" s="1" t="s">
        <v>4008</v>
      </c>
      <c r="C3499" t="s">
        <v>106</v>
      </c>
      <c r="D3499" t="s">
        <v>1416</v>
      </c>
      <c r="E3499">
        <v>6</v>
      </c>
      <c r="F3499" t="s">
        <v>3891</v>
      </c>
      <c r="G3499">
        <v>2023</v>
      </c>
      <c r="H3499" t="s">
        <v>49</v>
      </c>
      <c r="I3499" t="s">
        <v>32</v>
      </c>
      <c r="J3499">
        <v>-799</v>
      </c>
      <c r="K3499">
        <v>320</v>
      </c>
      <c r="L3499">
        <f t="shared" si="804"/>
        <v>-479</v>
      </c>
      <c r="M3499">
        <v>240</v>
      </c>
      <c r="N3499">
        <f t="shared" si="805"/>
        <v>-239</v>
      </c>
    </row>
    <row r="3500" spans="1:14" x14ac:dyDescent="0.2">
      <c r="A3500" t="s">
        <v>4235</v>
      </c>
      <c r="B3500" s="1" t="s">
        <v>4226</v>
      </c>
      <c r="C3500" t="s">
        <v>106</v>
      </c>
      <c r="D3500" t="s">
        <v>822</v>
      </c>
      <c r="E3500">
        <v>12</v>
      </c>
      <c r="F3500" t="s">
        <v>3891</v>
      </c>
      <c r="G3500">
        <v>2023</v>
      </c>
      <c r="H3500" t="s">
        <v>22</v>
      </c>
      <c r="I3500" t="s">
        <v>23</v>
      </c>
      <c r="J3500">
        <v>-849</v>
      </c>
      <c r="K3500">
        <v>345</v>
      </c>
      <c r="L3500">
        <f t="shared" si="804"/>
        <v>-504</v>
      </c>
      <c r="M3500">
        <v>240</v>
      </c>
      <c r="N3500">
        <f t="shared" si="805"/>
        <v>-264</v>
      </c>
    </row>
    <row r="3501" spans="1:14" x14ac:dyDescent="0.2">
      <c r="A3501" t="s">
        <v>4330</v>
      </c>
      <c r="B3501" s="1" t="s">
        <v>4329</v>
      </c>
      <c r="C3501" t="s">
        <v>43</v>
      </c>
      <c r="D3501" t="s">
        <v>117</v>
      </c>
      <c r="E3501">
        <v>16</v>
      </c>
      <c r="F3501" t="s">
        <v>3891</v>
      </c>
      <c r="G3501">
        <v>2023</v>
      </c>
      <c r="H3501" t="s">
        <v>4331</v>
      </c>
      <c r="I3501" t="s">
        <v>28</v>
      </c>
      <c r="J3501">
        <v>0</v>
      </c>
      <c r="K3501">
        <v>0</v>
      </c>
      <c r="L3501">
        <v>0</v>
      </c>
      <c r="M3501">
        <v>0</v>
      </c>
      <c r="N3501">
        <v>0</v>
      </c>
    </row>
    <row r="3502" spans="1:14" x14ac:dyDescent="0.2">
      <c r="A3502" t="s">
        <v>4333</v>
      </c>
      <c r="B3502" s="1" t="s">
        <v>4332</v>
      </c>
      <c r="C3502" t="s">
        <v>14</v>
      </c>
      <c r="D3502" t="s">
        <v>2310</v>
      </c>
      <c r="E3502">
        <v>15</v>
      </c>
      <c r="F3502" t="s">
        <v>3891</v>
      </c>
      <c r="G3502">
        <v>2023</v>
      </c>
      <c r="H3502" t="s">
        <v>1807</v>
      </c>
      <c r="I3502" t="s">
        <v>160</v>
      </c>
      <c r="J3502">
        <v>799</v>
      </c>
      <c r="K3502">
        <v>205</v>
      </c>
      <c r="L3502">
        <f t="shared" ref="L3502:L3515" si="806">J3502-K3502</f>
        <v>594</v>
      </c>
      <c r="M3502">
        <v>240</v>
      </c>
      <c r="N3502">
        <f t="shared" ref="N3502:N3515" si="807">L3502-M3502</f>
        <v>354</v>
      </c>
    </row>
    <row r="3503" spans="1:14" x14ac:dyDescent="0.2">
      <c r="A3503" t="s">
        <v>4334</v>
      </c>
      <c r="B3503" s="1" t="s">
        <v>4332</v>
      </c>
      <c r="C3503" t="s">
        <v>14</v>
      </c>
      <c r="D3503" t="s">
        <v>1560</v>
      </c>
      <c r="E3503">
        <v>15</v>
      </c>
      <c r="F3503" t="s">
        <v>3891</v>
      </c>
      <c r="G3503">
        <v>2023</v>
      </c>
      <c r="H3503" t="s">
        <v>1142</v>
      </c>
      <c r="I3503" t="s">
        <v>163</v>
      </c>
      <c r="J3503">
        <v>799</v>
      </c>
      <c r="K3503">
        <v>205</v>
      </c>
      <c r="L3503">
        <f t="shared" si="806"/>
        <v>594</v>
      </c>
      <c r="M3503">
        <v>240</v>
      </c>
      <c r="N3503">
        <f t="shared" si="807"/>
        <v>354</v>
      </c>
    </row>
    <row r="3504" spans="1:14" x14ac:dyDescent="0.2">
      <c r="A3504" t="s">
        <v>4335</v>
      </c>
      <c r="B3504" s="1" t="s">
        <v>4332</v>
      </c>
      <c r="C3504" t="s">
        <v>14</v>
      </c>
      <c r="D3504" t="s">
        <v>504</v>
      </c>
      <c r="E3504">
        <v>15</v>
      </c>
      <c r="F3504" t="s">
        <v>3891</v>
      </c>
      <c r="G3504">
        <v>2023</v>
      </c>
      <c r="H3504" t="s">
        <v>3638</v>
      </c>
      <c r="I3504" t="s">
        <v>19</v>
      </c>
      <c r="J3504">
        <v>899</v>
      </c>
      <c r="K3504">
        <v>295</v>
      </c>
      <c r="L3504">
        <f t="shared" si="806"/>
        <v>604</v>
      </c>
      <c r="M3504">
        <v>240</v>
      </c>
      <c r="N3504">
        <f t="shared" si="807"/>
        <v>364</v>
      </c>
    </row>
    <row r="3505" spans="1:14" x14ac:dyDescent="0.2">
      <c r="A3505" t="s">
        <v>4336</v>
      </c>
      <c r="B3505" s="1" t="s">
        <v>4332</v>
      </c>
      <c r="C3505" t="s">
        <v>14</v>
      </c>
      <c r="D3505" t="s">
        <v>954</v>
      </c>
      <c r="E3505">
        <v>15</v>
      </c>
      <c r="F3505" t="s">
        <v>3891</v>
      </c>
      <c r="G3505">
        <v>2023</v>
      </c>
      <c r="H3505" t="s">
        <v>641</v>
      </c>
      <c r="I3505" t="s">
        <v>122</v>
      </c>
      <c r="J3505">
        <v>799</v>
      </c>
      <c r="K3505">
        <v>205</v>
      </c>
      <c r="L3505">
        <f t="shared" si="806"/>
        <v>594</v>
      </c>
      <c r="M3505">
        <v>240</v>
      </c>
      <c r="N3505">
        <f t="shared" si="807"/>
        <v>354</v>
      </c>
    </row>
    <row r="3506" spans="1:14" x14ac:dyDescent="0.2">
      <c r="A3506" t="s">
        <v>4337</v>
      </c>
      <c r="B3506" s="1" t="s">
        <v>4332</v>
      </c>
      <c r="C3506" t="s">
        <v>14</v>
      </c>
      <c r="D3506" t="s">
        <v>490</v>
      </c>
      <c r="E3506">
        <v>15</v>
      </c>
      <c r="F3506" t="s">
        <v>3891</v>
      </c>
      <c r="G3506">
        <v>2023</v>
      </c>
      <c r="H3506" t="s">
        <v>796</v>
      </c>
      <c r="I3506" t="s">
        <v>58</v>
      </c>
      <c r="J3506">
        <v>899</v>
      </c>
      <c r="K3506">
        <v>295</v>
      </c>
      <c r="L3506">
        <f t="shared" si="806"/>
        <v>604</v>
      </c>
      <c r="M3506">
        <v>240</v>
      </c>
      <c r="N3506">
        <f t="shared" si="807"/>
        <v>364</v>
      </c>
    </row>
    <row r="3507" spans="1:14" x14ac:dyDescent="0.2">
      <c r="A3507" t="s">
        <v>4338</v>
      </c>
      <c r="B3507" s="1" t="s">
        <v>4332</v>
      </c>
      <c r="C3507" t="s">
        <v>14</v>
      </c>
      <c r="D3507" t="s">
        <v>809</v>
      </c>
      <c r="E3507">
        <v>15</v>
      </c>
      <c r="F3507" t="s">
        <v>3891</v>
      </c>
      <c r="G3507">
        <v>2023</v>
      </c>
      <c r="H3507" t="s">
        <v>68</v>
      </c>
      <c r="I3507" t="s">
        <v>62</v>
      </c>
      <c r="J3507">
        <v>999</v>
      </c>
      <c r="K3507">
        <v>325</v>
      </c>
      <c r="L3507">
        <f t="shared" si="806"/>
        <v>674</v>
      </c>
      <c r="M3507">
        <v>240</v>
      </c>
      <c r="N3507">
        <f t="shared" si="807"/>
        <v>434</v>
      </c>
    </row>
    <row r="3508" spans="1:14" x14ac:dyDescent="0.2">
      <c r="A3508" t="s">
        <v>4339</v>
      </c>
      <c r="B3508" s="1" t="s">
        <v>4332</v>
      </c>
      <c r="C3508" t="s">
        <v>14</v>
      </c>
      <c r="D3508" t="s">
        <v>881</v>
      </c>
      <c r="E3508">
        <v>15</v>
      </c>
      <c r="F3508" t="s">
        <v>3891</v>
      </c>
      <c r="G3508">
        <v>2023</v>
      </c>
      <c r="H3508" t="s">
        <v>991</v>
      </c>
      <c r="I3508" t="s">
        <v>212</v>
      </c>
      <c r="J3508">
        <v>799</v>
      </c>
      <c r="K3508">
        <v>205</v>
      </c>
      <c r="L3508">
        <f t="shared" si="806"/>
        <v>594</v>
      </c>
      <c r="M3508">
        <v>240</v>
      </c>
      <c r="N3508">
        <f t="shared" si="807"/>
        <v>354</v>
      </c>
    </row>
    <row r="3509" spans="1:14" x14ac:dyDescent="0.2">
      <c r="A3509" t="s">
        <v>4340</v>
      </c>
      <c r="B3509" s="1" t="s">
        <v>4332</v>
      </c>
      <c r="C3509" t="s">
        <v>14</v>
      </c>
      <c r="D3509" t="s">
        <v>448</v>
      </c>
      <c r="E3509">
        <v>15</v>
      </c>
      <c r="F3509" t="s">
        <v>3891</v>
      </c>
      <c r="G3509">
        <v>2023</v>
      </c>
      <c r="H3509" t="s">
        <v>101</v>
      </c>
      <c r="I3509" t="s">
        <v>62</v>
      </c>
      <c r="J3509">
        <v>899</v>
      </c>
      <c r="K3509">
        <v>295</v>
      </c>
      <c r="L3509">
        <f t="shared" si="806"/>
        <v>604</v>
      </c>
      <c r="M3509">
        <v>240</v>
      </c>
      <c r="N3509">
        <f t="shared" si="807"/>
        <v>364</v>
      </c>
    </row>
    <row r="3510" spans="1:14" x14ac:dyDescent="0.2">
      <c r="A3510" t="s">
        <v>4341</v>
      </c>
      <c r="B3510" s="1" t="s">
        <v>4332</v>
      </c>
      <c r="C3510" t="s">
        <v>14</v>
      </c>
      <c r="D3510" t="s">
        <v>993</v>
      </c>
      <c r="E3510">
        <v>15</v>
      </c>
      <c r="F3510" t="s">
        <v>3891</v>
      </c>
      <c r="G3510">
        <v>2023</v>
      </c>
      <c r="H3510" t="s">
        <v>1048</v>
      </c>
      <c r="I3510" t="s">
        <v>28</v>
      </c>
      <c r="J3510">
        <v>799</v>
      </c>
      <c r="K3510">
        <v>205</v>
      </c>
      <c r="L3510">
        <f t="shared" si="806"/>
        <v>594</v>
      </c>
      <c r="M3510">
        <v>240</v>
      </c>
      <c r="N3510">
        <f t="shared" si="807"/>
        <v>354</v>
      </c>
    </row>
    <row r="3511" spans="1:14" x14ac:dyDescent="0.2">
      <c r="A3511" t="s">
        <v>4342</v>
      </c>
      <c r="B3511" s="1" t="s">
        <v>4332</v>
      </c>
      <c r="C3511" t="s">
        <v>14</v>
      </c>
      <c r="D3511" t="s">
        <v>840</v>
      </c>
      <c r="E3511">
        <v>15</v>
      </c>
      <c r="F3511" t="s">
        <v>3891</v>
      </c>
      <c r="G3511">
        <v>2023</v>
      </c>
      <c r="H3511" t="s">
        <v>4194</v>
      </c>
      <c r="I3511" t="s">
        <v>62</v>
      </c>
      <c r="J3511">
        <v>999</v>
      </c>
      <c r="K3511">
        <v>325</v>
      </c>
      <c r="L3511">
        <f t="shared" si="806"/>
        <v>674</v>
      </c>
      <c r="M3511">
        <v>240</v>
      </c>
      <c r="N3511">
        <f t="shared" si="807"/>
        <v>434</v>
      </c>
    </row>
    <row r="3512" spans="1:14" x14ac:dyDescent="0.2">
      <c r="A3512" t="s">
        <v>4343</v>
      </c>
      <c r="B3512" s="1" t="s">
        <v>4332</v>
      </c>
      <c r="C3512" t="s">
        <v>14</v>
      </c>
      <c r="D3512" t="s">
        <v>1508</v>
      </c>
      <c r="E3512">
        <v>15</v>
      </c>
      <c r="F3512" t="s">
        <v>3891</v>
      </c>
      <c r="G3512">
        <v>2023</v>
      </c>
      <c r="H3512" t="s">
        <v>4344</v>
      </c>
      <c r="I3512" t="s">
        <v>62</v>
      </c>
      <c r="J3512">
        <v>999</v>
      </c>
      <c r="K3512">
        <v>325</v>
      </c>
      <c r="L3512">
        <f t="shared" si="806"/>
        <v>674</v>
      </c>
      <c r="M3512">
        <v>240</v>
      </c>
      <c r="N3512">
        <f t="shared" si="807"/>
        <v>434</v>
      </c>
    </row>
    <row r="3513" spans="1:14" x14ac:dyDescent="0.2">
      <c r="A3513" t="s">
        <v>4345</v>
      </c>
      <c r="B3513" s="1" t="s">
        <v>4332</v>
      </c>
      <c r="C3513" t="s">
        <v>14</v>
      </c>
      <c r="D3513" t="s">
        <v>242</v>
      </c>
      <c r="E3513">
        <v>15</v>
      </c>
      <c r="F3513" t="s">
        <v>3891</v>
      </c>
      <c r="G3513">
        <v>2023</v>
      </c>
      <c r="H3513" t="s">
        <v>1080</v>
      </c>
      <c r="I3513" t="s">
        <v>455</v>
      </c>
      <c r="J3513">
        <v>899</v>
      </c>
      <c r="K3513">
        <v>295</v>
      </c>
      <c r="L3513">
        <f t="shared" si="806"/>
        <v>604</v>
      </c>
      <c r="M3513">
        <v>240</v>
      </c>
      <c r="N3513">
        <f t="shared" si="807"/>
        <v>364</v>
      </c>
    </row>
    <row r="3514" spans="1:14" x14ac:dyDescent="0.2">
      <c r="A3514" t="s">
        <v>4346</v>
      </c>
      <c r="B3514" s="1" t="s">
        <v>4332</v>
      </c>
      <c r="C3514" t="s">
        <v>14</v>
      </c>
      <c r="D3514" t="s">
        <v>1212</v>
      </c>
      <c r="E3514">
        <v>15</v>
      </c>
      <c r="F3514" t="s">
        <v>3891</v>
      </c>
      <c r="G3514">
        <v>2023</v>
      </c>
      <c r="H3514" t="s">
        <v>246</v>
      </c>
      <c r="I3514" t="s">
        <v>58</v>
      </c>
      <c r="J3514">
        <v>799</v>
      </c>
      <c r="K3514">
        <v>205</v>
      </c>
      <c r="L3514">
        <f t="shared" si="806"/>
        <v>594</v>
      </c>
      <c r="M3514">
        <v>240</v>
      </c>
      <c r="N3514">
        <f t="shared" si="807"/>
        <v>354</v>
      </c>
    </row>
    <row r="3515" spans="1:14" x14ac:dyDescent="0.2">
      <c r="A3515" t="s">
        <v>4347</v>
      </c>
      <c r="B3515" s="1" t="s">
        <v>4332</v>
      </c>
      <c r="C3515" t="s">
        <v>14</v>
      </c>
      <c r="D3515" t="s">
        <v>1386</v>
      </c>
      <c r="E3515">
        <v>15</v>
      </c>
      <c r="F3515" t="s">
        <v>3891</v>
      </c>
      <c r="G3515">
        <v>2023</v>
      </c>
      <c r="H3515" t="s">
        <v>104</v>
      </c>
      <c r="I3515" t="s">
        <v>62</v>
      </c>
      <c r="J3515">
        <v>799</v>
      </c>
      <c r="K3515">
        <v>205</v>
      </c>
      <c r="L3515">
        <f t="shared" si="806"/>
        <v>594</v>
      </c>
      <c r="M3515">
        <v>240</v>
      </c>
      <c r="N3515">
        <f t="shared" si="807"/>
        <v>354</v>
      </c>
    </row>
    <row r="3516" spans="1:14" x14ac:dyDescent="0.2">
      <c r="A3516" t="s">
        <v>4271</v>
      </c>
      <c r="B3516" s="1" t="s">
        <v>4226</v>
      </c>
      <c r="C3516" t="s">
        <v>106</v>
      </c>
      <c r="D3516" t="s">
        <v>1508</v>
      </c>
      <c r="E3516">
        <v>12</v>
      </c>
      <c r="F3516" t="s">
        <v>3891</v>
      </c>
      <c r="G3516">
        <v>2023</v>
      </c>
      <c r="H3516" t="s">
        <v>902</v>
      </c>
      <c r="I3516" t="s">
        <v>135</v>
      </c>
      <c r="J3516">
        <v>-999</v>
      </c>
      <c r="K3516">
        <v>395</v>
      </c>
      <c r="L3516">
        <f>J3516+K3516</f>
        <v>-604</v>
      </c>
      <c r="M3516">
        <v>240</v>
      </c>
      <c r="N3516">
        <f>L3516+M3516</f>
        <v>-364</v>
      </c>
    </row>
    <row r="3517" spans="1:14" x14ac:dyDescent="0.2">
      <c r="A3517" t="s">
        <v>4348</v>
      </c>
      <c r="B3517" s="1" t="s">
        <v>4332</v>
      </c>
      <c r="C3517" t="s">
        <v>20</v>
      </c>
      <c r="D3517" t="s">
        <v>893</v>
      </c>
      <c r="E3517">
        <v>15</v>
      </c>
      <c r="F3517" t="s">
        <v>3891</v>
      </c>
      <c r="G3517">
        <v>2023</v>
      </c>
      <c r="H3517" t="s">
        <v>567</v>
      </c>
      <c r="I3517" t="s">
        <v>23</v>
      </c>
      <c r="J3517">
        <v>0</v>
      </c>
      <c r="K3517">
        <v>0</v>
      </c>
      <c r="L3517">
        <v>0</v>
      </c>
      <c r="M3517">
        <v>0</v>
      </c>
      <c r="N3517">
        <v>0</v>
      </c>
    </row>
    <row r="3518" spans="1:14" x14ac:dyDescent="0.2">
      <c r="A3518" t="s">
        <v>4065</v>
      </c>
      <c r="B3518" s="1" t="s">
        <v>4008</v>
      </c>
      <c r="C3518" t="s">
        <v>106</v>
      </c>
      <c r="D3518" t="s">
        <v>1937</v>
      </c>
      <c r="E3518">
        <v>6</v>
      </c>
      <c r="F3518" t="s">
        <v>3891</v>
      </c>
      <c r="G3518">
        <v>2023</v>
      </c>
      <c r="H3518" t="s">
        <v>84</v>
      </c>
      <c r="I3518" t="s">
        <v>85</v>
      </c>
      <c r="J3518">
        <v>-799</v>
      </c>
      <c r="K3518">
        <v>320</v>
      </c>
      <c r="L3518">
        <f t="shared" ref="L3518:L3520" si="808">J3518+K3518</f>
        <v>-479</v>
      </c>
      <c r="M3518">
        <v>240</v>
      </c>
      <c r="N3518">
        <f t="shared" ref="N3518:N3520" si="809">L3518+M3518</f>
        <v>-239</v>
      </c>
    </row>
    <row r="3519" spans="1:14" x14ac:dyDescent="0.2">
      <c r="A3519" t="s">
        <v>4227</v>
      </c>
      <c r="B3519" s="1" t="s">
        <v>4226</v>
      </c>
      <c r="C3519" t="s">
        <v>106</v>
      </c>
      <c r="D3519" t="s">
        <v>81</v>
      </c>
      <c r="E3519">
        <v>12</v>
      </c>
      <c r="F3519" t="s">
        <v>3891</v>
      </c>
      <c r="G3519">
        <v>2023</v>
      </c>
      <c r="H3519" t="s">
        <v>1093</v>
      </c>
      <c r="I3519" t="s">
        <v>144</v>
      </c>
      <c r="J3519">
        <v>-849</v>
      </c>
      <c r="K3519">
        <v>345</v>
      </c>
      <c r="L3519">
        <f t="shared" si="808"/>
        <v>-504</v>
      </c>
      <c r="M3519">
        <v>240</v>
      </c>
      <c r="N3519">
        <f t="shared" si="809"/>
        <v>-264</v>
      </c>
    </row>
    <row r="3520" spans="1:14" x14ac:dyDescent="0.2">
      <c r="A3520" t="s">
        <v>4317</v>
      </c>
      <c r="B3520" s="1" t="s">
        <v>4297</v>
      </c>
      <c r="C3520" t="s">
        <v>106</v>
      </c>
      <c r="D3520" t="s">
        <v>81</v>
      </c>
      <c r="E3520">
        <v>14</v>
      </c>
      <c r="F3520" t="s">
        <v>3891</v>
      </c>
      <c r="G3520">
        <v>2023</v>
      </c>
      <c r="H3520" t="s">
        <v>4318</v>
      </c>
      <c r="I3520" t="s">
        <v>122</v>
      </c>
      <c r="J3520">
        <v>-849</v>
      </c>
      <c r="K3520">
        <v>345</v>
      </c>
      <c r="L3520">
        <f t="shared" si="808"/>
        <v>-504</v>
      </c>
      <c r="M3520">
        <v>240</v>
      </c>
      <c r="N3520">
        <f t="shared" si="809"/>
        <v>-264</v>
      </c>
    </row>
    <row r="3521" spans="1:14" x14ac:dyDescent="0.2">
      <c r="A3521" t="s">
        <v>4350</v>
      </c>
      <c r="B3521" s="1" t="s">
        <v>4349</v>
      </c>
      <c r="C3521" t="s">
        <v>43</v>
      </c>
      <c r="D3521" t="s">
        <v>1141</v>
      </c>
      <c r="E3521">
        <v>17</v>
      </c>
      <c r="F3521" t="s">
        <v>3891</v>
      </c>
      <c r="G3521">
        <v>2023</v>
      </c>
      <c r="H3521" t="s">
        <v>4351</v>
      </c>
      <c r="I3521" t="s">
        <v>122</v>
      </c>
      <c r="J3521">
        <v>0</v>
      </c>
      <c r="K3521">
        <v>0</v>
      </c>
      <c r="L3521">
        <v>0</v>
      </c>
      <c r="M3521">
        <v>0</v>
      </c>
      <c r="N3521">
        <v>0</v>
      </c>
    </row>
    <row r="3522" spans="1:14" x14ac:dyDescent="0.2">
      <c r="A3522" t="s">
        <v>4352</v>
      </c>
      <c r="B3522" s="1" t="s">
        <v>4329</v>
      </c>
      <c r="C3522" t="s">
        <v>14</v>
      </c>
      <c r="D3522" t="s">
        <v>1937</v>
      </c>
      <c r="E3522">
        <v>16</v>
      </c>
      <c r="F3522" t="s">
        <v>3891</v>
      </c>
      <c r="G3522">
        <v>2023</v>
      </c>
      <c r="H3522" t="s">
        <v>560</v>
      </c>
      <c r="I3522" t="s">
        <v>122</v>
      </c>
      <c r="J3522">
        <v>799</v>
      </c>
      <c r="K3522">
        <v>205</v>
      </c>
      <c r="L3522">
        <f t="shared" ref="L3522:L3538" si="810">J3522-K3522</f>
        <v>594</v>
      </c>
      <c r="M3522">
        <v>240</v>
      </c>
      <c r="N3522">
        <f t="shared" ref="N3522:N3538" si="811">L3522-M3522</f>
        <v>354</v>
      </c>
    </row>
    <row r="3523" spans="1:14" x14ac:dyDescent="0.2">
      <c r="A3523" t="s">
        <v>4353</v>
      </c>
      <c r="B3523" s="1" t="s">
        <v>4329</v>
      </c>
      <c r="C3523" t="s">
        <v>14</v>
      </c>
      <c r="D3523" t="s">
        <v>1182</v>
      </c>
      <c r="E3523">
        <v>16</v>
      </c>
      <c r="F3523" t="s">
        <v>3891</v>
      </c>
      <c r="G3523">
        <v>2023</v>
      </c>
      <c r="H3523" t="s">
        <v>4354</v>
      </c>
      <c r="I3523" t="s">
        <v>37</v>
      </c>
      <c r="J3523">
        <v>799</v>
      </c>
      <c r="K3523">
        <v>205</v>
      </c>
      <c r="L3523">
        <f t="shared" si="810"/>
        <v>594</v>
      </c>
      <c r="M3523">
        <v>240</v>
      </c>
      <c r="N3523">
        <f t="shared" si="811"/>
        <v>354</v>
      </c>
    </row>
    <row r="3524" spans="1:14" x14ac:dyDescent="0.2">
      <c r="A3524" t="s">
        <v>4355</v>
      </c>
      <c r="B3524" s="1" t="s">
        <v>4329</v>
      </c>
      <c r="C3524" t="s">
        <v>14</v>
      </c>
      <c r="D3524" t="s">
        <v>448</v>
      </c>
      <c r="E3524">
        <v>16</v>
      </c>
      <c r="F3524" t="s">
        <v>3891</v>
      </c>
      <c r="G3524">
        <v>2023</v>
      </c>
      <c r="H3524" t="s">
        <v>18</v>
      </c>
      <c r="I3524" t="s">
        <v>19</v>
      </c>
      <c r="J3524">
        <v>899</v>
      </c>
      <c r="K3524">
        <v>295</v>
      </c>
      <c r="L3524">
        <f t="shared" si="810"/>
        <v>604</v>
      </c>
      <c r="M3524">
        <v>240</v>
      </c>
      <c r="N3524">
        <f t="shared" si="811"/>
        <v>364</v>
      </c>
    </row>
    <row r="3525" spans="1:14" x14ac:dyDescent="0.2">
      <c r="A3525" t="s">
        <v>4356</v>
      </c>
      <c r="B3525" s="1" t="s">
        <v>4329</v>
      </c>
      <c r="C3525" t="s">
        <v>14</v>
      </c>
      <c r="D3525" t="s">
        <v>504</v>
      </c>
      <c r="E3525">
        <v>16</v>
      </c>
      <c r="F3525" t="s">
        <v>3891</v>
      </c>
      <c r="G3525">
        <v>2023</v>
      </c>
      <c r="H3525" t="s">
        <v>4357</v>
      </c>
      <c r="I3525" t="s">
        <v>135</v>
      </c>
      <c r="J3525">
        <v>899</v>
      </c>
      <c r="K3525">
        <v>295</v>
      </c>
      <c r="L3525">
        <f t="shared" si="810"/>
        <v>604</v>
      </c>
      <c r="M3525">
        <v>240</v>
      </c>
      <c r="N3525">
        <f t="shared" si="811"/>
        <v>364</v>
      </c>
    </row>
    <row r="3526" spans="1:14" x14ac:dyDescent="0.2">
      <c r="A3526" t="s">
        <v>4358</v>
      </c>
      <c r="B3526" s="1" t="s">
        <v>4329</v>
      </c>
      <c r="C3526" t="s">
        <v>14</v>
      </c>
      <c r="D3526" t="s">
        <v>169</v>
      </c>
      <c r="E3526">
        <v>16</v>
      </c>
      <c r="F3526" t="s">
        <v>3891</v>
      </c>
      <c r="G3526">
        <v>2023</v>
      </c>
      <c r="H3526" t="s">
        <v>4359</v>
      </c>
      <c r="I3526" t="s">
        <v>19</v>
      </c>
      <c r="J3526">
        <v>799</v>
      </c>
      <c r="K3526">
        <v>205</v>
      </c>
      <c r="L3526">
        <f t="shared" si="810"/>
        <v>594</v>
      </c>
      <c r="M3526">
        <v>240</v>
      </c>
      <c r="N3526">
        <f t="shared" si="811"/>
        <v>354</v>
      </c>
    </row>
    <row r="3527" spans="1:14" x14ac:dyDescent="0.2">
      <c r="A3527" t="s">
        <v>4360</v>
      </c>
      <c r="B3527" s="1" t="s">
        <v>4329</v>
      </c>
      <c r="C3527" t="s">
        <v>14</v>
      </c>
      <c r="D3527" t="s">
        <v>81</v>
      </c>
      <c r="E3527">
        <v>16</v>
      </c>
      <c r="F3527" t="s">
        <v>3891</v>
      </c>
      <c r="G3527">
        <v>2023</v>
      </c>
      <c r="H3527" t="s">
        <v>246</v>
      </c>
      <c r="I3527" t="s">
        <v>58</v>
      </c>
      <c r="J3527">
        <v>849</v>
      </c>
      <c r="K3527">
        <v>250</v>
      </c>
      <c r="L3527">
        <f t="shared" si="810"/>
        <v>599</v>
      </c>
      <c r="M3527">
        <v>240</v>
      </c>
      <c r="N3527">
        <f t="shared" si="811"/>
        <v>359</v>
      </c>
    </row>
    <row r="3528" spans="1:14" x14ac:dyDescent="0.2">
      <c r="A3528" t="s">
        <v>4361</v>
      </c>
      <c r="B3528" s="1" t="s">
        <v>4329</v>
      </c>
      <c r="C3528" t="s">
        <v>14</v>
      </c>
      <c r="D3528" t="s">
        <v>169</v>
      </c>
      <c r="E3528">
        <v>16</v>
      </c>
      <c r="F3528" t="s">
        <v>3891</v>
      </c>
      <c r="G3528">
        <v>2023</v>
      </c>
      <c r="H3528" t="s">
        <v>567</v>
      </c>
      <c r="I3528" t="s">
        <v>23</v>
      </c>
      <c r="J3528">
        <v>799</v>
      </c>
      <c r="K3528">
        <v>205</v>
      </c>
      <c r="L3528">
        <f t="shared" si="810"/>
        <v>594</v>
      </c>
      <c r="M3528">
        <v>240</v>
      </c>
      <c r="N3528">
        <f t="shared" si="811"/>
        <v>354</v>
      </c>
    </row>
    <row r="3529" spans="1:14" x14ac:dyDescent="0.2">
      <c r="A3529" t="s">
        <v>4362</v>
      </c>
      <c r="B3529" s="1" t="s">
        <v>4329</v>
      </c>
      <c r="C3529" t="s">
        <v>14</v>
      </c>
      <c r="D3529" t="s">
        <v>133</v>
      </c>
      <c r="E3529">
        <v>16</v>
      </c>
      <c r="F3529" t="s">
        <v>3891</v>
      </c>
      <c r="G3529">
        <v>2023</v>
      </c>
      <c r="H3529" t="s">
        <v>2564</v>
      </c>
      <c r="I3529" t="s">
        <v>62</v>
      </c>
      <c r="J3529">
        <v>799</v>
      </c>
      <c r="K3529">
        <v>205</v>
      </c>
      <c r="L3529">
        <f t="shared" si="810"/>
        <v>594</v>
      </c>
      <c r="M3529">
        <v>240</v>
      </c>
      <c r="N3529">
        <f t="shared" si="811"/>
        <v>354</v>
      </c>
    </row>
    <row r="3530" spans="1:14" x14ac:dyDescent="0.2">
      <c r="A3530" t="s">
        <v>4363</v>
      </c>
      <c r="B3530" s="1" t="s">
        <v>4329</v>
      </c>
      <c r="C3530" t="s">
        <v>14</v>
      </c>
      <c r="D3530" t="s">
        <v>895</v>
      </c>
      <c r="E3530">
        <v>16</v>
      </c>
      <c r="F3530" t="s">
        <v>3891</v>
      </c>
      <c r="G3530">
        <v>2023</v>
      </c>
      <c r="H3530" t="s">
        <v>246</v>
      </c>
      <c r="I3530" t="s">
        <v>58</v>
      </c>
      <c r="J3530">
        <v>849</v>
      </c>
      <c r="K3530">
        <v>250</v>
      </c>
      <c r="L3530">
        <f t="shared" si="810"/>
        <v>599</v>
      </c>
      <c r="M3530">
        <v>240</v>
      </c>
      <c r="N3530">
        <f t="shared" si="811"/>
        <v>359</v>
      </c>
    </row>
    <row r="3531" spans="1:14" x14ac:dyDescent="0.2">
      <c r="A3531" t="s">
        <v>4364</v>
      </c>
      <c r="B3531" s="1" t="s">
        <v>4329</v>
      </c>
      <c r="C3531" t="s">
        <v>14</v>
      </c>
      <c r="D3531" t="s">
        <v>308</v>
      </c>
      <c r="E3531">
        <v>16</v>
      </c>
      <c r="F3531" t="s">
        <v>3891</v>
      </c>
      <c r="G3531">
        <v>2023</v>
      </c>
      <c r="H3531" t="s">
        <v>198</v>
      </c>
      <c r="I3531" t="s">
        <v>32</v>
      </c>
      <c r="J3531">
        <v>899</v>
      </c>
      <c r="K3531">
        <v>295</v>
      </c>
      <c r="L3531">
        <f t="shared" si="810"/>
        <v>604</v>
      </c>
      <c r="M3531">
        <v>240</v>
      </c>
      <c r="N3531">
        <f t="shared" si="811"/>
        <v>364</v>
      </c>
    </row>
    <row r="3532" spans="1:14" x14ac:dyDescent="0.2">
      <c r="A3532" t="s">
        <v>4365</v>
      </c>
      <c r="B3532" s="1" t="s">
        <v>4329</v>
      </c>
      <c r="C3532" t="s">
        <v>14</v>
      </c>
      <c r="D3532" t="s">
        <v>380</v>
      </c>
      <c r="E3532">
        <v>16</v>
      </c>
      <c r="F3532" t="s">
        <v>3891</v>
      </c>
      <c r="G3532">
        <v>2023</v>
      </c>
      <c r="H3532" t="s">
        <v>91</v>
      </c>
      <c r="I3532" t="s">
        <v>23</v>
      </c>
      <c r="J3532">
        <v>849</v>
      </c>
      <c r="K3532">
        <v>250</v>
      </c>
      <c r="L3532">
        <f t="shared" si="810"/>
        <v>599</v>
      </c>
      <c r="M3532">
        <v>240</v>
      </c>
      <c r="N3532">
        <f t="shared" si="811"/>
        <v>359</v>
      </c>
    </row>
    <row r="3533" spans="1:14" x14ac:dyDescent="0.2">
      <c r="A3533" t="s">
        <v>4366</v>
      </c>
      <c r="B3533" s="1" t="s">
        <v>4329</v>
      </c>
      <c r="C3533" t="s">
        <v>14</v>
      </c>
      <c r="D3533" t="s">
        <v>548</v>
      </c>
      <c r="E3533">
        <v>16</v>
      </c>
      <c r="F3533" t="s">
        <v>3891</v>
      </c>
      <c r="G3533">
        <v>2023</v>
      </c>
      <c r="H3533" t="s">
        <v>104</v>
      </c>
      <c r="I3533" t="s">
        <v>62</v>
      </c>
      <c r="J3533">
        <v>899</v>
      </c>
      <c r="K3533">
        <v>295</v>
      </c>
      <c r="L3533">
        <f t="shared" si="810"/>
        <v>604</v>
      </c>
      <c r="M3533">
        <v>240</v>
      </c>
      <c r="N3533">
        <f t="shared" si="811"/>
        <v>364</v>
      </c>
    </row>
    <row r="3534" spans="1:14" x14ac:dyDescent="0.2">
      <c r="A3534" t="s">
        <v>4367</v>
      </c>
      <c r="B3534" s="1" t="s">
        <v>4329</v>
      </c>
      <c r="C3534" t="s">
        <v>14</v>
      </c>
      <c r="D3534" t="s">
        <v>904</v>
      </c>
      <c r="E3534">
        <v>16</v>
      </c>
      <c r="F3534" t="s">
        <v>3891</v>
      </c>
      <c r="G3534">
        <v>2023</v>
      </c>
      <c r="H3534" t="s">
        <v>96</v>
      </c>
      <c r="I3534" t="s">
        <v>97</v>
      </c>
      <c r="J3534">
        <v>799</v>
      </c>
      <c r="K3534">
        <v>205</v>
      </c>
      <c r="L3534">
        <f t="shared" si="810"/>
        <v>594</v>
      </c>
      <c r="M3534">
        <v>240</v>
      </c>
      <c r="N3534">
        <f t="shared" si="811"/>
        <v>354</v>
      </c>
    </row>
    <row r="3535" spans="1:14" x14ac:dyDescent="0.2">
      <c r="A3535" t="s">
        <v>4368</v>
      </c>
      <c r="B3535" s="1" t="s">
        <v>4349</v>
      </c>
      <c r="C3535" t="s">
        <v>14</v>
      </c>
      <c r="D3535" t="s">
        <v>863</v>
      </c>
      <c r="E3535">
        <v>17</v>
      </c>
      <c r="F3535" t="s">
        <v>3891</v>
      </c>
      <c r="G3535">
        <v>2023</v>
      </c>
      <c r="H3535" t="s">
        <v>1807</v>
      </c>
      <c r="I3535" t="s">
        <v>160</v>
      </c>
      <c r="J3535">
        <v>799</v>
      </c>
      <c r="K3535">
        <v>205</v>
      </c>
      <c r="L3535">
        <f t="shared" si="810"/>
        <v>594</v>
      </c>
      <c r="M3535">
        <v>240</v>
      </c>
      <c r="N3535">
        <f t="shared" si="811"/>
        <v>354</v>
      </c>
    </row>
    <row r="3536" spans="1:14" x14ac:dyDescent="0.2">
      <c r="A3536" t="s">
        <v>4369</v>
      </c>
      <c r="B3536" s="1" t="s">
        <v>4329</v>
      </c>
      <c r="C3536" t="s">
        <v>14</v>
      </c>
      <c r="D3536" t="s">
        <v>4370</v>
      </c>
      <c r="E3536">
        <v>16</v>
      </c>
      <c r="F3536" t="s">
        <v>3891</v>
      </c>
      <c r="G3536">
        <v>2023</v>
      </c>
      <c r="H3536" t="s">
        <v>807</v>
      </c>
      <c r="I3536" t="s">
        <v>28</v>
      </c>
      <c r="J3536">
        <v>799</v>
      </c>
      <c r="K3536">
        <v>205</v>
      </c>
      <c r="L3536">
        <f t="shared" si="810"/>
        <v>594</v>
      </c>
      <c r="M3536">
        <v>240</v>
      </c>
      <c r="N3536">
        <f t="shared" si="811"/>
        <v>354</v>
      </c>
    </row>
    <row r="3537" spans="1:14" x14ac:dyDescent="0.2">
      <c r="A3537" t="s">
        <v>4371</v>
      </c>
      <c r="B3537" s="1" t="s">
        <v>4329</v>
      </c>
      <c r="C3537" t="s">
        <v>14</v>
      </c>
      <c r="D3537" t="s">
        <v>1193</v>
      </c>
      <c r="E3537">
        <v>16</v>
      </c>
      <c r="F3537" t="s">
        <v>3891</v>
      </c>
      <c r="G3537">
        <v>2023</v>
      </c>
      <c r="H3537" t="s">
        <v>2564</v>
      </c>
      <c r="I3537" t="s">
        <v>62</v>
      </c>
      <c r="J3537">
        <v>899</v>
      </c>
      <c r="K3537">
        <v>295</v>
      </c>
      <c r="L3537">
        <f t="shared" si="810"/>
        <v>604</v>
      </c>
      <c r="M3537">
        <v>240</v>
      </c>
      <c r="N3537">
        <f t="shared" si="811"/>
        <v>364</v>
      </c>
    </row>
    <row r="3538" spans="1:14" x14ac:dyDescent="0.2">
      <c r="A3538" t="s">
        <v>4372</v>
      </c>
      <c r="B3538" s="1" t="s">
        <v>4329</v>
      </c>
      <c r="C3538" t="s">
        <v>14</v>
      </c>
      <c r="D3538" t="s">
        <v>81</v>
      </c>
      <c r="E3538">
        <v>16</v>
      </c>
      <c r="F3538" t="s">
        <v>3891</v>
      </c>
      <c r="G3538">
        <v>2023</v>
      </c>
      <c r="H3538" t="s">
        <v>1624</v>
      </c>
      <c r="I3538" t="s">
        <v>122</v>
      </c>
      <c r="J3538">
        <v>849</v>
      </c>
      <c r="K3538">
        <v>250</v>
      </c>
      <c r="L3538">
        <f t="shared" si="810"/>
        <v>599</v>
      </c>
      <c r="M3538">
        <v>240</v>
      </c>
      <c r="N3538">
        <f t="shared" si="811"/>
        <v>359</v>
      </c>
    </row>
    <row r="3539" spans="1:14" x14ac:dyDescent="0.2">
      <c r="A3539" t="s">
        <v>4373</v>
      </c>
      <c r="B3539" s="1" t="s">
        <v>4329</v>
      </c>
      <c r="C3539" t="s">
        <v>20</v>
      </c>
      <c r="D3539" t="s">
        <v>81</v>
      </c>
      <c r="E3539">
        <v>16</v>
      </c>
      <c r="F3539" t="s">
        <v>3891</v>
      </c>
      <c r="G3539">
        <v>2023</v>
      </c>
      <c r="H3539" t="s">
        <v>101</v>
      </c>
      <c r="I3539" t="s">
        <v>62</v>
      </c>
      <c r="J3539">
        <v>0</v>
      </c>
      <c r="K3539">
        <v>0</v>
      </c>
      <c r="L3539">
        <v>0</v>
      </c>
      <c r="M3539">
        <v>0</v>
      </c>
      <c r="N3539">
        <v>0</v>
      </c>
    </row>
    <row r="3540" spans="1:14" x14ac:dyDescent="0.2">
      <c r="A3540" t="s">
        <v>4374</v>
      </c>
      <c r="B3540" s="1" t="s">
        <v>4329</v>
      </c>
      <c r="C3540" t="s">
        <v>14</v>
      </c>
      <c r="D3540" t="s">
        <v>1076</v>
      </c>
      <c r="E3540">
        <v>16</v>
      </c>
      <c r="F3540" t="s">
        <v>3891</v>
      </c>
      <c r="G3540">
        <v>2023</v>
      </c>
      <c r="H3540" t="s">
        <v>2564</v>
      </c>
      <c r="I3540" t="s">
        <v>62</v>
      </c>
      <c r="J3540">
        <v>849</v>
      </c>
      <c r="K3540">
        <v>250</v>
      </c>
      <c r="L3540">
        <f>J3540-K3540</f>
        <v>599</v>
      </c>
      <c r="M3540">
        <v>240</v>
      </c>
      <c r="N3540">
        <f>L3540-M3540</f>
        <v>359</v>
      </c>
    </row>
    <row r="3541" spans="1:14" x14ac:dyDescent="0.2">
      <c r="A3541" t="s">
        <v>4248</v>
      </c>
      <c r="B3541" s="1" t="s">
        <v>4221</v>
      </c>
      <c r="C3541" t="s">
        <v>106</v>
      </c>
      <c r="D3541" t="s">
        <v>881</v>
      </c>
      <c r="E3541">
        <v>11</v>
      </c>
      <c r="F3541" t="s">
        <v>3891</v>
      </c>
      <c r="G3541">
        <v>2023</v>
      </c>
      <c r="H3541" t="s">
        <v>309</v>
      </c>
      <c r="I3541" t="s">
        <v>212</v>
      </c>
      <c r="J3541">
        <v>-799</v>
      </c>
      <c r="K3541">
        <v>320</v>
      </c>
      <c r="L3541">
        <f>J3541+K3541</f>
        <v>-479</v>
      </c>
      <c r="M3541">
        <v>240</v>
      </c>
      <c r="N3541">
        <f>L3541+M3541</f>
        <v>-239</v>
      </c>
    </row>
    <row r="3542" spans="1:14" x14ac:dyDescent="0.2">
      <c r="A3542" t="s">
        <v>4375</v>
      </c>
      <c r="B3542" s="1" t="s">
        <v>4329</v>
      </c>
      <c r="C3542" t="s">
        <v>14</v>
      </c>
      <c r="D3542" t="s">
        <v>242</v>
      </c>
      <c r="E3542">
        <v>16</v>
      </c>
      <c r="F3542" t="s">
        <v>3891</v>
      </c>
      <c r="G3542">
        <v>2023</v>
      </c>
      <c r="H3542" t="s">
        <v>4376</v>
      </c>
      <c r="I3542" t="s">
        <v>32</v>
      </c>
      <c r="J3542">
        <v>899</v>
      </c>
      <c r="K3542">
        <v>295</v>
      </c>
      <c r="L3542">
        <f t="shared" ref="L3542:L3543" si="812">J3542-K3542</f>
        <v>604</v>
      </c>
      <c r="M3542">
        <v>240</v>
      </c>
      <c r="N3542">
        <f t="shared" ref="N3542:N3543" si="813">L3542-M3542</f>
        <v>364</v>
      </c>
    </row>
    <row r="3543" spans="1:14" x14ac:dyDescent="0.2">
      <c r="A3543" t="s">
        <v>4377</v>
      </c>
      <c r="B3543" s="1" t="s">
        <v>4329</v>
      </c>
      <c r="C3543" t="s">
        <v>14</v>
      </c>
      <c r="D3543" t="s">
        <v>242</v>
      </c>
      <c r="E3543">
        <v>16</v>
      </c>
      <c r="F3543" t="s">
        <v>3891</v>
      </c>
      <c r="G3543">
        <v>2023</v>
      </c>
      <c r="H3543" t="s">
        <v>4378</v>
      </c>
      <c r="I3543" t="s">
        <v>62</v>
      </c>
      <c r="J3543">
        <v>899</v>
      </c>
      <c r="K3543">
        <v>295</v>
      </c>
      <c r="L3543">
        <f t="shared" si="812"/>
        <v>604</v>
      </c>
      <c r="M3543">
        <v>240</v>
      </c>
      <c r="N3543">
        <f t="shared" si="813"/>
        <v>364</v>
      </c>
    </row>
    <row r="3544" spans="1:14" x14ac:dyDescent="0.2">
      <c r="A3544" t="s">
        <v>4190</v>
      </c>
      <c r="B3544" s="1" t="s">
        <v>4187</v>
      </c>
      <c r="C3544" t="s">
        <v>106</v>
      </c>
      <c r="D3544" t="s">
        <v>1370</v>
      </c>
      <c r="E3544">
        <v>10</v>
      </c>
      <c r="F3544" t="s">
        <v>3891</v>
      </c>
      <c r="G3544">
        <v>2023</v>
      </c>
      <c r="H3544" t="s">
        <v>170</v>
      </c>
      <c r="I3544" t="s">
        <v>171</v>
      </c>
      <c r="J3544">
        <v>-799</v>
      </c>
      <c r="K3544">
        <v>320</v>
      </c>
      <c r="L3544">
        <f t="shared" ref="L3544:L3547" si="814">J3544+K3544</f>
        <v>-479</v>
      </c>
      <c r="M3544">
        <v>240</v>
      </c>
      <c r="N3544">
        <f t="shared" ref="N3544:N3547" si="815">L3544+M3544</f>
        <v>-239</v>
      </c>
    </row>
    <row r="3545" spans="1:14" x14ac:dyDescent="0.2">
      <c r="A3545" t="s">
        <v>4080</v>
      </c>
      <c r="B3545" s="1" t="s">
        <v>4008</v>
      </c>
      <c r="C3545" t="s">
        <v>106</v>
      </c>
      <c r="D3545" t="s">
        <v>2403</v>
      </c>
      <c r="E3545">
        <v>6</v>
      </c>
      <c r="F3545" t="s">
        <v>3891</v>
      </c>
      <c r="G3545">
        <v>2023</v>
      </c>
      <c r="H3545" t="s">
        <v>91</v>
      </c>
      <c r="I3545" t="s">
        <v>23</v>
      </c>
      <c r="J3545">
        <v>-799</v>
      </c>
      <c r="K3545">
        <v>320</v>
      </c>
      <c r="L3545">
        <f t="shared" si="814"/>
        <v>-479</v>
      </c>
      <c r="M3545">
        <v>240</v>
      </c>
      <c r="N3545">
        <f t="shared" si="815"/>
        <v>-239</v>
      </c>
    </row>
    <row r="3546" spans="1:14" x14ac:dyDescent="0.2">
      <c r="A3546" t="s">
        <v>4267</v>
      </c>
      <c r="B3546" s="1" t="s">
        <v>4226</v>
      </c>
      <c r="C3546" t="s">
        <v>106</v>
      </c>
      <c r="D3546" t="s">
        <v>1834</v>
      </c>
      <c r="E3546">
        <v>12</v>
      </c>
      <c r="F3546" t="s">
        <v>3891</v>
      </c>
      <c r="G3546">
        <v>2023</v>
      </c>
      <c r="H3546" t="s">
        <v>2396</v>
      </c>
      <c r="I3546" t="s">
        <v>455</v>
      </c>
      <c r="J3546">
        <v>-849</v>
      </c>
      <c r="K3546">
        <v>345</v>
      </c>
      <c r="L3546">
        <f t="shared" si="814"/>
        <v>-504</v>
      </c>
      <c r="M3546">
        <v>240</v>
      </c>
      <c r="N3546">
        <f t="shared" si="815"/>
        <v>-264</v>
      </c>
    </row>
    <row r="3547" spans="1:14" x14ac:dyDescent="0.2">
      <c r="A3547" t="s">
        <v>4301</v>
      </c>
      <c r="B3547" s="1" t="s">
        <v>4297</v>
      </c>
      <c r="C3547" t="s">
        <v>106</v>
      </c>
      <c r="D3547" t="s">
        <v>81</v>
      </c>
      <c r="E3547">
        <v>14</v>
      </c>
      <c r="F3547" t="s">
        <v>3891</v>
      </c>
      <c r="G3547">
        <v>2023</v>
      </c>
      <c r="H3547" t="s">
        <v>567</v>
      </c>
      <c r="I3547" t="s">
        <v>23</v>
      </c>
      <c r="J3547">
        <v>-849</v>
      </c>
      <c r="K3547">
        <v>345</v>
      </c>
      <c r="L3547">
        <f t="shared" si="814"/>
        <v>-504</v>
      </c>
      <c r="M3547">
        <v>240</v>
      </c>
      <c r="N3547">
        <f t="shared" si="815"/>
        <v>-264</v>
      </c>
    </row>
    <row r="3548" spans="1:14" x14ac:dyDescent="0.2">
      <c r="A3548" t="s">
        <v>4379</v>
      </c>
      <c r="B3548" s="1" t="s">
        <v>4349</v>
      </c>
      <c r="C3548" t="s">
        <v>14</v>
      </c>
      <c r="D3548" t="s">
        <v>1076</v>
      </c>
      <c r="E3548">
        <v>17</v>
      </c>
      <c r="F3548" t="s">
        <v>3891</v>
      </c>
      <c r="G3548">
        <v>2023</v>
      </c>
      <c r="H3548" t="s">
        <v>84</v>
      </c>
      <c r="I3548" t="s">
        <v>85</v>
      </c>
      <c r="J3548">
        <v>849</v>
      </c>
      <c r="K3548">
        <v>250</v>
      </c>
      <c r="L3548">
        <f t="shared" ref="L3548:L3556" si="816">J3548-K3548</f>
        <v>599</v>
      </c>
      <c r="M3548">
        <v>240</v>
      </c>
      <c r="N3548">
        <f t="shared" ref="N3548:N3556" si="817">L3548-M3548</f>
        <v>359</v>
      </c>
    </row>
    <row r="3549" spans="1:14" x14ac:dyDescent="0.2">
      <c r="A3549" t="s">
        <v>4350</v>
      </c>
      <c r="B3549" s="1" t="s">
        <v>4349</v>
      </c>
      <c r="C3549" t="s">
        <v>14</v>
      </c>
      <c r="D3549" t="s">
        <v>1141</v>
      </c>
      <c r="E3549">
        <v>17</v>
      </c>
      <c r="F3549" t="s">
        <v>3891</v>
      </c>
      <c r="G3549">
        <v>2023</v>
      </c>
      <c r="H3549" t="s">
        <v>4351</v>
      </c>
      <c r="I3549" t="s">
        <v>122</v>
      </c>
      <c r="J3549">
        <v>799</v>
      </c>
      <c r="K3549">
        <v>205</v>
      </c>
      <c r="L3549">
        <f t="shared" si="816"/>
        <v>594</v>
      </c>
      <c r="M3549">
        <v>240</v>
      </c>
      <c r="N3549">
        <f t="shared" si="817"/>
        <v>354</v>
      </c>
    </row>
    <row r="3550" spans="1:14" x14ac:dyDescent="0.2">
      <c r="A3550" t="s">
        <v>4380</v>
      </c>
      <c r="B3550" s="1" t="s">
        <v>4349</v>
      </c>
      <c r="C3550" t="s">
        <v>14</v>
      </c>
      <c r="D3550" t="s">
        <v>819</v>
      </c>
      <c r="E3550">
        <v>17</v>
      </c>
      <c r="F3550" t="s">
        <v>3891</v>
      </c>
      <c r="G3550">
        <v>2023</v>
      </c>
      <c r="H3550" t="s">
        <v>246</v>
      </c>
      <c r="I3550" t="s">
        <v>58</v>
      </c>
      <c r="J3550">
        <v>999</v>
      </c>
      <c r="K3550">
        <v>325</v>
      </c>
      <c r="L3550">
        <f t="shared" si="816"/>
        <v>674</v>
      </c>
      <c r="M3550">
        <v>240</v>
      </c>
      <c r="N3550">
        <f t="shared" si="817"/>
        <v>434</v>
      </c>
    </row>
    <row r="3551" spans="1:14" x14ac:dyDescent="0.2">
      <c r="A3551" t="s">
        <v>4381</v>
      </c>
      <c r="B3551" s="1" t="s">
        <v>4349</v>
      </c>
      <c r="C3551" t="s">
        <v>14</v>
      </c>
      <c r="D3551" t="s">
        <v>1386</v>
      </c>
      <c r="E3551">
        <v>17</v>
      </c>
      <c r="F3551" t="s">
        <v>3891</v>
      </c>
      <c r="G3551">
        <v>2023</v>
      </c>
      <c r="H3551" t="s">
        <v>4382</v>
      </c>
      <c r="I3551" t="s">
        <v>85</v>
      </c>
      <c r="J3551">
        <v>799</v>
      </c>
      <c r="K3551">
        <v>205</v>
      </c>
      <c r="L3551">
        <f t="shared" si="816"/>
        <v>594</v>
      </c>
      <c r="M3551">
        <v>240</v>
      </c>
      <c r="N3551">
        <f t="shared" si="817"/>
        <v>354</v>
      </c>
    </row>
    <row r="3552" spans="1:14" x14ac:dyDescent="0.2">
      <c r="A3552" t="s">
        <v>4383</v>
      </c>
      <c r="B3552" s="1" t="s">
        <v>4349</v>
      </c>
      <c r="C3552" t="s">
        <v>14</v>
      </c>
      <c r="D3552" t="s">
        <v>4384</v>
      </c>
      <c r="E3552">
        <v>17</v>
      </c>
      <c r="F3552" t="s">
        <v>3891</v>
      </c>
      <c r="G3552">
        <v>2023</v>
      </c>
      <c r="H3552" t="s">
        <v>4385</v>
      </c>
      <c r="I3552" t="s">
        <v>253</v>
      </c>
      <c r="J3552">
        <v>799</v>
      </c>
      <c r="K3552">
        <v>205</v>
      </c>
      <c r="L3552">
        <f t="shared" si="816"/>
        <v>594</v>
      </c>
      <c r="M3552">
        <v>240</v>
      </c>
      <c r="N3552">
        <f t="shared" si="817"/>
        <v>354</v>
      </c>
    </row>
    <row r="3553" spans="1:14" x14ac:dyDescent="0.2">
      <c r="A3553" t="s">
        <v>4386</v>
      </c>
      <c r="B3553" s="1" t="s">
        <v>4349</v>
      </c>
      <c r="C3553" t="s">
        <v>14</v>
      </c>
      <c r="D3553" t="s">
        <v>448</v>
      </c>
      <c r="E3553">
        <v>17</v>
      </c>
      <c r="F3553" t="s">
        <v>3891</v>
      </c>
      <c r="G3553">
        <v>2023</v>
      </c>
      <c r="H3553" t="s">
        <v>263</v>
      </c>
      <c r="I3553" t="s">
        <v>144</v>
      </c>
      <c r="J3553">
        <v>899</v>
      </c>
      <c r="K3553">
        <v>295</v>
      </c>
      <c r="L3553">
        <f t="shared" si="816"/>
        <v>604</v>
      </c>
      <c r="M3553">
        <v>240</v>
      </c>
      <c r="N3553">
        <f t="shared" si="817"/>
        <v>364</v>
      </c>
    </row>
    <row r="3554" spans="1:14" x14ac:dyDescent="0.2">
      <c r="A3554" t="s">
        <v>4387</v>
      </c>
      <c r="B3554" s="1" t="s">
        <v>4349</v>
      </c>
      <c r="C3554" t="s">
        <v>14</v>
      </c>
      <c r="D3554" t="s">
        <v>573</v>
      </c>
      <c r="E3554">
        <v>17</v>
      </c>
      <c r="F3554" t="s">
        <v>3891</v>
      </c>
      <c r="G3554">
        <v>2023</v>
      </c>
      <c r="H3554" t="s">
        <v>4388</v>
      </c>
      <c r="I3554" t="s">
        <v>122</v>
      </c>
      <c r="J3554">
        <v>899</v>
      </c>
      <c r="K3554">
        <v>295</v>
      </c>
      <c r="L3554">
        <f t="shared" si="816"/>
        <v>604</v>
      </c>
      <c r="M3554">
        <v>240</v>
      </c>
      <c r="N3554">
        <f t="shared" si="817"/>
        <v>364</v>
      </c>
    </row>
    <row r="3555" spans="1:14" x14ac:dyDescent="0.2">
      <c r="A3555" t="s">
        <v>4389</v>
      </c>
      <c r="B3555" s="1" t="s">
        <v>4349</v>
      </c>
      <c r="C3555" t="s">
        <v>14</v>
      </c>
      <c r="D3555" t="s">
        <v>548</v>
      </c>
      <c r="E3555">
        <v>17</v>
      </c>
      <c r="F3555" t="s">
        <v>3891</v>
      </c>
      <c r="G3555">
        <v>2023</v>
      </c>
      <c r="H3555" t="s">
        <v>272</v>
      </c>
      <c r="I3555" t="s">
        <v>23</v>
      </c>
      <c r="J3555">
        <v>899</v>
      </c>
      <c r="K3555">
        <v>295</v>
      </c>
      <c r="L3555">
        <f t="shared" si="816"/>
        <v>604</v>
      </c>
      <c r="M3555">
        <v>240</v>
      </c>
      <c r="N3555">
        <f t="shared" si="817"/>
        <v>364</v>
      </c>
    </row>
    <row r="3556" spans="1:14" x14ac:dyDescent="0.2">
      <c r="A3556" t="s">
        <v>4390</v>
      </c>
      <c r="B3556" s="1" t="s">
        <v>4349</v>
      </c>
      <c r="C3556" t="s">
        <v>14</v>
      </c>
      <c r="D3556" t="s">
        <v>445</v>
      </c>
      <c r="E3556">
        <v>17</v>
      </c>
      <c r="F3556" t="s">
        <v>3891</v>
      </c>
      <c r="G3556">
        <v>2023</v>
      </c>
      <c r="H3556" t="s">
        <v>4391</v>
      </c>
      <c r="I3556" t="s">
        <v>23</v>
      </c>
      <c r="J3556">
        <v>899</v>
      </c>
      <c r="K3556">
        <v>295</v>
      </c>
      <c r="L3556">
        <f t="shared" si="816"/>
        <v>604</v>
      </c>
      <c r="M3556">
        <v>240</v>
      </c>
      <c r="N3556">
        <f t="shared" si="817"/>
        <v>364</v>
      </c>
    </row>
    <row r="3557" spans="1:14" x14ac:dyDescent="0.2">
      <c r="A3557" t="s">
        <v>4213</v>
      </c>
      <c r="B3557" s="1" t="s">
        <v>4187</v>
      </c>
      <c r="C3557" t="s">
        <v>106</v>
      </c>
      <c r="D3557" t="s">
        <v>1508</v>
      </c>
      <c r="E3557">
        <v>10</v>
      </c>
      <c r="F3557" t="s">
        <v>3891</v>
      </c>
      <c r="G3557">
        <v>2023</v>
      </c>
      <c r="H3557" t="s">
        <v>4214</v>
      </c>
      <c r="I3557" t="s">
        <v>32</v>
      </c>
      <c r="J3557">
        <v>-999</v>
      </c>
      <c r="K3557">
        <v>395</v>
      </c>
      <c r="L3557">
        <f t="shared" ref="L3557:L3561" si="818">J3557+K3557</f>
        <v>-604</v>
      </c>
      <c r="M3557">
        <v>240</v>
      </c>
      <c r="N3557">
        <f t="shared" ref="N3557:N3561" si="819">L3557+M3557</f>
        <v>-364</v>
      </c>
    </row>
    <row r="3558" spans="1:14" x14ac:dyDescent="0.2">
      <c r="A3558" t="s">
        <v>4063</v>
      </c>
      <c r="B3558" s="1" t="s">
        <v>4008</v>
      </c>
      <c r="C3558" t="s">
        <v>106</v>
      </c>
      <c r="D3558" t="s">
        <v>2429</v>
      </c>
      <c r="E3558">
        <v>6</v>
      </c>
      <c r="F3558" t="s">
        <v>3891</v>
      </c>
      <c r="G3558">
        <v>2023</v>
      </c>
      <c r="H3558" t="s">
        <v>157</v>
      </c>
      <c r="I3558" t="s">
        <v>97</v>
      </c>
      <c r="J3558">
        <v>-799</v>
      </c>
      <c r="K3558">
        <v>320</v>
      </c>
      <c r="L3558">
        <f t="shared" si="818"/>
        <v>-479</v>
      </c>
      <c r="M3558">
        <v>240</v>
      </c>
      <c r="N3558">
        <f t="shared" si="819"/>
        <v>-239</v>
      </c>
    </row>
    <row r="3559" spans="1:14" x14ac:dyDescent="0.2">
      <c r="A3559" t="s">
        <v>4291</v>
      </c>
      <c r="B3559" s="1" t="s">
        <v>4232</v>
      </c>
      <c r="C3559" t="s">
        <v>106</v>
      </c>
      <c r="D3559" t="s">
        <v>4292</v>
      </c>
      <c r="E3559">
        <v>13</v>
      </c>
      <c r="F3559" t="s">
        <v>3891</v>
      </c>
      <c r="G3559">
        <v>2023</v>
      </c>
      <c r="H3559" t="s">
        <v>848</v>
      </c>
      <c r="I3559" t="s">
        <v>376</v>
      </c>
      <c r="J3559">
        <v>-799</v>
      </c>
      <c r="K3559">
        <v>320</v>
      </c>
      <c r="L3559">
        <f t="shared" si="818"/>
        <v>-479</v>
      </c>
      <c r="M3559">
        <v>240</v>
      </c>
      <c r="N3559">
        <f t="shared" si="819"/>
        <v>-239</v>
      </c>
    </row>
    <row r="3560" spans="1:14" x14ac:dyDescent="0.2">
      <c r="A3560" t="s">
        <v>4372</v>
      </c>
      <c r="B3560" s="1" t="s">
        <v>4329</v>
      </c>
      <c r="C3560" t="s">
        <v>106</v>
      </c>
      <c r="D3560" t="s">
        <v>81</v>
      </c>
      <c r="E3560">
        <v>16</v>
      </c>
      <c r="F3560" t="s">
        <v>3891</v>
      </c>
      <c r="G3560">
        <v>2023</v>
      </c>
      <c r="H3560" t="s">
        <v>1624</v>
      </c>
      <c r="I3560" t="s">
        <v>122</v>
      </c>
      <c r="J3560">
        <v>-849</v>
      </c>
      <c r="K3560">
        <v>345</v>
      </c>
      <c r="L3560">
        <f t="shared" si="818"/>
        <v>-504</v>
      </c>
      <c r="M3560">
        <v>240</v>
      </c>
      <c r="N3560">
        <f t="shared" si="819"/>
        <v>-264</v>
      </c>
    </row>
    <row r="3561" spans="1:14" x14ac:dyDescent="0.2">
      <c r="A3561" t="s">
        <v>4249</v>
      </c>
      <c r="B3561" s="1" t="s">
        <v>4221</v>
      </c>
      <c r="C3561" t="s">
        <v>106</v>
      </c>
      <c r="D3561" t="s">
        <v>844</v>
      </c>
      <c r="E3561">
        <v>11</v>
      </c>
      <c r="F3561" t="s">
        <v>3891</v>
      </c>
      <c r="G3561">
        <v>2023</v>
      </c>
      <c r="H3561" t="s">
        <v>170</v>
      </c>
      <c r="I3561" t="s">
        <v>171</v>
      </c>
      <c r="J3561">
        <v>-799</v>
      </c>
      <c r="K3561">
        <v>320</v>
      </c>
      <c r="L3561">
        <f t="shared" si="818"/>
        <v>-479</v>
      </c>
      <c r="M3561">
        <v>240</v>
      </c>
      <c r="N3561">
        <f t="shared" si="819"/>
        <v>-239</v>
      </c>
    </row>
    <row r="3562" spans="1:14" x14ac:dyDescent="0.2">
      <c r="A3562" t="s">
        <v>4393</v>
      </c>
      <c r="B3562" s="1" t="s">
        <v>4392</v>
      </c>
      <c r="C3562" t="s">
        <v>43</v>
      </c>
      <c r="D3562" t="s">
        <v>445</v>
      </c>
      <c r="E3562">
        <v>18</v>
      </c>
      <c r="F3562" t="s">
        <v>3891</v>
      </c>
      <c r="G3562">
        <v>2023</v>
      </c>
      <c r="H3562" t="s">
        <v>150</v>
      </c>
      <c r="I3562" t="s">
        <v>62</v>
      </c>
      <c r="J3562">
        <v>0</v>
      </c>
      <c r="K3562">
        <v>0</v>
      </c>
      <c r="L3562">
        <v>0</v>
      </c>
      <c r="M3562">
        <v>0</v>
      </c>
      <c r="N3562">
        <v>0</v>
      </c>
    </row>
    <row r="3563" spans="1:14" x14ac:dyDescent="0.2">
      <c r="A3563" t="s">
        <v>4211</v>
      </c>
      <c r="B3563" s="1" t="s">
        <v>4187</v>
      </c>
      <c r="C3563" t="s">
        <v>106</v>
      </c>
      <c r="D3563" t="s">
        <v>133</v>
      </c>
      <c r="E3563">
        <v>10</v>
      </c>
      <c r="F3563" t="s">
        <v>3891</v>
      </c>
      <c r="G3563">
        <v>2023</v>
      </c>
      <c r="H3563" t="s">
        <v>4212</v>
      </c>
      <c r="I3563" t="s">
        <v>19</v>
      </c>
      <c r="J3563">
        <v>-799</v>
      </c>
      <c r="K3563">
        <v>320</v>
      </c>
      <c r="L3563">
        <f t="shared" ref="L3563:L3567" si="820">J3563+K3563</f>
        <v>-479</v>
      </c>
      <c r="M3563">
        <v>240</v>
      </c>
      <c r="N3563">
        <f t="shared" ref="N3563:N3567" si="821">L3563+M3563</f>
        <v>-239</v>
      </c>
    </row>
    <row r="3564" spans="1:14" x14ac:dyDescent="0.2">
      <c r="A3564" t="s">
        <v>4307</v>
      </c>
      <c r="B3564" s="1" t="s">
        <v>4297</v>
      </c>
      <c r="C3564" t="s">
        <v>106</v>
      </c>
      <c r="D3564" t="s">
        <v>812</v>
      </c>
      <c r="E3564">
        <v>14</v>
      </c>
      <c r="F3564" t="s">
        <v>3891</v>
      </c>
      <c r="G3564">
        <v>2023</v>
      </c>
      <c r="H3564" t="s">
        <v>49</v>
      </c>
      <c r="I3564" t="s">
        <v>32</v>
      </c>
      <c r="J3564">
        <v>-999</v>
      </c>
      <c r="K3564">
        <v>395</v>
      </c>
      <c r="L3564">
        <f t="shared" si="820"/>
        <v>-604</v>
      </c>
      <c r="M3564">
        <v>240</v>
      </c>
      <c r="N3564">
        <f t="shared" si="821"/>
        <v>-364</v>
      </c>
    </row>
    <row r="3565" spans="1:14" x14ac:dyDescent="0.2">
      <c r="A3565" t="s">
        <v>4219</v>
      </c>
      <c r="B3565" s="1" t="s">
        <v>4187</v>
      </c>
      <c r="C3565" t="s">
        <v>106</v>
      </c>
      <c r="D3565" t="s">
        <v>989</v>
      </c>
      <c r="E3565">
        <v>10</v>
      </c>
      <c r="F3565" t="s">
        <v>3891</v>
      </c>
      <c r="G3565">
        <v>2023</v>
      </c>
      <c r="H3565" t="s">
        <v>157</v>
      </c>
      <c r="I3565" t="s">
        <v>97</v>
      </c>
      <c r="J3565">
        <v>-799</v>
      </c>
      <c r="K3565">
        <v>320</v>
      </c>
      <c r="L3565">
        <f t="shared" si="820"/>
        <v>-479</v>
      </c>
      <c r="M3565">
        <v>240</v>
      </c>
      <c r="N3565">
        <f t="shared" si="821"/>
        <v>-239</v>
      </c>
    </row>
    <row r="3566" spans="1:14" x14ac:dyDescent="0.2">
      <c r="A3566" t="s">
        <v>4023</v>
      </c>
      <c r="B3566" s="1" t="s">
        <v>4010</v>
      </c>
      <c r="C3566" t="s">
        <v>106</v>
      </c>
      <c r="D3566" t="s">
        <v>379</v>
      </c>
      <c r="E3566">
        <v>5</v>
      </c>
      <c r="F3566" t="s">
        <v>3891</v>
      </c>
      <c r="G3566">
        <v>2023</v>
      </c>
      <c r="H3566" t="s">
        <v>3763</v>
      </c>
      <c r="I3566" t="s">
        <v>135</v>
      </c>
      <c r="J3566">
        <v>-799</v>
      </c>
      <c r="K3566">
        <v>320</v>
      </c>
      <c r="L3566">
        <f t="shared" si="820"/>
        <v>-479</v>
      </c>
      <c r="M3566">
        <v>240</v>
      </c>
      <c r="N3566">
        <f t="shared" si="821"/>
        <v>-239</v>
      </c>
    </row>
    <row r="3567" spans="1:14" x14ac:dyDescent="0.2">
      <c r="A3567" t="s">
        <v>4286</v>
      </c>
      <c r="B3567" s="1" t="s">
        <v>4226</v>
      </c>
      <c r="C3567" t="s">
        <v>106</v>
      </c>
      <c r="D3567" t="s">
        <v>1780</v>
      </c>
      <c r="E3567">
        <v>12</v>
      </c>
      <c r="F3567" t="s">
        <v>3891</v>
      </c>
      <c r="G3567">
        <v>2023</v>
      </c>
      <c r="H3567" t="s">
        <v>84</v>
      </c>
      <c r="I3567" t="s">
        <v>85</v>
      </c>
      <c r="J3567">
        <v>-799</v>
      </c>
      <c r="K3567">
        <v>320</v>
      </c>
      <c r="L3567">
        <f t="shared" si="820"/>
        <v>-479</v>
      </c>
      <c r="M3567">
        <v>240</v>
      </c>
      <c r="N3567">
        <f t="shared" si="821"/>
        <v>-239</v>
      </c>
    </row>
    <row r="3568" spans="1:14" x14ac:dyDescent="0.2">
      <c r="A3568" t="s">
        <v>4395</v>
      </c>
      <c r="B3568" s="1" t="s">
        <v>4394</v>
      </c>
      <c r="C3568" t="s">
        <v>43</v>
      </c>
      <c r="D3568" t="s">
        <v>308</v>
      </c>
      <c r="E3568">
        <v>19</v>
      </c>
      <c r="F3568" t="s">
        <v>3891</v>
      </c>
      <c r="G3568">
        <v>2023</v>
      </c>
      <c r="H3568" t="s">
        <v>4396</v>
      </c>
      <c r="I3568" t="s">
        <v>212</v>
      </c>
      <c r="J3568">
        <v>0</v>
      </c>
      <c r="K3568">
        <v>0</v>
      </c>
      <c r="L3568">
        <v>0</v>
      </c>
      <c r="M3568">
        <v>0</v>
      </c>
      <c r="N3568">
        <v>0</v>
      </c>
    </row>
    <row r="3569" spans="1:14" x14ac:dyDescent="0.2">
      <c r="A3569" t="s">
        <v>4397</v>
      </c>
      <c r="B3569" s="1" t="s">
        <v>4392</v>
      </c>
      <c r="C3569" t="s">
        <v>14</v>
      </c>
      <c r="D3569" t="s">
        <v>4168</v>
      </c>
      <c r="E3569">
        <v>18</v>
      </c>
      <c r="F3569" t="s">
        <v>3891</v>
      </c>
      <c r="G3569">
        <v>2023</v>
      </c>
      <c r="H3569" t="s">
        <v>157</v>
      </c>
      <c r="I3569" t="s">
        <v>97</v>
      </c>
      <c r="J3569">
        <v>799</v>
      </c>
      <c r="K3569">
        <v>205</v>
      </c>
      <c r="L3569">
        <f t="shared" ref="L3569:L3574" si="822">J3569-K3569</f>
        <v>594</v>
      </c>
      <c r="M3569">
        <v>240</v>
      </c>
      <c r="N3569">
        <f t="shared" ref="N3569:N3574" si="823">L3569-M3569</f>
        <v>354</v>
      </c>
    </row>
    <row r="3570" spans="1:14" x14ac:dyDescent="0.2">
      <c r="A3570" t="s">
        <v>4398</v>
      </c>
      <c r="B3570" s="1" t="s">
        <v>4394</v>
      </c>
      <c r="C3570" t="s">
        <v>14</v>
      </c>
      <c r="D3570" t="s">
        <v>4399</v>
      </c>
      <c r="E3570">
        <v>19</v>
      </c>
      <c r="F3570" t="s">
        <v>3891</v>
      </c>
      <c r="G3570">
        <v>2023</v>
      </c>
      <c r="H3570" t="s">
        <v>4400</v>
      </c>
      <c r="I3570" t="s">
        <v>19</v>
      </c>
      <c r="J3570">
        <v>849</v>
      </c>
      <c r="K3570">
        <v>250</v>
      </c>
      <c r="L3570">
        <f t="shared" si="822"/>
        <v>599</v>
      </c>
      <c r="M3570">
        <v>240</v>
      </c>
      <c r="N3570">
        <f t="shared" si="823"/>
        <v>359</v>
      </c>
    </row>
    <row r="3571" spans="1:14" x14ac:dyDescent="0.2">
      <c r="A3571" t="s">
        <v>4401</v>
      </c>
      <c r="B3571" s="1" t="s">
        <v>4392</v>
      </c>
      <c r="C3571" t="s">
        <v>14</v>
      </c>
      <c r="D3571" t="s">
        <v>420</v>
      </c>
      <c r="E3571">
        <v>18</v>
      </c>
      <c r="F3571" t="s">
        <v>3891</v>
      </c>
      <c r="G3571">
        <v>2023</v>
      </c>
      <c r="H3571" t="s">
        <v>1241</v>
      </c>
      <c r="I3571" t="s">
        <v>85</v>
      </c>
      <c r="J3571">
        <v>899</v>
      </c>
      <c r="K3571">
        <v>295</v>
      </c>
      <c r="L3571">
        <f t="shared" si="822"/>
        <v>604</v>
      </c>
      <c r="M3571">
        <v>240</v>
      </c>
      <c r="N3571">
        <f t="shared" si="823"/>
        <v>364</v>
      </c>
    </row>
    <row r="3572" spans="1:14" x14ac:dyDescent="0.2">
      <c r="A3572" t="s">
        <v>4402</v>
      </c>
      <c r="B3572" s="1" t="s">
        <v>4394</v>
      </c>
      <c r="C3572" t="s">
        <v>14</v>
      </c>
      <c r="D3572" t="s">
        <v>3378</v>
      </c>
      <c r="E3572">
        <v>19</v>
      </c>
      <c r="F3572" t="s">
        <v>3891</v>
      </c>
      <c r="G3572">
        <v>2023</v>
      </c>
      <c r="H3572" t="s">
        <v>246</v>
      </c>
      <c r="I3572" t="s">
        <v>58</v>
      </c>
      <c r="J3572">
        <v>799</v>
      </c>
      <c r="K3572">
        <v>205</v>
      </c>
      <c r="L3572">
        <f t="shared" si="822"/>
        <v>594</v>
      </c>
      <c r="M3572">
        <v>240</v>
      </c>
      <c r="N3572">
        <f t="shared" si="823"/>
        <v>354</v>
      </c>
    </row>
    <row r="3573" spans="1:14" x14ac:dyDescent="0.2">
      <c r="A3573" t="s">
        <v>4403</v>
      </c>
      <c r="B3573" s="1" t="s">
        <v>4392</v>
      </c>
      <c r="C3573" t="s">
        <v>14</v>
      </c>
      <c r="D3573" t="s">
        <v>954</v>
      </c>
      <c r="E3573">
        <v>18</v>
      </c>
      <c r="F3573" t="s">
        <v>3891</v>
      </c>
      <c r="G3573">
        <v>2023</v>
      </c>
      <c r="H3573" t="s">
        <v>150</v>
      </c>
      <c r="I3573" t="s">
        <v>62</v>
      </c>
      <c r="J3573">
        <v>799</v>
      </c>
      <c r="K3573">
        <v>205</v>
      </c>
      <c r="L3573">
        <f t="shared" si="822"/>
        <v>594</v>
      </c>
      <c r="M3573">
        <v>240</v>
      </c>
      <c r="N3573">
        <f t="shared" si="823"/>
        <v>354</v>
      </c>
    </row>
    <row r="3574" spans="1:14" x14ac:dyDescent="0.2">
      <c r="A3574" t="s">
        <v>4404</v>
      </c>
      <c r="B3574" s="1" t="s">
        <v>4392</v>
      </c>
      <c r="C3574" t="s">
        <v>14</v>
      </c>
      <c r="D3574" t="s">
        <v>448</v>
      </c>
      <c r="E3574">
        <v>18</v>
      </c>
      <c r="F3574" t="s">
        <v>3891</v>
      </c>
      <c r="G3574">
        <v>2023</v>
      </c>
      <c r="H3574" t="s">
        <v>2133</v>
      </c>
      <c r="I3574" t="s">
        <v>122</v>
      </c>
      <c r="J3574">
        <v>899</v>
      </c>
      <c r="K3574">
        <v>295</v>
      </c>
      <c r="L3574">
        <f t="shared" si="822"/>
        <v>604</v>
      </c>
      <c r="M3574">
        <v>240</v>
      </c>
      <c r="N3574">
        <f t="shared" si="823"/>
        <v>364</v>
      </c>
    </row>
    <row r="3575" spans="1:14" x14ac:dyDescent="0.2">
      <c r="A3575" t="s">
        <v>4405</v>
      </c>
      <c r="B3575" s="1" t="s">
        <v>4392</v>
      </c>
      <c r="C3575" t="s">
        <v>20</v>
      </c>
      <c r="D3575" t="s">
        <v>1699</v>
      </c>
      <c r="E3575">
        <v>18</v>
      </c>
      <c r="F3575" t="s">
        <v>3891</v>
      </c>
      <c r="G3575">
        <v>2023</v>
      </c>
      <c r="H3575" t="s">
        <v>1142</v>
      </c>
      <c r="I3575" t="s">
        <v>163</v>
      </c>
      <c r="J3575">
        <v>0</v>
      </c>
      <c r="K3575">
        <v>0</v>
      </c>
      <c r="L3575">
        <v>0</v>
      </c>
      <c r="M3575">
        <v>0</v>
      </c>
      <c r="N3575">
        <v>0</v>
      </c>
    </row>
    <row r="3576" spans="1:14" x14ac:dyDescent="0.2">
      <c r="A3576" t="s">
        <v>4406</v>
      </c>
      <c r="B3576" s="1" t="s">
        <v>4392</v>
      </c>
      <c r="C3576" t="s">
        <v>14</v>
      </c>
      <c r="D3576" t="s">
        <v>420</v>
      </c>
      <c r="E3576">
        <v>18</v>
      </c>
      <c r="F3576" t="s">
        <v>3891</v>
      </c>
      <c r="G3576">
        <v>2023</v>
      </c>
      <c r="H3576" t="s">
        <v>104</v>
      </c>
      <c r="I3576" t="s">
        <v>62</v>
      </c>
      <c r="J3576">
        <v>899</v>
      </c>
      <c r="K3576">
        <v>295</v>
      </c>
      <c r="L3576">
        <f t="shared" ref="L3576:L3577" si="824">J3576-K3576</f>
        <v>604</v>
      </c>
      <c r="M3576">
        <v>240</v>
      </c>
      <c r="N3576">
        <f t="shared" ref="N3576:N3577" si="825">L3576-M3576</f>
        <v>364</v>
      </c>
    </row>
    <row r="3577" spans="1:14" x14ac:dyDescent="0.2">
      <c r="A3577" t="s">
        <v>4407</v>
      </c>
      <c r="B3577" s="1" t="s">
        <v>4394</v>
      </c>
      <c r="C3577" t="s">
        <v>14</v>
      </c>
      <c r="D3577" t="s">
        <v>448</v>
      </c>
      <c r="E3577">
        <v>19</v>
      </c>
      <c r="F3577" t="s">
        <v>3891</v>
      </c>
      <c r="G3577">
        <v>2023</v>
      </c>
      <c r="H3577" t="s">
        <v>2413</v>
      </c>
      <c r="I3577" t="s">
        <v>212</v>
      </c>
      <c r="J3577">
        <v>899</v>
      </c>
      <c r="K3577">
        <v>295</v>
      </c>
      <c r="L3577">
        <f t="shared" si="824"/>
        <v>604</v>
      </c>
      <c r="M3577">
        <v>240</v>
      </c>
      <c r="N3577">
        <f t="shared" si="825"/>
        <v>364</v>
      </c>
    </row>
    <row r="3578" spans="1:14" x14ac:dyDescent="0.2">
      <c r="A3578" t="s">
        <v>4408</v>
      </c>
      <c r="B3578" s="1" t="s">
        <v>4394</v>
      </c>
      <c r="C3578" t="s">
        <v>20</v>
      </c>
      <c r="D3578" t="s">
        <v>242</v>
      </c>
      <c r="E3578">
        <v>19</v>
      </c>
      <c r="F3578" t="s">
        <v>3891</v>
      </c>
      <c r="G3578">
        <v>2023</v>
      </c>
      <c r="H3578" t="s">
        <v>1080</v>
      </c>
      <c r="I3578" t="s">
        <v>455</v>
      </c>
      <c r="J3578">
        <v>0</v>
      </c>
      <c r="K3578">
        <v>0</v>
      </c>
      <c r="L3578">
        <v>0</v>
      </c>
      <c r="M3578">
        <v>0</v>
      </c>
      <c r="N3578">
        <v>0</v>
      </c>
    </row>
    <row r="3579" spans="1:14" x14ac:dyDescent="0.2">
      <c r="A3579" t="s">
        <v>4393</v>
      </c>
      <c r="B3579" s="1" t="s">
        <v>4392</v>
      </c>
      <c r="C3579" t="s">
        <v>14</v>
      </c>
      <c r="D3579" t="s">
        <v>445</v>
      </c>
      <c r="E3579">
        <v>18</v>
      </c>
      <c r="F3579" t="s">
        <v>3891</v>
      </c>
      <c r="G3579">
        <v>2023</v>
      </c>
      <c r="H3579" t="s">
        <v>150</v>
      </c>
      <c r="I3579" t="s">
        <v>62</v>
      </c>
      <c r="J3579">
        <v>899</v>
      </c>
      <c r="K3579">
        <v>295</v>
      </c>
      <c r="L3579">
        <f t="shared" ref="L3579:L3581" si="826">J3579-K3579</f>
        <v>604</v>
      </c>
      <c r="M3579">
        <v>240</v>
      </c>
      <c r="N3579">
        <f t="shared" ref="N3579:N3581" si="827">L3579-M3579</f>
        <v>364</v>
      </c>
    </row>
    <row r="3580" spans="1:14" x14ac:dyDescent="0.2">
      <c r="A3580" t="s">
        <v>4409</v>
      </c>
      <c r="B3580" s="1" t="s">
        <v>4394</v>
      </c>
      <c r="C3580" t="s">
        <v>14</v>
      </c>
      <c r="D3580" t="s">
        <v>1971</v>
      </c>
      <c r="E3580">
        <v>19</v>
      </c>
      <c r="F3580" t="s">
        <v>3891</v>
      </c>
      <c r="G3580">
        <v>2023</v>
      </c>
      <c r="H3580" t="s">
        <v>314</v>
      </c>
      <c r="I3580" t="s">
        <v>58</v>
      </c>
      <c r="J3580">
        <v>849</v>
      </c>
      <c r="K3580">
        <v>250</v>
      </c>
      <c r="L3580">
        <f t="shared" si="826"/>
        <v>599</v>
      </c>
      <c r="M3580">
        <v>240</v>
      </c>
      <c r="N3580">
        <f t="shared" si="827"/>
        <v>359</v>
      </c>
    </row>
    <row r="3581" spans="1:14" x14ac:dyDescent="0.2">
      <c r="A3581" t="s">
        <v>4410</v>
      </c>
      <c r="B3581" s="1" t="s">
        <v>4394</v>
      </c>
      <c r="C3581" t="s">
        <v>14</v>
      </c>
      <c r="D3581" t="s">
        <v>993</v>
      </c>
      <c r="E3581">
        <v>19</v>
      </c>
      <c r="F3581" t="s">
        <v>3891</v>
      </c>
      <c r="G3581">
        <v>2023</v>
      </c>
      <c r="H3581" t="s">
        <v>235</v>
      </c>
      <c r="I3581" t="s">
        <v>62</v>
      </c>
      <c r="J3581">
        <v>799</v>
      </c>
      <c r="K3581">
        <v>205</v>
      </c>
      <c r="L3581">
        <f t="shared" si="826"/>
        <v>594</v>
      </c>
      <c r="M3581">
        <v>240</v>
      </c>
      <c r="N3581">
        <f t="shared" si="827"/>
        <v>354</v>
      </c>
    </row>
    <row r="3582" spans="1:14" x14ac:dyDescent="0.2">
      <c r="A3582" t="s">
        <v>4411</v>
      </c>
      <c r="B3582" s="1" t="s">
        <v>4394</v>
      </c>
      <c r="C3582" t="s">
        <v>20</v>
      </c>
      <c r="D3582" t="s">
        <v>1508</v>
      </c>
      <c r="E3582">
        <v>19</v>
      </c>
      <c r="F3582" t="s">
        <v>3891</v>
      </c>
      <c r="G3582">
        <v>2023</v>
      </c>
      <c r="H3582" t="s">
        <v>417</v>
      </c>
      <c r="I3582" t="s">
        <v>253</v>
      </c>
      <c r="J3582">
        <v>0</v>
      </c>
      <c r="K3582">
        <v>0</v>
      </c>
      <c r="L3582">
        <v>0</v>
      </c>
      <c r="M3582">
        <v>0</v>
      </c>
      <c r="N3582">
        <v>0</v>
      </c>
    </row>
    <row r="3583" spans="1:14" x14ac:dyDescent="0.2">
      <c r="A3583" t="s">
        <v>4412</v>
      </c>
      <c r="B3583" s="1" t="s">
        <v>4392</v>
      </c>
      <c r="C3583" t="s">
        <v>14</v>
      </c>
      <c r="D3583" t="s">
        <v>448</v>
      </c>
      <c r="E3583">
        <v>18</v>
      </c>
      <c r="F3583" t="s">
        <v>3891</v>
      </c>
      <c r="G3583">
        <v>2023</v>
      </c>
      <c r="H3583" t="s">
        <v>4413</v>
      </c>
      <c r="I3583" t="s">
        <v>502</v>
      </c>
      <c r="J3583">
        <v>899</v>
      </c>
      <c r="K3583">
        <v>295</v>
      </c>
      <c r="L3583">
        <f t="shared" ref="L3583:L3584" si="828">J3583-K3583</f>
        <v>604</v>
      </c>
      <c r="M3583">
        <v>240</v>
      </c>
      <c r="N3583">
        <f t="shared" ref="N3583:N3584" si="829">L3583-M3583</f>
        <v>364</v>
      </c>
    </row>
    <row r="3584" spans="1:14" x14ac:dyDescent="0.2">
      <c r="A3584" t="s">
        <v>4414</v>
      </c>
      <c r="B3584" s="1" t="s">
        <v>4349</v>
      </c>
      <c r="C3584" t="s">
        <v>14</v>
      </c>
      <c r="D3584" t="s">
        <v>4415</v>
      </c>
      <c r="E3584">
        <v>17</v>
      </c>
      <c r="F3584" t="s">
        <v>3891</v>
      </c>
      <c r="G3584">
        <v>2023</v>
      </c>
      <c r="H3584" t="s">
        <v>309</v>
      </c>
      <c r="I3584" t="s">
        <v>212</v>
      </c>
      <c r="J3584">
        <v>999</v>
      </c>
      <c r="K3584">
        <v>325</v>
      </c>
      <c r="L3584">
        <f t="shared" si="828"/>
        <v>674</v>
      </c>
      <c r="M3584">
        <v>240</v>
      </c>
      <c r="N3584">
        <f t="shared" si="829"/>
        <v>434</v>
      </c>
    </row>
    <row r="3585" spans="1:14" x14ac:dyDescent="0.2">
      <c r="A3585" t="s">
        <v>4283</v>
      </c>
      <c r="B3585" s="1" t="s">
        <v>4232</v>
      </c>
      <c r="C3585" t="s">
        <v>106</v>
      </c>
      <c r="D3585" t="s">
        <v>81</v>
      </c>
      <c r="E3585">
        <v>13</v>
      </c>
      <c r="F3585" t="s">
        <v>3891</v>
      </c>
      <c r="G3585">
        <v>2023</v>
      </c>
      <c r="H3585" t="s">
        <v>198</v>
      </c>
      <c r="I3585" t="s">
        <v>32</v>
      </c>
      <c r="J3585">
        <v>-849</v>
      </c>
      <c r="K3585">
        <v>345</v>
      </c>
      <c r="L3585">
        <f t="shared" ref="L3585:L3589" si="830">J3585+K3585</f>
        <v>-504</v>
      </c>
      <c r="M3585">
        <v>240</v>
      </c>
      <c r="N3585">
        <f t="shared" ref="N3585:N3589" si="831">L3585+M3585</f>
        <v>-264</v>
      </c>
    </row>
    <row r="3586" spans="1:14" x14ac:dyDescent="0.2">
      <c r="A3586" t="s">
        <v>4363</v>
      </c>
      <c r="B3586" s="1" t="s">
        <v>4329</v>
      </c>
      <c r="C3586" t="s">
        <v>106</v>
      </c>
      <c r="D3586" t="s">
        <v>895</v>
      </c>
      <c r="E3586">
        <v>16</v>
      </c>
      <c r="F3586" t="s">
        <v>3891</v>
      </c>
      <c r="G3586">
        <v>2023</v>
      </c>
      <c r="H3586" t="s">
        <v>246</v>
      </c>
      <c r="I3586" t="s">
        <v>58</v>
      </c>
      <c r="J3586">
        <v>-849</v>
      </c>
      <c r="K3586">
        <v>345</v>
      </c>
      <c r="L3586">
        <f t="shared" si="830"/>
        <v>-504</v>
      </c>
      <c r="M3586">
        <v>240</v>
      </c>
      <c r="N3586">
        <f t="shared" si="831"/>
        <v>-264</v>
      </c>
    </row>
    <row r="3587" spans="1:14" x14ac:dyDescent="0.2">
      <c r="A3587" t="s">
        <v>4308</v>
      </c>
      <c r="B3587" s="1" t="s">
        <v>4297</v>
      </c>
      <c r="C3587" t="s">
        <v>106</v>
      </c>
      <c r="D3587" t="s">
        <v>840</v>
      </c>
      <c r="E3587">
        <v>14</v>
      </c>
      <c r="F3587" t="s">
        <v>3891</v>
      </c>
      <c r="G3587">
        <v>2023</v>
      </c>
      <c r="H3587" t="s">
        <v>4309</v>
      </c>
      <c r="I3587" t="s">
        <v>163</v>
      </c>
      <c r="J3587">
        <v>-999</v>
      </c>
      <c r="K3587">
        <v>395</v>
      </c>
      <c r="L3587">
        <f t="shared" si="830"/>
        <v>-604</v>
      </c>
      <c r="M3587">
        <v>240</v>
      </c>
      <c r="N3587">
        <f t="shared" si="831"/>
        <v>-364</v>
      </c>
    </row>
    <row r="3588" spans="1:14" x14ac:dyDescent="0.2">
      <c r="A3588" t="s">
        <v>4281</v>
      </c>
      <c r="B3588" s="1" t="s">
        <v>4232</v>
      </c>
      <c r="C3588" t="s">
        <v>106</v>
      </c>
      <c r="D3588" t="s">
        <v>448</v>
      </c>
      <c r="E3588">
        <v>13</v>
      </c>
      <c r="F3588" t="s">
        <v>3891</v>
      </c>
      <c r="G3588">
        <v>2023</v>
      </c>
      <c r="H3588" t="s">
        <v>2672</v>
      </c>
      <c r="I3588" t="s">
        <v>135</v>
      </c>
      <c r="J3588">
        <v>-899</v>
      </c>
      <c r="K3588">
        <v>375</v>
      </c>
      <c r="L3588">
        <f t="shared" si="830"/>
        <v>-524</v>
      </c>
      <c r="M3588">
        <v>240</v>
      </c>
      <c r="N3588">
        <f t="shared" si="831"/>
        <v>-284</v>
      </c>
    </row>
    <row r="3589" spans="1:14" x14ac:dyDescent="0.2">
      <c r="A3589" t="s">
        <v>4325</v>
      </c>
      <c r="B3589" s="1" t="s">
        <v>4297</v>
      </c>
      <c r="C3589" t="s">
        <v>106</v>
      </c>
      <c r="D3589" t="s">
        <v>448</v>
      </c>
      <c r="E3589">
        <v>14</v>
      </c>
      <c r="F3589" t="s">
        <v>3891</v>
      </c>
      <c r="G3589">
        <v>2023</v>
      </c>
      <c r="H3589" t="s">
        <v>2173</v>
      </c>
      <c r="I3589" t="s">
        <v>23</v>
      </c>
      <c r="J3589">
        <v>-899</v>
      </c>
      <c r="K3589">
        <v>375</v>
      </c>
      <c r="L3589">
        <f t="shared" si="830"/>
        <v>-524</v>
      </c>
      <c r="M3589">
        <v>240</v>
      </c>
      <c r="N3589">
        <f t="shared" si="831"/>
        <v>-284</v>
      </c>
    </row>
    <row r="3590" spans="1:14" x14ac:dyDescent="0.2">
      <c r="A3590" t="s">
        <v>4417</v>
      </c>
      <c r="B3590" s="1" t="s">
        <v>4416</v>
      </c>
      <c r="C3590" t="s">
        <v>43</v>
      </c>
      <c r="D3590" t="s">
        <v>1193</v>
      </c>
      <c r="E3590">
        <v>20</v>
      </c>
      <c r="F3590" t="s">
        <v>3891</v>
      </c>
      <c r="G3590">
        <v>2023</v>
      </c>
      <c r="H3590" t="s">
        <v>4418</v>
      </c>
      <c r="I3590" t="s">
        <v>62</v>
      </c>
      <c r="J3590">
        <v>0</v>
      </c>
      <c r="K3590">
        <v>0</v>
      </c>
      <c r="L3590">
        <v>0</v>
      </c>
      <c r="M3590">
        <v>0</v>
      </c>
      <c r="N3590">
        <v>0</v>
      </c>
    </row>
    <row r="3591" spans="1:14" x14ac:dyDescent="0.2">
      <c r="A3591" t="s">
        <v>4361</v>
      </c>
      <c r="B3591" s="1" t="s">
        <v>4329</v>
      </c>
      <c r="C3591" t="s">
        <v>106</v>
      </c>
      <c r="D3591" t="s">
        <v>169</v>
      </c>
      <c r="E3591">
        <v>16</v>
      </c>
      <c r="F3591" t="s">
        <v>3891</v>
      </c>
      <c r="G3591">
        <v>2023</v>
      </c>
      <c r="H3591" t="s">
        <v>567</v>
      </c>
      <c r="I3591" t="s">
        <v>23</v>
      </c>
      <c r="J3591">
        <v>-799</v>
      </c>
      <c r="K3591">
        <v>320</v>
      </c>
      <c r="L3591">
        <f>J3591+K3591</f>
        <v>-479</v>
      </c>
      <c r="M3591">
        <v>240</v>
      </c>
      <c r="N3591">
        <f>L3591+M3591</f>
        <v>-239</v>
      </c>
    </row>
    <row r="3592" spans="1:14" x14ac:dyDescent="0.2">
      <c r="A3592" t="s">
        <v>4419</v>
      </c>
      <c r="B3592" s="1" t="s">
        <v>4416</v>
      </c>
      <c r="C3592" t="s">
        <v>14</v>
      </c>
      <c r="D3592" t="s">
        <v>573</v>
      </c>
      <c r="E3592">
        <v>20</v>
      </c>
      <c r="F3592" t="s">
        <v>3891</v>
      </c>
      <c r="G3592">
        <v>2023</v>
      </c>
      <c r="H3592" t="s">
        <v>581</v>
      </c>
      <c r="I3592" t="s">
        <v>28</v>
      </c>
      <c r="J3592">
        <v>899</v>
      </c>
      <c r="K3592">
        <v>295</v>
      </c>
      <c r="L3592">
        <f t="shared" ref="L3592:L3598" si="832">J3592-K3592</f>
        <v>604</v>
      </c>
      <c r="M3592">
        <v>240</v>
      </c>
      <c r="N3592">
        <f t="shared" ref="N3592:N3598" si="833">L3592-M3592</f>
        <v>364</v>
      </c>
    </row>
    <row r="3593" spans="1:14" x14ac:dyDescent="0.2">
      <c r="A3593" t="s">
        <v>4420</v>
      </c>
      <c r="B3593" s="1" t="s">
        <v>4416</v>
      </c>
      <c r="C3593" t="s">
        <v>14</v>
      </c>
      <c r="D3593" t="s">
        <v>1386</v>
      </c>
      <c r="E3593">
        <v>20</v>
      </c>
      <c r="F3593" t="s">
        <v>3891</v>
      </c>
      <c r="G3593">
        <v>2023</v>
      </c>
      <c r="H3593" t="s">
        <v>435</v>
      </c>
      <c r="I3593" t="s">
        <v>58</v>
      </c>
      <c r="J3593">
        <v>799</v>
      </c>
      <c r="K3593">
        <v>205</v>
      </c>
      <c r="L3593">
        <f t="shared" si="832"/>
        <v>594</v>
      </c>
      <c r="M3593">
        <v>240</v>
      </c>
      <c r="N3593">
        <f t="shared" si="833"/>
        <v>354</v>
      </c>
    </row>
    <row r="3594" spans="1:14" x14ac:dyDescent="0.2">
      <c r="A3594" t="s">
        <v>4421</v>
      </c>
      <c r="B3594" s="1" t="s">
        <v>4416</v>
      </c>
      <c r="C3594" t="s">
        <v>14</v>
      </c>
      <c r="D3594" t="s">
        <v>1141</v>
      </c>
      <c r="E3594">
        <v>20</v>
      </c>
      <c r="F3594" t="s">
        <v>3891</v>
      </c>
      <c r="G3594">
        <v>2023</v>
      </c>
      <c r="H3594" t="s">
        <v>4422</v>
      </c>
      <c r="I3594" t="s">
        <v>28</v>
      </c>
      <c r="J3594">
        <v>799</v>
      </c>
      <c r="K3594">
        <v>205</v>
      </c>
      <c r="L3594">
        <f t="shared" si="832"/>
        <v>594</v>
      </c>
      <c r="M3594">
        <v>240</v>
      </c>
      <c r="N3594">
        <f t="shared" si="833"/>
        <v>354</v>
      </c>
    </row>
    <row r="3595" spans="1:14" x14ac:dyDescent="0.2">
      <c r="A3595" t="s">
        <v>4423</v>
      </c>
      <c r="B3595" s="1" t="s">
        <v>4416</v>
      </c>
      <c r="C3595" t="s">
        <v>14</v>
      </c>
      <c r="D3595" t="s">
        <v>1348</v>
      </c>
      <c r="E3595">
        <v>20</v>
      </c>
      <c r="F3595" t="s">
        <v>3891</v>
      </c>
      <c r="G3595">
        <v>2023</v>
      </c>
      <c r="H3595" t="s">
        <v>4424</v>
      </c>
      <c r="I3595" t="s">
        <v>32</v>
      </c>
      <c r="J3595">
        <v>799</v>
      </c>
      <c r="K3595">
        <v>205</v>
      </c>
      <c r="L3595">
        <f t="shared" si="832"/>
        <v>594</v>
      </c>
      <c r="M3595">
        <v>240</v>
      </c>
      <c r="N3595">
        <f t="shared" si="833"/>
        <v>354</v>
      </c>
    </row>
    <row r="3596" spans="1:14" x14ac:dyDescent="0.2">
      <c r="A3596" t="s">
        <v>4425</v>
      </c>
      <c r="B3596" s="1" t="s">
        <v>4394</v>
      </c>
      <c r="C3596" t="s">
        <v>14</v>
      </c>
      <c r="D3596" t="s">
        <v>445</v>
      </c>
      <c r="E3596">
        <v>19</v>
      </c>
      <c r="F3596" t="s">
        <v>3891</v>
      </c>
      <c r="G3596">
        <v>2023</v>
      </c>
      <c r="H3596" t="s">
        <v>634</v>
      </c>
      <c r="I3596" t="s">
        <v>163</v>
      </c>
      <c r="J3596">
        <v>899</v>
      </c>
      <c r="K3596">
        <v>295</v>
      </c>
      <c r="L3596">
        <f t="shared" si="832"/>
        <v>604</v>
      </c>
      <c r="M3596">
        <v>240</v>
      </c>
      <c r="N3596">
        <f t="shared" si="833"/>
        <v>364</v>
      </c>
    </row>
    <row r="3597" spans="1:14" x14ac:dyDescent="0.2">
      <c r="A3597" t="s">
        <v>4426</v>
      </c>
      <c r="B3597" s="1" t="s">
        <v>4416</v>
      </c>
      <c r="C3597" t="s">
        <v>14</v>
      </c>
      <c r="D3597" t="s">
        <v>1178</v>
      </c>
      <c r="E3597">
        <v>20</v>
      </c>
      <c r="F3597" t="s">
        <v>3891</v>
      </c>
      <c r="G3597">
        <v>2023</v>
      </c>
      <c r="H3597" t="s">
        <v>4427</v>
      </c>
      <c r="I3597" t="s">
        <v>253</v>
      </c>
      <c r="J3597">
        <v>799</v>
      </c>
      <c r="K3597">
        <v>205</v>
      </c>
      <c r="L3597">
        <f t="shared" si="832"/>
        <v>594</v>
      </c>
      <c r="M3597">
        <v>240</v>
      </c>
      <c r="N3597">
        <f t="shared" si="833"/>
        <v>354</v>
      </c>
    </row>
    <row r="3598" spans="1:14" x14ac:dyDescent="0.2">
      <c r="A3598" t="s">
        <v>4428</v>
      </c>
      <c r="B3598" s="1" t="s">
        <v>4394</v>
      </c>
      <c r="C3598" t="s">
        <v>14</v>
      </c>
      <c r="D3598" t="s">
        <v>1556</v>
      </c>
      <c r="E3598">
        <v>19</v>
      </c>
      <c r="F3598" t="s">
        <v>3891</v>
      </c>
      <c r="G3598">
        <v>2023</v>
      </c>
      <c r="H3598" t="s">
        <v>3548</v>
      </c>
      <c r="I3598" t="s">
        <v>19</v>
      </c>
      <c r="J3598">
        <v>899</v>
      </c>
      <c r="K3598">
        <v>295</v>
      </c>
      <c r="L3598">
        <f t="shared" si="832"/>
        <v>604</v>
      </c>
      <c r="M3598">
        <v>240</v>
      </c>
      <c r="N3598">
        <f t="shared" si="833"/>
        <v>364</v>
      </c>
    </row>
    <row r="3599" spans="1:14" x14ac:dyDescent="0.2">
      <c r="A3599" t="s">
        <v>4333</v>
      </c>
      <c r="B3599" s="1" t="s">
        <v>4332</v>
      </c>
      <c r="C3599" t="s">
        <v>106</v>
      </c>
      <c r="D3599" t="s">
        <v>2310</v>
      </c>
      <c r="E3599">
        <v>15</v>
      </c>
      <c r="F3599" t="s">
        <v>3891</v>
      </c>
      <c r="G3599">
        <v>2023</v>
      </c>
      <c r="H3599" t="s">
        <v>1807</v>
      </c>
      <c r="I3599" t="s">
        <v>160</v>
      </c>
      <c r="J3599">
        <v>-799</v>
      </c>
      <c r="K3599">
        <v>320</v>
      </c>
      <c r="L3599">
        <f t="shared" ref="L3599:L3603" si="834">J3599+K3599</f>
        <v>-479</v>
      </c>
      <c r="M3599">
        <v>240</v>
      </c>
      <c r="N3599">
        <f t="shared" ref="N3599:N3603" si="835">L3599+M3599</f>
        <v>-239</v>
      </c>
    </row>
    <row r="3600" spans="1:14" x14ac:dyDescent="0.2">
      <c r="A3600" t="s">
        <v>4289</v>
      </c>
      <c r="B3600" s="1" t="s">
        <v>4226</v>
      </c>
      <c r="C3600" t="s">
        <v>106</v>
      </c>
      <c r="D3600" t="s">
        <v>242</v>
      </c>
      <c r="E3600">
        <v>12</v>
      </c>
      <c r="F3600" t="s">
        <v>3891</v>
      </c>
      <c r="G3600">
        <v>2023</v>
      </c>
      <c r="H3600" t="s">
        <v>170</v>
      </c>
      <c r="I3600" t="s">
        <v>171</v>
      </c>
      <c r="J3600">
        <v>-899</v>
      </c>
      <c r="K3600">
        <v>375</v>
      </c>
      <c r="L3600">
        <f t="shared" si="834"/>
        <v>-524</v>
      </c>
      <c r="M3600">
        <v>240</v>
      </c>
      <c r="N3600">
        <f t="shared" si="835"/>
        <v>-284</v>
      </c>
    </row>
    <row r="3601" spans="1:14" x14ac:dyDescent="0.2">
      <c r="A3601" t="s">
        <v>4230</v>
      </c>
      <c r="B3601" s="1" t="s">
        <v>4226</v>
      </c>
      <c r="C3601" t="s">
        <v>106</v>
      </c>
      <c r="D3601" t="s">
        <v>940</v>
      </c>
      <c r="E3601">
        <v>12</v>
      </c>
      <c r="F3601" t="s">
        <v>3891</v>
      </c>
      <c r="G3601">
        <v>2023</v>
      </c>
      <c r="H3601" t="s">
        <v>193</v>
      </c>
      <c r="I3601" t="s">
        <v>62</v>
      </c>
      <c r="J3601">
        <v>-799</v>
      </c>
      <c r="K3601">
        <v>320</v>
      </c>
      <c r="L3601">
        <f t="shared" si="834"/>
        <v>-479</v>
      </c>
      <c r="M3601">
        <v>240</v>
      </c>
      <c r="N3601">
        <f t="shared" si="835"/>
        <v>-239</v>
      </c>
    </row>
    <row r="3602" spans="1:14" x14ac:dyDescent="0.2">
      <c r="A3602" t="s">
        <v>4230</v>
      </c>
      <c r="B3602" s="1" t="s">
        <v>4226</v>
      </c>
      <c r="C3602" t="s">
        <v>106</v>
      </c>
      <c r="D3602" t="s">
        <v>1937</v>
      </c>
      <c r="E3602">
        <v>12</v>
      </c>
      <c r="F3602" t="s">
        <v>3891</v>
      </c>
      <c r="G3602">
        <v>2023</v>
      </c>
      <c r="H3602" t="s">
        <v>193</v>
      </c>
      <c r="I3602" t="s">
        <v>62</v>
      </c>
      <c r="J3602">
        <v>-799</v>
      </c>
      <c r="K3602">
        <v>320</v>
      </c>
      <c r="L3602">
        <f t="shared" si="834"/>
        <v>-479</v>
      </c>
      <c r="M3602">
        <v>240</v>
      </c>
      <c r="N3602">
        <f t="shared" si="835"/>
        <v>-239</v>
      </c>
    </row>
    <row r="3603" spans="1:14" x14ac:dyDescent="0.2">
      <c r="A3603" t="s">
        <v>4369</v>
      </c>
      <c r="B3603" s="1" t="s">
        <v>4329</v>
      </c>
      <c r="C3603" t="s">
        <v>106</v>
      </c>
      <c r="D3603" t="s">
        <v>4370</v>
      </c>
      <c r="E3603">
        <v>16</v>
      </c>
      <c r="F3603" t="s">
        <v>3891</v>
      </c>
      <c r="G3603">
        <v>2023</v>
      </c>
      <c r="H3603" t="s">
        <v>807</v>
      </c>
      <c r="I3603" t="s">
        <v>28</v>
      </c>
      <c r="J3603">
        <v>-799</v>
      </c>
      <c r="K3603">
        <v>320</v>
      </c>
      <c r="L3603">
        <f t="shared" si="834"/>
        <v>-479</v>
      </c>
      <c r="M3603">
        <v>240</v>
      </c>
      <c r="N3603">
        <f t="shared" si="835"/>
        <v>-239</v>
      </c>
    </row>
    <row r="3604" spans="1:14" x14ac:dyDescent="0.2">
      <c r="A3604" t="s">
        <v>4429</v>
      </c>
      <c r="B3604" s="1" t="s">
        <v>4416</v>
      </c>
      <c r="C3604" t="s">
        <v>14</v>
      </c>
      <c r="D3604" t="s">
        <v>812</v>
      </c>
      <c r="E3604">
        <v>20</v>
      </c>
      <c r="F3604" t="s">
        <v>3891</v>
      </c>
      <c r="G3604">
        <v>2023</v>
      </c>
      <c r="H3604" t="s">
        <v>4430</v>
      </c>
      <c r="I3604" t="s">
        <v>85</v>
      </c>
      <c r="J3604">
        <v>999</v>
      </c>
      <c r="K3604">
        <v>325</v>
      </c>
      <c r="L3604">
        <f t="shared" ref="L3604:L3616" si="836">J3604-K3604</f>
        <v>674</v>
      </c>
      <c r="M3604">
        <v>240</v>
      </c>
      <c r="N3604">
        <f t="shared" ref="N3604:N3616" si="837">L3604-M3604</f>
        <v>434</v>
      </c>
    </row>
    <row r="3605" spans="1:14" x14ac:dyDescent="0.2">
      <c r="A3605" t="s">
        <v>4432</v>
      </c>
      <c r="B3605" s="1" t="s">
        <v>4431</v>
      </c>
      <c r="C3605" t="s">
        <v>14</v>
      </c>
      <c r="D3605" t="s">
        <v>1377</v>
      </c>
      <c r="E3605">
        <v>21</v>
      </c>
      <c r="F3605" t="s">
        <v>3891</v>
      </c>
      <c r="G3605">
        <v>2023</v>
      </c>
      <c r="H3605" t="s">
        <v>1807</v>
      </c>
      <c r="I3605" t="s">
        <v>160</v>
      </c>
      <c r="J3605">
        <v>799</v>
      </c>
      <c r="K3605">
        <v>205</v>
      </c>
      <c r="L3605">
        <f t="shared" si="836"/>
        <v>594</v>
      </c>
      <c r="M3605">
        <v>240</v>
      </c>
      <c r="N3605">
        <f t="shared" si="837"/>
        <v>354</v>
      </c>
    </row>
    <row r="3606" spans="1:14" x14ac:dyDescent="0.2">
      <c r="A3606" t="s">
        <v>4433</v>
      </c>
      <c r="B3606" s="1" t="s">
        <v>4431</v>
      </c>
      <c r="C3606" t="s">
        <v>14</v>
      </c>
      <c r="D3606" t="s">
        <v>308</v>
      </c>
      <c r="E3606">
        <v>21</v>
      </c>
      <c r="F3606" t="s">
        <v>3891</v>
      </c>
      <c r="G3606">
        <v>2023</v>
      </c>
      <c r="H3606" t="s">
        <v>4434</v>
      </c>
      <c r="I3606" t="s">
        <v>2619</v>
      </c>
      <c r="J3606">
        <v>899</v>
      </c>
      <c r="K3606">
        <v>295</v>
      </c>
      <c r="L3606">
        <f t="shared" si="836"/>
        <v>604</v>
      </c>
      <c r="M3606">
        <v>240</v>
      </c>
      <c r="N3606">
        <f t="shared" si="837"/>
        <v>364</v>
      </c>
    </row>
    <row r="3607" spans="1:14" x14ac:dyDescent="0.2">
      <c r="A3607" t="s">
        <v>4435</v>
      </c>
      <c r="B3607" s="1" t="s">
        <v>4416</v>
      </c>
      <c r="C3607" t="s">
        <v>14</v>
      </c>
      <c r="D3607" t="s">
        <v>1233</v>
      </c>
      <c r="E3607">
        <v>20</v>
      </c>
      <c r="F3607" t="s">
        <v>3891</v>
      </c>
      <c r="G3607">
        <v>2023</v>
      </c>
      <c r="H3607" t="s">
        <v>4436</v>
      </c>
      <c r="I3607" t="s">
        <v>212</v>
      </c>
      <c r="J3607">
        <v>799</v>
      </c>
      <c r="K3607">
        <v>205</v>
      </c>
      <c r="L3607">
        <f t="shared" si="836"/>
        <v>594</v>
      </c>
      <c r="M3607">
        <v>240</v>
      </c>
      <c r="N3607">
        <f t="shared" si="837"/>
        <v>354</v>
      </c>
    </row>
    <row r="3608" spans="1:14" x14ac:dyDescent="0.2">
      <c r="A3608" t="s">
        <v>4437</v>
      </c>
      <c r="B3608" s="1" t="s">
        <v>4416</v>
      </c>
      <c r="C3608" t="s">
        <v>14</v>
      </c>
      <c r="D3608" t="s">
        <v>548</v>
      </c>
      <c r="E3608">
        <v>20</v>
      </c>
      <c r="F3608" t="s">
        <v>3891</v>
      </c>
      <c r="G3608">
        <v>2023</v>
      </c>
      <c r="H3608" t="s">
        <v>52</v>
      </c>
      <c r="I3608" t="s">
        <v>32</v>
      </c>
      <c r="J3608">
        <v>899</v>
      </c>
      <c r="K3608">
        <v>295</v>
      </c>
      <c r="L3608">
        <f t="shared" si="836"/>
        <v>604</v>
      </c>
      <c r="M3608">
        <v>240</v>
      </c>
      <c r="N3608">
        <f t="shared" si="837"/>
        <v>364</v>
      </c>
    </row>
    <row r="3609" spans="1:14" x14ac:dyDescent="0.2">
      <c r="A3609" t="s">
        <v>4438</v>
      </c>
      <c r="B3609" s="1" t="s">
        <v>4431</v>
      </c>
      <c r="C3609" t="s">
        <v>14</v>
      </c>
      <c r="D3609" t="s">
        <v>1010</v>
      </c>
      <c r="E3609">
        <v>21</v>
      </c>
      <c r="F3609" t="s">
        <v>3891</v>
      </c>
      <c r="G3609">
        <v>2023</v>
      </c>
      <c r="H3609" t="s">
        <v>4439</v>
      </c>
      <c r="I3609" t="s">
        <v>122</v>
      </c>
      <c r="J3609">
        <v>799</v>
      </c>
      <c r="K3609">
        <v>205</v>
      </c>
      <c r="L3609">
        <f t="shared" si="836"/>
        <v>594</v>
      </c>
      <c r="M3609">
        <v>240</v>
      </c>
      <c r="N3609">
        <f t="shared" si="837"/>
        <v>354</v>
      </c>
    </row>
    <row r="3610" spans="1:14" x14ac:dyDescent="0.2">
      <c r="A3610" t="s">
        <v>4440</v>
      </c>
      <c r="B3610" s="1" t="s">
        <v>4431</v>
      </c>
      <c r="C3610" t="s">
        <v>14</v>
      </c>
      <c r="D3610" t="s">
        <v>993</v>
      </c>
      <c r="E3610">
        <v>21</v>
      </c>
      <c r="F3610" t="s">
        <v>3891</v>
      </c>
      <c r="G3610">
        <v>2023</v>
      </c>
      <c r="H3610" t="s">
        <v>4441</v>
      </c>
      <c r="I3610" t="s">
        <v>58</v>
      </c>
      <c r="J3610">
        <v>799</v>
      </c>
      <c r="K3610">
        <v>205</v>
      </c>
      <c r="L3610">
        <f t="shared" si="836"/>
        <v>594</v>
      </c>
      <c r="M3610">
        <v>240</v>
      </c>
      <c r="N3610">
        <f t="shared" si="837"/>
        <v>354</v>
      </c>
    </row>
    <row r="3611" spans="1:14" x14ac:dyDescent="0.2">
      <c r="A3611" t="s">
        <v>4442</v>
      </c>
      <c r="B3611" s="1" t="s">
        <v>4431</v>
      </c>
      <c r="C3611" t="s">
        <v>14</v>
      </c>
      <c r="D3611" t="s">
        <v>448</v>
      </c>
      <c r="E3611">
        <v>21</v>
      </c>
      <c r="F3611" t="s">
        <v>3891</v>
      </c>
      <c r="G3611">
        <v>2023</v>
      </c>
      <c r="H3611" t="s">
        <v>600</v>
      </c>
      <c r="I3611" t="s">
        <v>23</v>
      </c>
      <c r="J3611">
        <v>899</v>
      </c>
      <c r="K3611">
        <v>295</v>
      </c>
      <c r="L3611">
        <f t="shared" si="836"/>
        <v>604</v>
      </c>
      <c r="M3611">
        <v>240</v>
      </c>
      <c r="N3611">
        <f t="shared" si="837"/>
        <v>364</v>
      </c>
    </row>
    <row r="3612" spans="1:14" x14ac:dyDescent="0.2">
      <c r="A3612" t="s">
        <v>4443</v>
      </c>
      <c r="B3612" s="1" t="s">
        <v>4431</v>
      </c>
      <c r="C3612" t="s">
        <v>14</v>
      </c>
      <c r="D3612" t="s">
        <v>879</v>
      </c>
      <c r="E3612">
        <v>21</v>
      </c>
      <c r="F3612" t="s">
        <v>3891</v>
      </c>
      <c r="G3612">
        <v>2023</v>
      </c>
      <c r="H3612" t="s">
        <v>4444</v>
      </c>
      <c r="I3612" t="s">
        <v>62</v>
      </c>
      <c r="J3612">
        <v>849</v>
      </c>
      <c r="K3612">
        <v>250</v>
      </c>
      <c r="L3612">
        <f t="shared" si="836"/>
        <v>599</v>
      </c>
      <c r="M3612">
        <v>240</v>
      </c>
      <c r="N3612">
        <f t="shared" si="837"/>
        <v>359</v>
      </c>
    </row>
    <row r="3613" spans="1:14" x14ac:dyDescent="0.2">
      <c r="A3613" t="s">
        <v>4445</v>
      </c>
      <c r="B3613" s="1" t="s">
        <v>4416</v>
      </c>
      <c r="C3613" t="s">
        <v>14</v>
      </c>
      <c r="D3613" t="s">
        <v>1386</v>
      </c>
      <c r="E3613">
        <v>20</v>
      </c>
      <c r="F3613" t="s">
        <v>3891</v>
      </c>
      <c r="G3613">
        <v>2023</v>
      </c>
      <c r="H3613" t="s">
        <v>68</v>
      </c>
      <c r="I3613" t="s">
        <v>62</v>
      </c>
      <c r="J3613">
        <v>799</v>
      </c>
      <c r="K3613">
        <v>205</v>
      </c>
      <c r="L3613">
        <f t="shared" si="836"/>
        <v>594</v>
      </c>
      <c r="M3613">
        <v>240</v>
      </c>
      <c r="N3613">
        <f t="shared" si="837"/>
        <v>354</v>
      </c>
    </row>
    <row r="3614" spans="1:14" x14ac:dyDescent="0.2">
      <c r="A3614" t="s">
        <v>4446</v>
      </c>
      <c r="B3614" s="1" t="s">
        <v>4416</v>
      </c>
      <c r="C3614" t="s">
        <v>14</v>
      </c>
      <c r="D3614" t="s">
        <v>284</v>
      </c>
      <c r="E3614">
        <v>20</v>
      </c>
      <c r="F3614" t="s">
        <v>3891</v>
      </c>
      <c r="G3614">
        <v>2023</v>
      </c>
      <c r="H3614" t="s">
        <v>1043</v>
      </c>
      <c r="I3614" t="s">
        <v>19</v>
      </c>
      <c r="J3614">
        <v>899</v>
      </c>
      <c r="K3614">
        <v>295</v>
      </c>
      <c r="L3614">
        <f t="shared" si="836"/>
        <v>604</v>
      </c>
      <c r="M3614">
        <v>240</v>
      </c>
      <c r="N3614">
        <f t="shared" si="837"/>
        <v>364</v>
      </c>
    </row>
    <row r="3615" spans="1:14" x14ac:dyDescent="0.2">
      <c r="A3615" t="s">
        <v>4417</v>
      </c>
      <c r="B3615" s="1" t="s">
        <v>4416</v>
      </c>
      <c r="C3615" t="s">
        <v>14</v>
      </c>
      <c r="D3615" t="s">
        <v>1193</v>
      </c>
      <c r="E3615">
        <v>20</v>
      </c>
      <c r="F3615" t="s">
        <v>3891</v>
      </c>
      <c r="G3615">
        <v>2023</v>
      </c>
      <c r="H3615" t="s">
        <v>4418</v>
      </c>
      <c r="I3615" t="s">
        <v>62</v>
      </c>
      <c r="J3615">
        <v>899</v>
      </c>
      <c r="K3615">
        <v>295</v>
      </c>
      <c r="L3615">
        <f t="shared" si="836"/>
        <v>604</v>
      </c>
      <c r="M3615">
        <v>240</v>
      </c>
      <c r="N3615">
        <f t="shared" si="837"/>
        <v>364</v>
      </c>
    </row>
    <row r="3616" spans="1:14" x14ac:dyDescent="0.2">
      <c r="A3616" t="s">
        <v>4447</v>
      </c>
      <c r="B3616" s="1" t="s">
        <v>4416</v>
      </c>
      <c r="C3616" t="s">
        <v>14</v>
      </c>
      <c r="D3616" t="s">
        <v>242</v>
      </c>
      <c r="E3616">
        <v>20</v>
      </c>
      <c r="F3616" t="s">
        <v>3891</v>
      </c>
      <c r="G3616">
        <v>2023</v>
      </c>
      <c r="H3616" t="s">
        <v>2971</v>
      </c>
      <c r="I3616" t="s">
        <v>399</v>
      </c>
      <c r="J3616">
        <v>899</v>
      </c>
      <c r="K3616">
        <v>295</v>
      </c>
      <c r="L3616">
        <f t="shared" si="836"/>
        <v>604</v>
      </c>
      <c r="M3616">
        <v>240</v>
      </c>
      <c r="N3616">
        <f t="shared" si="837"/>
        <v>364</v>
      </c>
    </row>
    <row r="3617" spans="1:14" x14ac:dyDescent="0.2">
      <c r="A3617" t="s">
        <v>4278</v>
      </c>
      <c r="B3617" s="1" t="s">
        <v>4232</v>
      </c>
      <c r="C3617" t="s">
        <v>106</v>
      </c>
      <c r="D3617" t="s">
        <v>1228</v>
      </c>
      <c r="E3617">
        <v>13</v>
      </c>
      <c r="F3617" t="s">
        <v>3891</v>
      </c>
      <c r="G3617">
        <v>2023</v>
      </c>
      <c r="H3617" t="s">
        <v>3691</v>
      </c>
      <c r="I3617" t="s">
        <v>253</v>
      </c>
      <c r="J3617">
        <v>-799</v>
      </c>
      <c r="K3617">
        <v>320</v>
      </c>
      <c r="L3617">
        <f t="shared" ref="L3617:L3619" si="838">J3617+K3617</f>
        <v>-479</v>
      </c>
      <c r="M3617">
        <v>240</v>
      </c>
      <c r="N3617">
        <f t="shared" ref="N3617:N3619" si="839">L3617+M3617</f>
        <v>-239</v>
      </c>
    </row>
    <row r="3618" spans="1:14" x14ac:dyDescent="0.2">
      <c r="A3618" t="s">
        <v>4383</v>
      </c>
      <c r="B3618" s="1" t="s">
        <v>4349</v>
      </c>
      <c r="C3618" t="s">
        <v>106</v>
      </c>
      <c r="D3618" t="s">
        <v>4384</v>
      </c>
      <c r="E3618">
        <v>17</v>
      </c>
      <c r="F3618" t="s">
        <v>3891</v>
      </c>
      <c r="G3618">
        <v>2023</v>
      </c>
      <c r="H3618" t="s">
        <v>4385</v>
      </c>
      <c r="I3618" t="s">
        <v>253</v>
      </c>
      <c r="J3618">
        <v>-799</v>
      </c>
      <c r="K3618">
        <v>320</v>
      </c>
      <c r="L3618">
        <f t="shared" si="838"/>
        <v>-479</v>
      </c>
      <c r="M3618">
        <v>240</v>
      </c>
      <c r="N3618">
        <f t="shared" si="839"/>
        <v>-239</v>
      </c>
    </row>
    <row r="3619" spans="1:14" x14ac:dyDescent="0.2">
      <c r="A3619" t="s">
        <v>4364</v>
      </c>
      <c r="B3619" s="1" t="s">
        <v>4329</v>
      </c>
      <c r="C3619" t="s">
        <v>106</v>
      </c>
      <c r="D3619" t="s">
        <v>308</v>
      </c>
      <c r="E3619">
        <v>16</v>
      </c>
      <c r="F3619" t="s">
        <v>3891</v>
      </c>
      <c r="G3619">
        <v>2023</v>
      </c>
      <c r="H3619" t="s">
        <v>198</v>
      </c>
      <c r="I3619" t="s">
        <v>32</v>
      </c>
      <c r="J3619">
        <v>-899</v>
      </c>
      <c r="K3619">
        <v>375</v>
      </c>
      <c r="L3619">
        <f t="shared" si="838"/>
        <v>-524</v>
      </c>
      <c r="M3619">
        <v>240</v>
      </c>
      <c r="N3619">
        <f t="shared" si="839"/>
        <v>-284</v>
      </c>
    </row>
    <row r="3620" spans="1:14" x14ac:dyDescent="0.2">
      <c r="A3620" t="s">
        <v>4448</v>
      </c>
      <c r="B3620" s="1" t="s">
        <v>4431</v>
      </c>
      <c r="C3620" t="s">
        <v>14</v>
      </c>
      <c r="D3620" t="s">
        <v>117</v>
      </c>
      <c r="E3620">
        <v>21</v>
      </c>
      <c r="F3620" t="s">
        <v>3891</v>
      </c>
      <c r="G3620">
        <v>2023</v>
      </c>
      <c r="H3620" t="s">
        <v>170</v>
      </c>
      <c r="I3620" t="s">
        <v>171</v>
      </c>
      <c r="J3620">
        <v>899</v>
      </c>
      <c r="K3620">
        <v>295</v>
      </c>
      <c r="L3620">
        <f t="shared" ref="L3620:L3626" si="840">J3620-K3620</f>
        <v>604</v>
      </c>
      <c r="M3620">
        <v>240</v>
      </c>
      <c r="N3620">
        <f t="shared" ref="N3620:N3626" si="841">L3620-M3620</f>
        <v>364</v>
      </c>
    </row>
    <row r="3621" spans="1:14" x14ac:dyDescent="0.2">
      <c r="A3621" t="s">
        <v>4449</v>
      </c>
      <c r="B3621" s="1" t="s">
        <v>4431</v>
      </c>
      <c r="C3621" t="s">
        <v>14</v>
      </c>
      <c r="D3621" t="s">
        <v>242</v>
      </c>
      <c r="E3621">
        <v>21</v>
      </c>
      <c r="F3621" t="s">
        <v>3891</v>
      </c>
      <c r="G3621">
        <v>2023</v>
      </c>
      <c r="H3621" t="s">
        <v>549</v>
      </c>
      <c r="I3621" t="s">
        <v>163</v>
      </c>
      <c r="J3621">
        <v>899</v>
      </c>
      <c r="K3621">
        <v>295</v>
      </c>
      <c r="L3621">
        <f t="shared" si="840"/>
        <v>604</v>
      </c>
      <c r="M3621">
        <v>240</v>
      </c>
      <c r="N3621">
        <f t="shared" si="841"/>
        <v>364</v>
      </c>
    </row>
    <row r="3622" spans="1:14" x14ac:dyDescent="0.2">
      <c r="A3622" t="s">
        <v>4450</v>
      </c>
      <c r="B3622" s="1" t="s">
        <v>4431</v>
      </c>
      <c r="C3622" t="s">
        <v>14</v>
      </c>
      <c r="D3622" t="s">
        <v>242</v>
      </c>
      <c r="E3622">
        <v>21</v>
      </c>
      <c r="F3622" t="s">
        <v>3891</v>
      </c>
      <c r="G3622">
        <v>2023</v>
      </c>
      <c r="H3622" t="s">
        <v>170</v>
      </c>
      <c r="I3622" t="s">
        <v>171</v>
      </c>
      <c r="J3622">
        <v>899</v>
      </c>
      <c r="K3622">
        <v>295</v>
      </c>
      <c r="L3622">
        <f t="shared" si="840"/>
        <v>604</v>
      </c>
      <c r="M3622">
        <v>240</v>
      </c>
      <c r="N3622">
        <f t="shared" si="841"/>
        <v>364</v>
      </c>
    </row>
    <row r="3623" spans="1:14" x14ac:dyDescent="0.2">
      <c r="A3623" t="s">
        <v>4452</v>
      </c>
      <c r="B3623" s="1" t="s">
        <v>4451</v>
      </c>
      <c r="C3623" t="s">
        <v>14</v>
      </c>
      <c r="D3623" t="s">
        <v>954</v>
      </c>
      <c r="E3623">
        <v>22</v>
      </c>
      <c r="F3623" t="s">
        <v>3891</v>
      </c>
      <c r="G3623">
        <v>2023</v>
      </c>
      <c r="H3623" t="s">
        <v>4453</v>
      </c>
      <c r="I3623" t="s">
        <v>257</v>
      </c>
      <c r="J3623">
        <v>799</v>
      </c>
      <c r="K3623">
        <v>205</v>
      </c>
      <c r="L3623">
        <f t="shared" si="840"/>
        <v>594</v>
      </c>
      <c r="M3623">
        <v>240</v>
      </c>
      <c r="N3623">
        <f t="shared" si="841"/>
        <v>354</v>
      </c>
    </row>
    <row r="3624" spans="1:14" x14ac:dyDescent="0.2">
      <c r="A3624" t="s">
        <v>4454</v>
      </c>
      <c r="B3624" s="1" t="s">
        <v>4451</v>
      </c>
      <c r="C3624" t="s">
        <v>14</v>
      </c>
      <c r="D3624" t="s">
        <v>4455</v>
      </c>
      <c r="E3624">
        <v>22</v>
      </c>
      <c r="F3624" t="s">
        <v>3891</v>
      </c>
      <c r="G3624">
        <v>2023</v>
      </c>
      <c r="H3624" t="s">
        <v>246</v>
      </c>
      <c r="I3624" t="s">
        <v>58</v>
      </c>
      <c r="J3624">
        <v>999</v>
      </c>
      <c r="K3624">
        <v>325</v>
      </c>
      <c r="L3624">
        <f t="shared" si="840"/>
        <v>674</v>
      </c>
      <c r="M3624">
        <v>240</v>
      </c>
      <c r="N3624">
        <f t="shared" si="841"/>
        <v>434</v>
      </c>
    </row>
    <row r="3625" spans="1:14" x14ac:dyDescent="0.2">
      <c r="A3625" t="s">
        <v>4456</v>
      </c>
      <c r="B3625" s="1" t="s">
        <v>4451</v>
      </c>
      <c r="C3625" t="s">
        <v>14</v>
      </c>
      <c r="D3625" t="s">
        <v>1144</v>
      </c>
      <c r="E3625">
        <v>22</v>
      </c>
      <c r="F3625" t="s">
        <v>3891</v>
      </c>
      <c r="G3625">
        <v>2023</v>
      </c>
      <c r="H3625" t="s">
        <v>215</v>
      </c>
      <c r="I3625" t="s">
        <v>135</v>
      </c>
      <c r="J3625">
        <v>799</v>
      </c>
      <c r="K3625">
        <v>205</v>
      </c>
      <c r="L3625">
        <f t="shared" si="840"/>
        <v>594</v>
      </c>
      <c r="M3625">
        <v>240</v>
      </c>
      <c r="N3625">
        <f t="shared" si="841"/>
        <v>354</v>
      </c>
    </row>
    <row r="3626" spans="1:14" x14ac:dyDescent="0.2">
      <c r="A3626" t="s">
        <v>4457</v>
      </c>
      <c r="B3626" s="1" t="s">
        <v>4451</v>
      </c>
      <c r="C3626" t="s">
        <v>14</v>
      </c>
      <c r="D3626" t="s">
        <v>809</v>
      </c>
      <c r="E3626">
        <v>22</v>
      </c>
      <c r="F3626" t="s">
        <v>3891</v>
      </c>
      <c r="G3626">
        <v>2023</v>
      </c>
      <c r="H3626" t="s">
        <v>246</v>
      </c>
      <c r="I3626" t="s">
        <v>58</v>
      </c>
      <c r="J3626">
        <v>999</v>
      </c>
      <c r="K3626">
        <v>325</v>
      </c>
      <c r="L3626">
        <f t="shared" si="840"/>
        <v>674</v>
      </c>
      <c r="M3626">
        <v>240</v>
      </c>
      <c r="N3626">
        <f t="shared" si="841"/>
        <v>434</v>
      </c>
    </row>
    <row r="3627" spans="1:14" x14ac:dyDescent="0.2">
      <c r="A3627" t="s">
        <v>4093</v>
      </c>
      <c r="B3627" s="1" t="s">
        <v>4008</v>
      </c>
      <c r="C3627" t="s">
        <v>106</v>
      </c>
      <c r="D3627" t="s">
        <v>893</v>
      </c>
      <c r="E3627">
        <v>6</v>
      </c>
      <c r="F3627" t="s">
        <v>3891</v>
      </c>
      <c r="G3627">
        <v>2023</v>
      </c>
      <c r="H3627" t="s">
        <v>4094</v>
      </c>
      <c r="I3627" t="s">
        <v>85</v>
      </c>
      <c r="J3627">
        <v>-849</v>
      </c>
      <c r="K3627">
        <v>345</v>
      </c>
      <c r="L3627">
        <f t="shared" ref="L3627:L3631" si="842">J3627+K3627</f>
        <v>-504</v>
      </c>
      <c r="M3627">
        <v>240</v>
      </c>
      <c r="N3627">
        <f t="shared" ref="N3627:N3631" si="843">L3627+M3627</f>
        <v>-264</v>
      </c>
    </row>
    <row r="3628" spans="1:14" x14ac:dyDescent="0.2">
      <c r="A3628" t="s">
        <v>4375</v>
      </c>
      <c r="B3628" s="1" t="s">
        <v>4329</v>
      </c>
      <c r="C3628" t="s">
        <v>106</v>
      </c>
      <c r="D3628" t="s">
        <v>242</v>
      </c>
      <c r="E3628">
        <v>16</v>
      </c>
      <c r="F3628" t="s">
        <v>3891</v>
      </c>
      <c r="G3628">
        <v>2023</v>
      </c>
      <c r="H3628" t="s">
        <v>4376</v>
      </c>
      <c r="I3628" t="s">
        <v>32</v>
      </c>
      <c r="J3628">
        <v>-899</v>
      </c>
      <c r="K3628">
        <v>375</v>
      </c>
      <c r="L3628">
        <f t="shared" si="842"/>
        <v>-524</v>
      </c>
      <c r="M3628">
        <v>240</v>
      </c>
      <c r="N3628">
        <f t="shared" si="843"/>
        <v>-284</v>
      </c>
    </row>
    <row r="3629" spans="1:14" x14ac:dyDescent="0.2">
      <c r="A3629" t="s">
        <v>4347</v>
      </c>
      <c r="B3629" s="1" t="s">
        <v>4332</v>
      </c>
      <c r="C3629" t="s">
        <v>106</v>
      </c>
      <c r="D3629" t="s">
        <v>1386</v>
      </c>
      <c r="E3629">
        <v>15</v>
      </c>
      <c r="F3629" t="s">
        <v>3891</v>
      </c>
      <c r="G3629">
        <v>2023</v>
      </c>
      <c r="H3629" t="s">
        <v>104</v>
      </c>
      <c r="I3629" t="s">
        <v>62</v>
      </c>
      <c r="J3629">
        <v>-799</v>
      </c>
      <c r="K3629">
        <v>320</v>
      </c>
      <c r="L3629">
        <f t="shared" si="842"/>
        <v>-479</v>
      </c>
      <c r="M3629">
        <v>240</v>
      </c>
      <c r="N3629">
        <f t="shared" si="843"/>
        <v>-239</v>
      </c>
    </row>
    <row r="3630" spans="1:14" x14ac:dyDescent="0.2">
      <c r="A3630" t="s">
        <v>4195</v>
      </c>
      <c r="B3630" s="1" t="s">
        <v>4187</v>
      </c>
      <c r="C3630" t="s">
        <v>106</v>
      </c>
      <c r="D3630" t="s">
        <v>4196</v>
      </c>
      <c r="E3630">
        <v>10</v>
      </c>
      <c r="F3630" t="s">
        <v>3891</v>
      </c>
      <c r="G3630">
        <v>2023</v>
      </c>
      <c r="H3630" t="s">
        <v>4197</v>
      </c>
      <c r="I3630" t="s">
        <v>23</v>
      </c>
      <c r="J3630">
        <v>-799</v>
      </c>
      <c r="K3630">
        <v>320</v>
      </c>
      <c r="L3630">
        <f t="shared" si="842"/>
        <v>-479</v>
      </c>
      <c r="M3630">
        <v>240</v>
      </c>
      <c r="N3630">
        <f t="shared" si="843"/>
        <v>-239</v>
      </c>
    </row>
    <row r="3631" spans="1:14" x14ac:dyDescent="0.2">
      <c r="A3631" t="s">
        <v>4386</v>
      </c>
      <c r="B3631" s="1" t="s">
        <v>4349</v>
      </c>
      <c r="C3631" t="s">
        <v>106</v>
      </c>
      <c r="D3631" t="s">
        <v>448</v>
      </c>
      <c r="E3631">
        <v>17</v>
      </c>
      <c r="F3631" t="s">
        <v>3891</v>
      </c>
      <c r="G3631">
        <v>2023</v>
      </c>
      <c r="H3631" t="s">
        <v>263</v>
      </c>
      <c r="I3631" t="s">
        <v>144</v>
      </c>
      <c r="J3631">
        <v>-899</v>
      </c>
      <c r="K3631">
        <v>375</v>
      </c>
      <c r="L3631">
        <f t="shared" si="842"/>
        <v>-524</v>
      </c>
      <c r="M3631">
        <v>240</v>
      </c>
      <c r="N3631">
        <f t="shared" si="843"/>
        <v>-284</v>
      </c>
    </row>
    <row r="3632" spans="1:14" x14ac:dyDescent="0.2">
      <c r="A3632" t="s">
        <v>4459</v>
      </c>
      <c r="B3632" s="1" t="s">
        <v>4458</v>
      </c>
      <c r="C3632" t="s">
        <v>14</v>
      </c>
      <c r="D3632" t="s">
        <v>819</v>
      </c>
      <c r="E3632">
        <v>23</v>
      </c>
      <c r="F3632" t="s">
        <v>3891</v>
      </c>
      <c r="G3632">
        <v>2023</v>
      </c>
      <c r="H3632" t="s">
        <v>314</v>
      </c>
      <c r="I3632" t="s">
        <v>58</v>
      </c>
      <c r="J3632">
        <v>999</v>
      </c>
      <c r="K3632">
        <v>325</v>
      </c>
      <c r="L3632">
        <f t="shared" ref="L3632:L3642" si="844">J3632-K3632</f>
        <v>674</v>
      </c>
      <c r="M3632">
        <v>240</v>
      </c>
      <c r="N3632">
        <f t="shared" ref="N3632:N3642" si="845">L3632-M3632</f>
        <v>434</v>
      </c>
    </row>
    <row r="3633" spans="1:14" x14ac:dyDescent="0.2">
      <c r="A3633" t="s">
        <v>4460</v>
      </c>
      <c r="B3633" s="1" t="s">
        <v>4451</v>
      </c>
      <c r="C3633" t="s">
        <v>14</v>
      </c>
      <c r="D3633" t="s">
        <v>344</v>
      </c>
      <c r="E3633">
        <v>22</v>
      </c>
      <c r="F3633" t="s">
        <v>3891</v>
      </c>
      <c r="G3633">
        <v>2023</v>
      </c>
      <c r="H3633" t="s">
        <v>49</v>
      </c>
      <c r="I3633" t="s">
        <v>32</v>
      </c>
      <c r="J3633">
        <v>799</v>
      </c>
      <c r="K3633">
        <v>205</v>
      </c>
      <c r="L3633">
        <f t="shared" si="844"/>
        <v>594</v>
      </c>
      <c r="M3633">
        <v>240</v>
      </c>
      <c r="N3633">
        <f t="shared" si="845"/>
        <v>354</v>
      </c>
    </row>
    <row r="3634" spans="1:14" x14ac:dyDescent="0.2">
      <c r="A3634" t="s">
        <v>4461</v>
      </c>
      <c r="B3634" s="1" t="s">
        <v>4458</v>
      </c>
      <c r="C3634" t="s">
        <v>14</v>
      </c>
      <c r="D3634" t="s">
        <v>3272</v>
      </c>
      <c r="E3634">
        <v>23</v>
      </c>
      <c r="F3634" t="s">
        <v>3891</v>
      </c>
      <c r="G3634">
        <v>2023</v>
      </c>
      <c r="H3634" t="s">
        <v>215</v>
      </c>
      <c r="I3634" t="s">
        <v>135</v>
      </c>
      <c r="J3634">
        <v>799</v>
      </c>
      <c r="K3634">
        <v>205</v>
      </c>
      <c r="L3634">
        <f t="shared" si="844"/>
        <v>594</v>
      </c>
      <c r="M3634">
        <v>240</v>
      </c>
      <c r="N3634">
        <f t="shared" si="845"/>
        <v>354</v>
      </c>
    </row>
    <row r="3635" spans="1:14" x14ac:dyDescent="0.2">
      <c r="A3635" t="s">
        <v>4462</v>
      </c>
      <c r="B3635" s="1" t="s">
        <v>4458</v>
      </c>
      <c r="C3635" t="s">
        <v>14</v>
      </c>
      <c r="D3635" t="s">
        <v>893</v>
      </c>
      <c r="E3635">
        <v>23</v>
      </c>
      <c r="F3635" t="s">
        <v>3891</v>
      </c>
      <c r="G3635">
        <v>2023</v>
      </c>
      <c r="H3635" t="s">
        <v>157</v>
      </c>
      <c r="I3635" t="s">
        <v>97</v>
      </c>
      <c r="J3635">
        <v>849</v>
      </c>
      <c r="K3635">
        <v>250</v>
      </c>
      <c r="L3635">
        <f t="shared" si="844"/>
        <v>599</v>
      </c>
      <c r="M3635">
        <v>240</v>
      </c>
      <c r="N3635">
        <f t="shared" si="845"/>
        <v>359</v>
      </c>
    </row>
    <row r="3636" spans="1:14" x14ac:dyDescent="0.2">
      <c r="A3636" t="s">
        <v>4463</v>
      </c>
      <c r="B3636" s="1" t="s">
        <v>4458</v>
      </c>
      <c r="C3636" t="s">
        <v>14</v>
      </c>
      <c r="D3636" t="s">
        <v>448</v>
      </c>
      <c r="E3636">
        <v>23</v>
      </c>
      <c r="F3636" t="s">
        <v>3891</v>
      </c>
      <c r="G3636">
        <v>2023</v>
      </c>
      <c r="H3636" t="s">
        <v>3585</v>
      </c>
      <c r="I3636" t="s">
        <v>19</v>
      </c>
      <c r="J3636">
        <v>899</v>
      </c>
      <c r="K3636">
        <v>295</v>
      </c>
      <c r="L3636">
        <f t="shared" si="844"/>
        <v>604</v>
      </c>
      <c r="M3636">
        <v>240</v>
      </c>
      <c r="N3636">
        <f t="shared" si="845"/>
        <v>364</v>
      </c>
    </row>
    <row r="3637" spans="1:14" x14ac:dyDescent="0.2">
      <c r="A3637" t="s">
        <v>4464</v>
      </c>
      <c r="B3637" s="1" t="s">
        <v>4458</v>
      </c>
      <c r="C3637" t="s">
        <v>14</v>
      </c>
      <c r="D3637" t="s">
        <v>4465</v>
      </c>
      <c r="E3637">
        <v>23</v>
      </c>
      <c r="F3637" t="s">
        <v>3891</v>
      </c>
      <c r="G3637">
        <v>2023</v>
      </c>
      <c r="H3637" t="s">
        <v>4466</v>
      </c>
      <c r="I3637" t="s">
        <v>257</v>
      </c>
      <c r="J3637">
        <v>799</v>
      </c>
      <c r="K3637">
        <v>205</v>
      </c>
      <c r="L3637">
        <f t="shared" si="844"/>
        <v>594</v>
      </c>
      <c r="M3637">
        <v>240</v>
      </c>
      <c r="N3637">
        <f t="shared" si="845"/>
        <v>354</v>
      </c>
    </row>
    <row r="3638" spans="1:14" x14ac:dyDescent="0.2">
      <c r="A3638" t="s">
        <v>4467</v>
      </c>
      <c r="B3638" s="1" t="s">
        <v>4451</v>
      </c>
      <c r="C3638" t="s">
        <v>14</v>
      </c>
      <c r="D3638" t="s">
        <v>895</v>
      </c>
      <c r="E3638">
        <v>22</v>
      </c>
      <c r="F3638" t="s">
        <v>3891</v>
      </c>
      <c r="G3638">
        <v>2023</v>
      </c>
      <c r="H3638" t="s">
        <v>4468</v>
      </c>
      <c r="I3638" t="s">
        <v>62</v>
      </c>
      <c r="J3638">
        <v>849</v>
      </c>
      <c r="K3638">
        <v>250</v>
      </c>
      <c r="L3638">
        <f t="shared" si="844"/>
        <v>599</v>
      </c>
      <c r="M3638">
        <v>240</v>
      </c>
      <c r="N3638">
        <f t="shared" si="845"/>
        <v>359</v>
      </c>
    </row>
    <row r="3639" spans="1:14" x14ac:dyDescent="0.2">
      <c r="A3639" t="s">
        <v>4469</v>
      </c>
      <c r="B3639" s="1" t="s">
        <v>4458</v>
      </c>
      <c r="C3639" t="s">
        <v>14</v>
      </c>
      <c r="D3639" t="s">
        <v>445</v>
      </c>
      <c r="E3639">
        <v>23</v>
      </c>
      <c r="F3639" t="s">
        <v>3891</v>
      </c>
      <c r="G3639">
        <v>2023</v>
      </c>
      <c r="H3639" t="s">
        <v>71</v>
      </c>
      <c r="I3639" t="s">
        <v>62</v>
      </c>
      <c r="J3639">
        <v>899</v>
      </c>
      <c r="K3639">
        <v>295</v>
      </c>
      <c r="L3639">
        <f t="shared" si="844"/>
        <v>604</v>
      </c>
      <c r="M3639">
        <v>240</v>
      </c>
      <c r="N3639">
        <f t="shared" si="845"/>
        <v>364</v>
      </c>
    </row>
    <row r="3640" spans="1:14" x14ac:dyDescent="0.2">
      <c r="A3640" t="s">
        <v>4470</v>
      </c>
      <c r="B3640" s="1" t="s">
        <v>4458</v>
      </c>
      <c r="C3640" t="s">
        <v>14</v>
      </c>
      <c r="D3640" t="s">
        <v>4471</v>
      </c>
      <c r="E3640">
        <v>23</v>
      </c>
      <c r="F3640" t="s">
        <v>3891</v>
      </c>
      <c r="G3640">
        <v>2023</v>
      </c>
      <c r="H3640" t="s">
        <v>246</v>
      </c>
      <c r="I3640" t="s">
        <v>58</v>
      </c>
      <c r="J3640">
        <v>849</v>
      </c>
      <c r="K3640">
        <v>250</v>
      </c>
      <c r="L3640">
        <f t="shared" si="844"/>
        <v>599</v>
      </c>
      <c r="M3640">
        <v>240</v>
      </c>
      <c r="N3640">
        <f t="shared" si="845"/>
        <v>359</v>
      </c>
    </row>
    <row r="3641" spans="1:14" x14ac:dyDescent="0.2">
      <c r="A3641" t="s">
        <v>4472</v>
      </c>
      <c r="B3641" s="1" t="s">
        <v>4458</v>
      </c>
      <c r="C3641" t="s">
        <v>14</v>
      </c>
      <c r="D3641" t="s">
        <v>308</v>
      </c>
      <c r="E3641">
        <v>23</v>
      </c>
      <c r="F3641" t="s">
        <v>3891</v>
      </c>
      <c r="G3641">
        <v>2023</v>
      </c>
      <c r="H3641" t="s">
        <v>807</v>
      </c>
      <c r="I3641" t="s">
        <v>28</v>
      </c>
      <c r="J3641">
        <v>899</v>
      </c>
      <c r="K3641">
        <v>295</v>
      </c>
      <c r="L3641">
        <f t="shared" si="844"/>
        <v>604</v>
      </c>
      <c r="M3641">
        <v>240</v>
      </c>
      <c r="N3641">
        <f t="shared" si="845"/>
        <v>364</v>
      </c>
    </row>
    <row r="3642" spans="1:14" x14ac:dyDescent="0.2">
      <c r="A3642" t="s">
        <v>4473</v>
      </c>
      <c r="B3642" s="1" t="s">
        <v>4458</v>
      </c>
      <c r="C3642" t="s">
        <v>14</v>
      </c>
      <c r="D3642" t="s">
        <v>1937</v>
      </c>
      <c r="E3642">
        <v>23</v>
      </c>
      <c r="F3642" t="s">
        <v>3891</v>
      </c>
      <c r="G3642">
        <v>2023</v>
      </c>
      <c r="H3642" t="s">
        <v>193</v>
      </c>
      <c r="I3642" t="s">
        <v>62</v>
      </c>
      <c r="J3642">
        <v>799</v>
      </c>
      <c r="K3642">
        <v>205</v>
      </c>
      <c r="L3642">
        <f t="shared" si="844"/>
        <v>594</v>
      </c>
      <c r="M3642">
        <v>240</v>
      </c>
      <c r="N3642">
        <f t="shared" si="845"/>
        <v>354</v>
      </c>
    </row>
    <row r="3643" spans="1:14" x14ac:dyDescent="0.2">
      <c r="A3643" t="s">
        <v>4228</v>
      </c>
      <c r="B3643" s="1" t="s">
        <v>4226</v>
      </c>
      <c r="C3643" t="s">
        <v>106</v>
      </c>
      <c r="D3643" t="s">
        <v>901</v>
      </c>
      <c r="E3643">
        <v>12</v>
      </c>
      <c r="F3643" t="s">
        <v>3891</v>
      </c>
      <c r="G3643">
        <v>2023</v>
      </c>
      <c r="H3643" t="s">
        <v>22</v>
      </c>
      <c r="I3643" t="s">
        <v>23</v>
      </c>
      <c r="J3643">
        <v>-799</v>
      </c>
      <c r="K3643">
        <v>320</v>
      </c>
      <c r="L3643">
        <f t="shared" ref="L3643:L3646" si="846">J3643+K3643</f>
        <v>-479</v>
      </c>
      <c r="M3643">
        <v>240</v>
      </c>
      <c r="N3643">
        <f t="shared" ref="N3643:N3646" si="847">L3643+M3643</f>
        <v>-239</v>
      </c>
    </row>
    <row r="3644" spans="1:14" x14ac:dyDescent="0.2">
      <c r="A3644" t="s">
        <v>4326</v>
      </c>
      <c r="B3644" s="1" t="s">
        <v>4297</v>
      </c>
      <c r="C3644" t="s">
        <v>106</v>
      </c>
      <c r="D3644" t="s">
        <v>45</v>
      </c>
      <c r="E3644">
        <v>14</v>
      </c>
      <c r="F3644" t="s">
        <v>3891</v>
      </c>
      <c r="G3644">
        <v>2023</v>
      </c>
      <c r="H3644" t="s">
        <v>2564</v>
      </c>
      <c r="I3644" t="s">
        <v>62</v>
      </c>
      <c r="J3644">
        <v>-899</v>
      </c>
      <c r="K3644">
        <v>375</v>
      </c>
      <c r="L3644">
        <f t="shared" si="846"/>
        <v>-524</v>
      </c>
      <c r="M3644">
        <v>240</v>
      </c>
      <c r="N3644">
        <f t="shared" si="847"/>
        <v>-284</v>
      </c>
    </row>
    <row r="3645" spans="1:14" x14ac:dyDescent="0.2">
      <c r="A3645" t="s">
        <v>4337</v>
      </c>
      <c r="B3645" s="1" t="s">
        <v>4332</v>
      </c>
      <c r="C3645" t="s">
        <v>106</v>
      </c>
      <c r="D3645" t="s">
        <v>490</v>
      </c>
      <c r="E3645">
        <v>15</v>
      </c>
      <c r="F3645" t="s">
        <v>3891</v>
      </c>
      <c r="G3645">
        <v>2023</v>
      </c>
      <c r="H3645" t="s">
        <v>796</v>
      </c>
      <c r="I3645" t="s">
        <v>58</v>
      </c>
      <c r="J3645">
        <v>-899</v>
      </c>
      <c r="K3645">
        <v>375</v>
      </c>
      <c r="L3645">
        <f t="shared" si="846"/>
        <v>-524</v>
      </c>
      <c r="M3645">
        <v>240</v>
      </c>
      <c r="N3645">
        <f t="shared" si="847"/>
        <v>-284</v>
      </c>
    </row>
    <row r="3646" spans="1:14" x14ac:dyDescent="0.2">
      <c r="A3646" t="s">
        <v>4428</v>
      </c>
      <c r="B3646" s="1" t="s">
        <v>4394</v>
      </c>
      <c r="C3646" t="s">
        <v>106</v>
      </c>
      <c r="D3646" t="s">
        <v>1556</v>
      </c>
      <c r="E3646">
        <v>19</v>
      </c>
      <c r="F3646" t="s">
        <v>3891</v>
      </c>
      <c r="G3646">
        <v>2023</v>
      </c>
      <c r="H3646" t="s">
        <v>3548</v>
      </c>
      <c r="I3646" t="s">
        <v>19</v>
      </c>
      <c r="J3646">
        <v>-899</v>
      </c>
      <c r="K3646">
        <v>375</v>
      </c>
      <c r="L3646">
        <f t="shared" si="846"/>
        <v>-524</v>
      </c>
      <c r="M3646">
        <v>240</v>
      </c>
      <c r="N3646">
        <f t="shared" si="847"/>
        <v>-284</v>
      </c>
    </row>
    <row r="3647" spans="1:14" x14ac:dyDescent="0.2">
      <c r="A3647" t="s">
        <v>4475</v>
      </c>
      <c r="B3647" s="1" t="s">
        <v>4474</v>
      </c>
      <c r="C3647" t="s">
        <v>14</v>
      </c>
      <c r="D3647" t="s">
        <v>445</v>
      </c>
      <c r="E3647">
        <v>24</v>
      </c>
      <c r="F3647" t="s">
        <v>3891</v>
      </c>
      <c r="G3647">
        <v>2023</v>
      </c>
      <c r="H3647" t="s">
        <v>796</v>
      </c>
      <c r="I3647" t="s">
        <v>58</v>
      </c>
      <c r="J3647">
        <v>899</v>
      </c>
      <c r="K3647">
        <v>295</v>
      </c>
      <c r="L3647">
        <f t="shared" ref="L3647:L3652" si="848">J3647-K3647</f>
        <v>604</v>
      </c>
      <c r="M3647">
        <v>240</v>
      </c>
      <c r="N3647">
        <f t="shared" ref="N3647:N3652" si="849">L3647-M3647</f>
        <v>364</v>
      </c>
    </row>
    <row r="3648" spans="1:14" x14ac:dyDescent="0.2">
      <c r="A3648" t="s">
        <v>4476</v>
      </c>
      <c r="B3648" s="1" t="s">
        <v>4474</v>
      </c>
      <c r="C3648" t="s">
        <v>14</v>
      </c>
      <c r="D3648" t="s">
        <v>1338</v>
      </c>
      <c r="E3648">
        <v>24</v>
      </c>
      <c r="F3648" t="s">
        <v>3891</v>
      </c>
      <c r="G3648">
        <v>2023</v>
      </c>
      <c r="H3648" t="s">
        <v>796</v>
      </c>
      <c r="I3648" t="s">
        <v>58</v>
      </c>
      <c r="J3648">
        <v>799</v>
      </c>
      <c r="K3648">
        <v>205</v>
      </c>
      <c r="L3648">
        <f t="shared" si="848"/>
        <v>594</v>
      </c>
      <c r="M3648">
        <v>240</v>
      </c>
      <c r="N3648">
        <f t="shared" si="849"/>
        <v>354</v>
      </c>
    </row>
    <row r="3649" spans="1:14" x14ac:dyDescent="0.2">
      <c r="A3649" t="s">
        <v>4477</v>
      </c>
      <c r="B3649" s="1" t="s">
        <v>4394</v>
      </c>
      <c r="C3649" t="s">
        <v>14</v>
      </c>
      <c r="D3649" t="s">
        <v>1012</v>
      </c>
      <c r="E3649">
        <v>19</v>
      </c>
      <c r="F3649" t="s">
        <v>3891</v>
      </c>
      <c r="G3649">
        <v>2023</v>
      </c>
      <c r="H3649" t="s">
        <v>157</v>
      </c>
      <c r="I3649" t="s">
        <v>97</v>
      </c>
      <c r="J3649">
        <v>799</v>
      </c>
      <c r="K3649">
        <v>205</v>
      </c>
      <c r="L3649">
        <f t="shared" si="848"/>
        <v>594</v>
      </c>
      <c r="M3649">
        <v>240</v>
      </c>
      <c r="N3649">
        <f t="shared" si="849"/>
        <v>354</v>
      </c>
    </row>
    <row r="3650" spans="1:14" x14ac:dyDescent="0.2">
      <c r="A3650" t="s">
        <v>4478</v>
      </c>
      <c r="B3650" s="1" t="s">
        <v>4474</v>
      </c>
      <c r="C3650" t="s">
        <v>14</v>
      </c>
      <c r="D3650" t="s">
        <v>895</v>
      </c>
      <c r="E3650">
        <v>24</v>
      </c>
      <c r="F3650" t="s">
        <v>3891</v>
      </c>
      <c r="G3650">
        <v>2023</v>
      </c>
      <c r="H3650" t="s">
        <v>246</v>
      </c>
      <c r="I3650" t="s">
        <v>58</v>
      </c>
      <c r="J3650">
        <v>849</v>
      </c>
      <c r="K3650">
        <v>250</v>
      </c>
      <c r="L3650">
        <f t="shared" si="848"/>
        <v>599</v>
      </c>
      <c r="M3650">
        <v>240</v>
      </c>
      <c r="N3650">
        <f t="shared" si="849"/>
        <v>359</v>
      </c>
    </row>
    <row r="3651" spans="1:14" x14ac:dyDescent="0.2">
      <c r="A3651" t="s">
        <v>4479</v>
      </c>
      <c r="B3651" s="1" t="s">
        <v>4474</v>
      </c>
      <c r="C3651" t="s">
        <v>14</v>
      </c>
      <c r="D3651" t="s">
        <v>1377</v>
      </c>
      <c r="E3651">
        <v>24</v>
      </c>
      <c r="F3651" t="s">
        <v>3891</v>
      </c>
      <c r="G3651">
        <v>2023</v>
      </c>
      <c r="H3651" t="s">
        <v>4480</v>
      </c>
      <c r="I3651" t="s">
        <v>253</v>
      </c>
      <c r="J3651">
        <v>799</v>
      </c>
      <c r="K3651">
        <v>205</v>
      </c>
      <c r="L3651">
        <f t="shared" si="848"/>
        <v>594</v>
      </c>
      <c r="M3651">
        <v>240</v>
      </c>
      <c r="N3651">
        <f t="shared" si="849"/>
        <v>354</v>
      </c>
    </row>
    <row r="3652" spans="1:14" x14ac:dyDescent="0.2">
      <c r="A3652" t="s">
        <v>4481</v>
      </c>
      <c r="B3652" s="1" t="s">
        <v>4474</v>
      </c>
      <c r="C3652" t="s">
        <v>14</v>
      </c>
      <c r="D3652" t="s">
        <v>284</v>
      </c>
      <c r="E3652">
        <v>24</v>
      </c>
      <c r="F3652" t="s">
        <v>3891</v>
      </c>
      <c r="G3652">
        <v>2023</v>
      </c>
      <c r="H3652" t="s">
        <v>4482</v>
      </c>
      <c r="I3652" t="s">
        <v>135</v>
      </c>
      <c r="J3652">
        <v>899</v>
      </c>
      <c r="K3652">
        <v>295</v>
      </c>
      <c r="L3652">
        <f t="shared" si="848"/>
        <v>604</v>
      </c>
      <c r="M3652">
        <v>240</v>
      </c>
      <c r="N3652">
        <f t="shared" si="849"/>
        <v>364</v>
      </c>
    </row>
    <row r="3653" spans="1:14" x14ac:dyDescent="0.2">
      <c r="A3653" t="s">
        <v>4198</v>
      </c>
      <c r="B3653" s="1" t="s">
        <v>4187</v>
      </c>
      <c r="C3653" t="s">
        <v>43</v>
      </c>
      <c r="D3653" t="s">
        <v>954</v>
      </c>
      <c r="E3653">
        <v>10</v>
      </c>
      <c r="F3653" t="s">
        <v>3891</v>
      </c>
      <c r="G3653">
        <v>2023</v>
      </c>
      <c r="H3653" t="s">
        <v>4199</v>
      </c>
      <c r="I3653" t="s">
        <v>58</v>
      </c>
      <c r="J3653">
        <v>0</v>
      </c>
      <c r="K3653">
        <v>0</v>
      </c>
      <c r="L3653">
        <v>0</v>
      </c>
      <c r="M3653">
        <v>0</v>
      </c>
      <c r="N3653">
        <v>0</v>
      </c>
    </row>
    <row r="3654" spans="1:14" x14ac:dyDescent="0.2">
      <c r="A3654" t="s">
        <v>4198</v>
      </c>
      <c r="B3654" s="1" t="s">
        <v>4187</v>
      </c>
      <c r="C3654" t="s">
        <v>106</v>
      </c>
      <c r="D3654" t="s">
        <v>954</v>
      </c>
      <c r="E3654">
        <v>10</v>
      </c>
      <c r="F3654" t="s">
        <v>3891</v>
      </c>
      <c r="G3654">
        <v>2023</v>
      </c>
      <c r="H3654" t="s">
        <v>4199</v>
      </c>
      <c r="I3654" t="s">
        <v>58</v>
      </c>
      <c r="J3654">
        <v>-799</v>
      </c>
      <c r="K3654">
        <v>320</v>
      </c>
      <c r="L3654">
        <f t="shared" ref="L3654:L3655" si="850">J3654+K3654</f>
        <v>-479</v>
      </c>
      <c r="M3654">
        <v>240</v>
      </c>
      <c r="N3654">
        <f t="shared" ref="N3654:N3655" si="851">L3654+M3654</f>
        <v>-239</v>
      </c>
    </row>
    <row r="3655" spans="1:14" x14ac:dyDescent="0.2">
      <c r="A3655" t="s">
        <v>4407</v>
      </c>
      <c r="B3655" s="1" t="s">
        <v>4394</v>
      </c>
      <c r="C3655" t="s">
        <v>106</v>
      </c>
      <c r="D3655" t="s">
        <v>448</v>
      </c>
      <c r="E3655">
        <v>19</v>
      </c>
      <c r="F3655" t="s">
        <v>3891</v>
      </c>
      <c r="G3655">
        <v>2023</v>
      </c>
      <c r="H3655" t="s">
        <v>2413</v>
      </c>
      <c r="I3655" t="s">
        <v>212</v>
      </c>
      <c r="J3655">
        <v>-899</v>
      </c>
      <c r="K3655">
        <v>375</v>
      </c>
      <c r="L3655">
        <f t="shared" si="850"/>
        <v>-524</v>
      </c>
      <c r="M3655">
        <v>240</v>
      </c>
      <c r="N3655">
        <f t="shared" si="851"/>
        <v>-284</v>
      </c>
    </row>
    <row r="3656" spans="1:14" x14ac:dyDescent="0.2">
      <c r="A3656" t="s">
        <v>4484</v>
      </c>
      <c r="B3656" s="1" t="s">
        <v>4483</v>
      </c>
      <c r="C3656" t="s">
        <v>43</v>
      </c>
      <c r="D3656" t="s">
        <v>1141</v>
      </c>
      <c r="E3656">
        <v>25</v>
      </c>
      <c r="F3656" t="s">
        <v>3891</v>
      </c>
      <c r="G3656">
        <v>2023</v>
      </c>
      <c r="H3656" t="s">
        <v>4485</v>
      </c>
      <c r="I3656" t="s">
        <v>250</v>
      </c>
      <c r="J3656">
        <v>0</v>
      </c>
      <c r="K3656">
        <v>0</v>
      </c>
      <c r="L3656">
        <v>0</v>
      </c>
      <c r="M3656">
        <v>0</v>
      </c>
      <c r="N3656">
        <v>0</v>
      </c>
    </row>
    <row r="3657" spans="1:14" x14ac:dyDescent="0.2">
      <c r="A3657" t="s">
        <v>4353</v>
      </c>
      <c r="B3657" s="1" t="s">
        <v>4329</v>
      </c>
      <c r="C3657" t="s">
        <v>106</v>
      </c>
      <c r="D3657" t="s">
        <v>1182</v>
      </c>
      <c r="E3657">
        <v>16</v>
      </c>
      <c r="F3657" t="s">
        <v>3891</v>
      </c>
      <c r="G3657">
        <v>2023</v>
      </c>
      <c r="H3657" t="s">
        <v>4354</v>
      </c>
      <c r="I3657" t="s">
        <v>37</v>
      </c>
      <c r="J3657">
        <v>-799</v>
      </c>
      <c r="K3657">
        <v>320</v>
      </c>
      <c r="L3657">
        <f t="shared" ref="L3657:L3658" si="852">J3657+K3657</f>
        <v>-479</v>
      </c>
      <c r="M3657">
        <v>240</v>
      </c>
      <c r="N3657">
        <f t="shared" ref="N3657:N3658" si="853">L3657+M3657</f>
        <v>-239</v>
      </c>
    </row>
    <row r="3658" spans="1:14" x14ac:dyDescent="0.2">
      <c r="A3658" t="s">
        <v>4356</v>
      </c>
      <c r="B3658" s="1" t="s">
        <v>4329</v>
      </c>
      <c r="C3658" t="s">
        <v>106</v>
      </c>
      <c r="D3658" t="s">
        <v>504</v>
      </c>
      <c r="E3658">
        <v>16</v>
      </c>
      <c r="F3658" t="s">
        <v>3891</v>
      </c>
      <c r="G3658">
        <v>2023</v>
      </c>
      <c r="H3658" t="s">
        <v>4357</v>
      </c>
      <c r="I3658" t="s">
        <v>135</v>
      </c>
      <c r="J3658">
        <v>-899</v>
      </c>
      <c r="K3658">
        <v>375</v>
      </c>
      <c r="L3658">
        <f t="shared" si="852"/>
        <v>-524</v>
      </c>
      <c r="M3658">
        <v>240</v>
      </c>
      <c r="N3658">
        <f t="shared" si="853"/>
        <v>-284</v>
      </c>
    </row>
    <row r="3659" spans="1:14" x14ac:dyDescent="0.2">
      <c r="A3659" t="s">
        <v>4487</v>
      </c>
      <c r="B3659" s="1" t="s">
        <v>4486</v>
      </c>
      <c r="C3659" t="s">
        <v>43</v>
      </c>
      <c r="D3659" t="s">
        <v>242</v>
      </c>
      <c r="E3659">
        <v>26</v>
      </c>
      <c r="F3659" t="s">
        <v>3891</v>
      </c>
      <c r="G3659">
        <v>2023</v>
      </c>
      <c r="H3659" t="s">
        <v>170</v>
      </c>
      <c r="I3659" t="s">
        <v>171</v>
      </c>
      <c r="J3659">
        <v>0</v>
      </c>
      <c r="K3659">
        <v>0</v>
      </c>
      <c r="L3659">
        <v>0</v>
      </c>
      <c r="M3659">
        <v>0</v>
      </c>
      <c r="N3659">
        <v>0</v>
      </c>
    </row>
    <row r="3660" spans="1:14" x14ac:dyDescent="0.2">
      <c r="A3660" t="s">
        <v>4426</v>
      </c>
      <c r="B3660" s="1" t="s">
        <v>4416</v>
      </c>
      <c r="C3660" t="s">
        <v>106</v>
      </c>
      <c r="D3660" t="s">
        <v>1178</v>
      </c>
      <c r="E3660">
        <v>20</v>
      </c>
      <c r="F3660" t="s">
        <v>3891</v>
      </c>
      <c r="G3660">
        <v>2023</v>
      </c>
      <c r="H3660" t="s">
        <v>4427</v>
      </c>
      <c r="I3660" t="s">
        <v>253</v>
      </c>
      <c r="J3660">
        <v>-799</v>
      </c>
      <c r="K3660">
        <v>320</v>
      </c>
      <c r="L3660">
        <f t="shared" ref="L3660:L3661" si="854">J3660+K3660</f>
        <v>-479</v>
      </c>
      <c r="M3660">
        <v>240</v>
      </c>
      <c r="N3660">
        <f t="shared" ref="N3660:N3661" si="855">L3660+M3660</f>
        <v>-239</v>
      </c>
    </row>
    <row r="3661" spans="1:14" x14ac:dyDescent="0.2">
      <c r="A3661" t="s">
        <v>4397</v>
      </c>
      <c r="B3661" s="1" t="s">
        <v>4392</v>
      </c>
      <c r="C3661" t="s">
        <v>106</v>
      </c>
      <c r="D3661" t="s">
        <v>4168</v>
      </c>
      <c r="E3661">
        <v>18</v>
      </c>
      <c r="F3661" t="s">
        <v>3891</v>
      </c>
      <c r="G3661">
        <v>2023</v>
      </c>
      <c r="H3661" t="s">
        <v>157</v>
      </c>
      <c r="I3661" t="s">
        <v>97</v>
      </c>
      <c r="J3661">
        <v>-799</v>
      </c>
      <c r="K3661">
        <v>320</v>
      </c>
      <c r="L3661">
        <f t="shared" si="854"/>
        <v>-479</v>
      </c>
      <c r="M3661">
        <v>240</v>
      </c>
      <c r="N3661">
        <f t="shared" si="855"/>
        <v>-239</v>
      </c>
    </row>
    <row r="3662" spans="1:14" x14ac:dyDescent="0.2">
      <c r="A3662" t="s">
        <v>4488</v>
      </c>
      <c r="B3662" s="1" t="s">
        <v>4483</v>
      </c>
      <c r="C3662" t="s">
        <v>14</v>
      </c>
      <c r="D3662" t="s">
        <v>4465</v>
      </c>
      <c r="E3662">
        <v>25</v>
      </c>
      <c r="F3662" t="s">
        <v>3891</v>
      </c>
      <c r="G3662">
        <v>2023</v>
      </c>
      <c r="H3662" t="s">
        <v>1807</v>
      </c>
      <c r="I3662" t="s">
        <v>160</v>
      </c>
      <c r="J3662">
        <v>799</v>
      </c>
      <c r="K3662">
        <v>205</v>
      </c>
      <c r="L3662">
        <f t="shared" ref="L3662:L3667" si="856">J3662-K3662</f>
        <v>594</v>
      </c>
      <c r="M3662">
        <v>240</v>
      </c>
      <c r="N3662">
        <f t="shared" ref="N3662:N3667" si="857">L3662-M3662</f>
        <v>354</v>
      </c>
    </row>
    <row r="3663" spans="1:14" x14ac:dyDescent="0.2">
      <c r="A3663" t="s">
        <v>4489</v>
      </c>
      <c r="B3663" s="1" t="s">
        <v>4486</v>
      </c>
      <c r="C3663" t="s">
        <v>14</v>
      </c>
      <c r="D3663" t="s">
        <v>895</v>
      </c>
      <c r="E3663">
        <v>26</v>
      </c>
      <c r="F3663" t="s">
        <v>3891</v>
      </c>
      <c r="G3663">
        <v>2023</v>
      </c>
      <c r="H3663" t="s">
        <v>91</v>
      </c>
      <c r="I3663" t="s">
        <v>23</v>
      </c>
      <c r="J3663">
        <v>849</v>
      </c>
      <c r="K3663">
        <v>250</v>
      </c>
      <c r="L3663">
        <f t="shared" si="856"/>
        <v>599</v>
      </c>
      <c r="M3663">
        <v>240</v>
      </c>
      <c r="N3663">
        <f t="shared" si="857"/>
        <v>359</v>
      </c>
    </row>
    <row r="3664" spans="1:14" x14ac:dyDescent="0.2">
      <c r="A3664" t="s">
        <v>4490</v>
      </c>
      <c r="B3664" s="1" t="s">
        <v>4486</v>
      </c>
      <c r="C3664" t="s">
        <v>14</v>
      </c>
      <c r="D3664" t="s">
        <v>1010</v>
      </c>
      <c r="E3664">
        <v>26</v>
      </c>
      <c r="F3664" t="s">
        <v>3891</v>
      </c>
      <c r="G3664">
        <v>2023</v>
      </c>
      <c r="H3664" t="s">
        <v>2564</v>
      </c>
      <c r="I3664" t="s">
        <v>62</v>
      </c>
      <c r="J3664">
        <v>799</v>
      </c>
      <c r="K3664">
        <v>205</v>
      </c>
      <c r="L3664">
        <f t="shared" si="856"/>
        <v>594</v>
      </c>
      <c r="M3664">
        <v>240</v>
      </c>
      <c r="N3664">
        <f t="shared" si="857"/>
        <v>354</v>
      </c>
    </row>
    <row r="3665" spans="1:14" x14ac:dyDescent="0.2">
      <c r="A3665" t="s">
        <v>4491</v>
      </c>
      <c r="B3665" s="1" t="s">
        <v>4486</v>
      </c>
      <c r="C3665" t="s">
        <v>14</v>
      </c>
      <c r="D3665" t="s">
        <v>448</v>
      </c>
      <c r="E3665">
        <v>26</v>
      </c>
      <c r="F3665" t="s">
        <v>3891</v>
      </c>
      <c r="G3665">
        <v>2023</v>
      </c>
      <c r="H3665" t="s">
        <v>2516</v>
      </c>
      <c r="I3665" t="s">
        <v>455</v>
      </c>
      <c r="J3665">
        <v>899</v>
      </c>
      <c r="K3665">
        <v>295</v>
      </c>
      <c r="L3665">
        <f t="shared" si="856"/>
        <v>604</v>
      </c>
      <c r="M3665">
        <v>240</v>
      </c>
      <c r="N3665">
        <f t="shared" si="857"/>
        <v>364</v>
      </c>
    </row>
    <row r="3666" spans="1:14" x14ac:dyDescent="0.2">
      <c r="A3666" t="s">
        <v>4487</v>
      </c>
      <c r="B3666" s="1" t="s">
        <v>4486</v>
      </c>
      <c r="C3666" t="s">
        <v>14</v>
      </c>
      <c r="D3666" t="s">
        <v>242</v>
      </c>
      <c r="E3666">
        <v>26</v>
      </c>
      <c r="F3666" t="s">
        <v>3891</v>
      </c>
      <c r="G3666">
        <v>2023</v>
      </c>
      <c r="H3666" t="s">
        <v>170</v>
      </c>
      <c r="I3666" t="s">
        <v>171</v>
      </c>
      <c r="J3666">
        <v>899</v>
      </c>
      <c r="K3666">
        <v>295</v>
      </c>
      <c r="L3666">
        <f t="shared" si="856"/>
        <v>604</v>
      </c>
      <c r="M3666">
        <v>240</v>
      </c>
      <c r="N3666">
        <f t="shared" si="857"/>
        <v>364</v>
      </c>
    </row>
    <row r="3667" spans="1:14" x14ac:dyDescent="0.2">
      <c r="A3667" t="s">
        <v>4492</v>
      </c>
      <c r="B3667" s="1" t="s">
        <v>4486</v>
      </c>
      <c r="C3667" t="s">
        <v>14</v>
      </c>
      <c r="D3667" t="s">
        <v>1193</v>
      </c>
      <c r="E3667">
        <v>26</v>
      </c>
      <c r="F3667" t="s">
        <v>3891</v>
      </c>
      <c r="G3667">
        <v>2023</v>
      </c>
      <c r="H3667" t="s">
        <v>796</v>
      </c>
      <c r="I3667" t="s">
        <v>58</v>
      </c>
      <c r="J3667">
        <v>899</v>
      </c>
      <c r="K3667">
        <v>295</v>
      </c>
      <c r="L3667">
        <f t="shared" si="856"/>
        <v>604</v>
      </c>
      <c r="M3667">
        <v>240</v>
      </c>
      <c r="N3667">
        <f t="shared" si="857"/>
        <v>364</v>
      </c>
    </row>
    <row r="3668" spans="1:14" x14ac:dyDescent="0.2">
      <c r="A3668" t="s">
        <v>4493</v>
      </c>
      <c r="B3668" s="1" t="s">
        <v>4483</v>
      </c>
      <c r="C3668" t="s">
        <v>20</v>
      </c>
      <c r="D3668" t="s">
        <v>490</v>
      </c>
      <c r="E3668">
        <v>25</v>
      </c>
      <c r="F3668" t="s">
        <v>3891</v>
      </c>
      <c r="G3668">
        <v>2023</v>
      </c>
      <c r="H3668" t="s">
        <v>549</v>
      </c>
      <c r="I3668" t="s">
        <v>163</v>
      </c>
      <c r="J3668">
        <v>0</v>
      </c>
      <c r="K3668">
        <v>0</v>
      </c>
      <c r="L3668">
        <v>0</v>
      </c>
      <c r="M3668">
        <v>0</v>
      </c>
      <c r="N3668">
        <v>0</v>
      </c>
    </row>
    <row r="3669" spans="1:14" x14ac:dyDescent="0.2">
      <c r="A3669" t="s">
        <v>4494</v>
      </c>
      <c r="B3669" s="1" t="s">
        <v>4486</v>
      </c>
      <c r="C3669" t="s">
        <v>14</v>
      </c>
      <c r="D3669" t="s">
        <v>490</v>
      </c>
      <c r="E3669">
        <v>26</v>
      </c>
      <c r="F3669" t="s">
        <v>3891</v>
      </c>
      <c r="G3669">
        <v>2023</v>
      </c>
      <c r="H3669" t="s">
        <v>796</v>
      </c>
      <c r="I3669" t="s">
        <v>58</v>
      </c>
      <c r="J3669">
        <v>899</v>
      </c>
      <c r="K3669">
        <v>295</v>
      </c>
      <c r="L3669">
        <f t="shared" ref="L3669:L3685" si="858">J3669-K3669</f>
        <v>604</v>
      </c>
      <c r="M3669">
        <v>240</v>
      </c>
      <c r="N3669">
        <f t="shared" ref="N3669:N3685" si="859">L3669-M3669</f>
        <v>364</v>
      </c>
    </row>
    <row r="3670" spans="1:14" x14ac:dyDescent="0.2">
      <c r="A3670" t="s">
        <v>4495</v>
      </c>
      <c r="B3670" s="1" t="s">
        <v>4486</v>
      </c>
      <c r="C3670" t="s">
        <v>14</v>
      </c>
      <c r="D3670" t="s">
        <v>4465</v>
      </c>
      <c r="E3670">
        <v>26</v>
      </c>
      <c r="F3670" t="s">
        <v>3891</v>
      </c>
      <c r="G3670">
        <v>2023</v>
      </c>
      <c r="H3670" t="s">
        <v>796</v>
      </c>
      <c r="I3670" t="s">
        <v>58</v>
      </c>
      <c r="J3670">
        <v>799</v>
      </c>
      <c r="K3670">
        <v>205</v>
      </c>
      <c r="L3670">
        <f t="shared" si="858"/>
        <v>594</v>
      </c>
      <c r="M3670">
        <v>240</v>
      </c>
      <c r="N3670">
        <f t="shared" si="859"/>
        <v>354</v>
      </c>
    </row>
    <row r="3671" spans="1:14" x14ac:dyDescent="0.2">
      <c r="A3671" t="s">
        <v>4496</v>
      </c>
      <c r="B3671" s="1" t="s">
        <v>4486</v>
      </c>
      <c r="C3671" t="s">
        <v>14</v>
      </c>
      <c r="D3671" t="s">
        <v>4497</v>
      </c>
      <c r="E3671">
        <v>26</v>
      </c>
      <c r="F3671" t="s">
        <v>3891</v>
      </c>
      <c r="G3671">
        <v>2023</v>
      </c>
      <c r="H3671" t="s">
        <v>796</v>
      </c>
      <c r="I3671" t="s">
        <v>58</v>
      </c>
      <c r="J3671">
        <v>849</v>
      </c>
      <c r="K3671">
        <v>250</v>
      </c>
      <c r="L3671">
        <f t="shared" si="858"/>
        <v>599</v>
      </c>
      <c r="M3671">
        <v>240</v>
      </c>
      <c r="N3671">
        <f t="shared" si="859"/>
        <v>359</v>
      </c>
    </row>
    <row r="3672" spans="1:14" x14ac:dyDescent="0.2">
      <c r="A3672" t="s">
        <v>4498</v>
      </c>
      <c r="B3672" s="1" t="s">
        <v>4486</v>
      </c>
      <c r="C3672" t="s">
        <v>14</v>
      </c>
      <c r="D3672" t="s">
        <v>1010</v>
      </c>
      <c r="E3672">
        <v>26</v>
      </c>
      <c r="F3672" t="s">
        <v>3891</v>
      </c>
      <c r="G3672">
        <v>2023</v>
      </c>
      <c r="H3672" t="s">
        <v>796</v>
      </c>
      <c r="I3672" t="s">
        <v>58</v>
      </c>
      <c r="J3672">
        <v>799</v>
      </c>
      <c r="K3672">
        <v>205</v>
      </c>
      <c r="L3672">
        <f t="shared" si="858"/>
        <v>594</v>
      </c>
      <c r="M3672">
        <v>240</v>
      </c>
      <c r="N3672">
        <f t="shared" si="859"/>
        <v>354</v>
      </c>
    </row>
    <row r="3673" spans="1:14" x14ac:dyDescent="0.2">
      <c r="A3673" t="s">
        <v>4499</v>
      </c>
      <c r="B3673" s="1" t="s">
        <v>4486</v>
      </c>
      <c r="C3673" t="s">
        <v>14</v>
      </c>
      <c r="D3673" t="s">
        <v>1037</v>
      </c>
      <c r="E3673">
        <v>26</v>
      </c>
      <c r="F3673" t="s">
        <v>3891</v>
      </c>
      <c r="G3673">
        <v>2023</v>
      </c>
      <c r="H3673" t="s">
        <v>2564</v>
      </c>
      <c r="I3673" t="s">
        <v>62</v>
      </c>
      <c r="J3673">
        <v>799</v>
      </c>
      <c r="K3673">
        <v>205</v>
      </c>
      <c r="L3673">
        <f t="shared" si="858"/>
        <v>594</v>
      </c>
      <c r="M3673">
        <v>240</v>
      </c>
      <c r="N3673">
        <f t="shared" si="859"/>
        <v>354</v>
      </c>
    </row>
    <row r="3674" spans="1:14" x14ac:dyDescent="0.2">
      <c r="A3674" t="s">
        <v>4500</v>
      </c>
      <c r="B3674" s="1" t="s">
        <v>4486</v>
      </c>
      <c r="C3674" t="s">
        <v>14</v>
      </c>
      <c r="D3674" t="s">
        <v>967</v>
      </c>
      <c r="E3674">
        <v>26</v>
      </c>
      <c r="F3674" t="s">
        <v>3891</v>
      </c>
      <c r="G3674">
        <v>2023</v>
      </c>
      <c r="H3674" t="s">
        <v>398</v>
      </c>
      <c r="I3674" t="s">
        <v>399</v>
      </c>
      <c r="J3674">
        <v>799</v>
      </c>
      <c r="K3674">
        <v>205</v>
      </c>
      <c r="L3674">
        <f t="shared" si="858"/>
        <v>594</v>
      </c>
      <c r="M3674">
        <v>240</v>
      </c>
      <c r="N3674">
        <f t="shared" si="859"/>
        <v>354</v>
      </c>
    </row>
    <row r="3675" spans="1:14" x14ac:dyDescent="0.2">
      <c r="A3675" t="s">
        <v>4501</v>
      </c>
      <c r="B3675" s="1" t="s">
        <v>4483</v>
      </c>
      <c r="C3675" t="s">
        <v>14</v>
      </c>
      <c r="D3675" t="s">
        <v>448</v>
      </c>
      <c r="E3675">
        <v>25</v>
      </c>
      <c r="F3675" t="s">
        <v>3891</v>
      </c>
      <c r="G3675">
        <v>2023</v>
      </c>
      <c r="H3675" t="s">
        <v>4502</v>
      </c>
      <c r="I3675" t="s">
        <v>171</v>
      </c>
      <c r="J3675">
        <v>899</v>
      </c>
      <c r="K3675">
        <v>295</v>
      </c>
      <c r="L3675">
        <f t="shared" si="858"/>
        <v>604</v>
      </c>
      <c r="M3675">
        <v>240</v>
      </c>
      <c r="N3675">
        <f t="shared" si="859"/>
        <v>364</v>
      </c>
    </row>
    <row r="3676" spans="1:14" x14ac:dyDescent="0.2">
      <c r="A3676" t="s">
        <v>4504</v>
      </c>
      <c r="B3676" s="1" t="s">
        <v>4503</v>
      </c>
      <c r="C3676" t="s">
        <v>14</v>
      </c>
      <c r="D3676" t="s">
        <v>448</v>
      </c>
      <c r="E3676">
        <v>27</v>
      </c>
      <c r="F3676" t="s">
        <v>3891</v>
      </c>
      <c r="G3676">
        <v>2023</v>
      </c>
      <c r="H3676" t="s">
        <v>4505</v>
      </c>
      <c r="I3676" t="s">
        <v>212</v>
      </c>
      <c r="J3676">
        <v>899</v>
      </c>
      <c r="K3676">
        <v>295</v>
      </c>
      <c r="L3676">
        <f t="shared" si="858"/>
        <v>604</v>
      </c>
      <c r="M3676">
        <v>240</v>
      </c>
      <c r="N3676">
        <f t="shared" si="859"/>
        <v>364</v>
      </c>
    </row>
    <row r="3677" spans="1:14" x14ac:dyDescent="0.2">
      <c r="A3677" t="s">
        <v>4506</v>
      </c>
      <c r="B3677" s="1" t="s">
        <v>4486</v>
      </c>
      <c r="C3677" t="s">
        <v>14</v>
      </c>
      <c r="D3677" t="s">
        <v>448</v>
      </c>
      <c r="E3677">
        <v>26</v>
      </c>
      <c r="F3677" t="s">
        <v>3891</v>
      </c>
      <c r="G3677">
        <v>2023</v>
      </c>
      <c r="H3677" t="s">
        <v>4507</v>
      </c>
      <c r="I3677" t="s">
        <v>502</v>
      </c>
      <c r="J3677">
        <v>899</v>
      </c>
      <c r="K3677">
        <v>295</v>
      </c>
      <c r="L3677">
        <f t="shared" si="858"/>
        <v>604</v>
      </c>
      <c r="M3677">
        <v>240</v>
      </c>
      <c r="N3677">
        <f t="shared" si="859"/>
        <v>364</v>
      </c>
    </row>
    <row r="3678" spans="1:14" x14ac:dyDescent="0.2">
      <c r="A3678" t="s">
        <v>4508</v>
      </c>
      <c r="B3678" s="1" t="s">
        <v>4483</v>
      </c>
      <c r="C3678" t="s">
        <v>14</v>
      </c>
      <c r="D3678" t="s">
        <v>975</v>
      </c>
      <c r="E3678">
        <v>25</v>
      </c>
      <c r="F3678" t="s">
        <v>3891</v>
      </c>
      <c r="G3678">
        <v>2023</v>
      </c>
      <c r="H3678" t="s">
        <v>84</v>
      </c>
      <c r="I3678" t="s">
        <v>85</v>
      </c>
      <c r="J3678">
        <v>799</v>
      </c>
      <c r="K3678">
        <v>205</v>
      </c>
      <c r="L3678">
        <f t="shared" si="858"/>
        <v>594</v>
      </c>
      <c r="M3678">
        <v>240</v>
      </c>
      <c r="N3678">
        <f t="shared" si="859"/>
        <v>354</v>
      </c>
    </row>
    <row r="3679" spans="1:14" x14ac:dyDescent="0.2">
      <c r="A3679" t="s">
        <v>4509</v>
      </c>
      <c r="B3679" s="1" t="s">
        <v>4486</v>
      </c>
      <c r="C3679" t="s">
        <v>14</v>
      </c>
      <c r="D3679" t="s">
        <v>308</v>
      </c>
      <c r="E3679">
        <v>26</v>
      </c>
      <c r="F3679" t="s">
        <v>3891</v>
      </c>
      <c r="G3679">
        <v>2023</v>
      </c>
      <c r="H3679" t="s">
        <v>4357</v>
      </c>
      <c r="I3679" t="s">
        <v>135</v>
      </c>
      <c r="J3679">
        <v>899</v>
      </c>
      <c r="K3679">
        <v>295</v>
      </c>
      <c r="L3679">
        <f t="shared" si="858"/>
        <v>604</v>
      </c>
      <c r="M3679">
        <v>240</v>
      </c>
      <c r="N3679">
        <f t="shared" si="859"/>
        <v>364</v>
      </c>
    </row>
    <row r="3680" spans="1:14" x14ac:dyDescent="0.2">
      <c r="A3680" t="s">
        <v>4510</v>
      </c>
      <c r="B3680" s="1" t="s">
        <v>4483</v>
      </c>
      <c r="C3680" t="s">
        <v>14</v>
      </c>
      <c r="D3680" t="s">
        <v>1671</v>
      </c>
      <c r="E3680">
        <v>25</v>
      </c>
      <c r="F3680" t="s">
        <v>3891</v>
      </c>
      <c r="G3680">
        <v>2023</v>
      </c>
      <c r="H3680" t="s">
        <v>104</v>
      </c>
      <c r="I3680" t="s">
        <v>62</v>
      </c>
      <c r="J3680">
        <v>799</v>
      </c>
      <c r="K3680">
        <v>205</v>
      </c>
      <c r="L3680">
        <f t="shared" si="858"/>
        <v>594</v>
      </c>
      <c r="M3680">
        <v>240</v>
      </c>
      <c r="N3680">
        <f t="shared" si="859"/>
        <v>354</v>
      </c>
    </row>
    <row r="3681" spans="1:14" x14ac:dyDescent="0.2">
      <c r="A3681" t="s">
        <v>4511</v>
      </c>
      <c r="B3681" s="1" t="s">
        <v>4483</v>
      </c>
      <c r="C3681" t="s">
        <v>14</v>
      </c>
      <c r="D3681" t="s">
        <v>1486</v>
      </c>
      <c r="E3681">
        <v>25</v>
      </c>
      <c r="F3681" t="s">
        <v>3891</v>
      </c>
      <c r="G3681">
        <v>2023</v>
      </c>
      <c r="H3681" t="s">
        <v>435</v>
      </c>
      <c r="I3681" t="s">
        <v>58</v>
      </c>
      <c r="J3681">
        <v>999</v>
      </c>
      <c r="K3681">
        <v>325</v>
      </c>
      <c r="L3681">
        <f t="shared" si="858"/>
        <v>674</v>
      </c>
      <c r="M3681">
        <v>240</v>
      </c>
      <c r="N3681">
        <f t="shared" si="859"/>
        <v>434</v>
      </c>
    </row>
    <row r="3682" spans="1:14" x14ac:dyDescent="0.2">
      <c r="A3682" t="s">
        <v>4512</v>
      </c>
      <c r="B3682" s="1" t="s">
        <v>4486</v>
      </c>
      <c r="C3682" t="s">
        <v>14</v>
      </c>
      <c r="D3682" t="s">
        <v>1212</v>
      </c>
      <c r="E3682">
        <v>26</v>
      </c>
      <c r="F3682" t="s">
        <v>3891</v>
      </c>
      <c r="G3682">
        <v>2023</v>
      </c>
      <c r="H3682" t="s">
        <v>2564</v>
      </c>
      <c r="I3682" t="s">
        <v>62</v>
      </c>
      <c r="J3682">
        <v>799</v>
      </c>
      <c r="K3682">
        <v>205</v>
      </c>
      <c r="L3682">
        <f t="shared" si="858"/>
        <v>594</v>
      </c>
      <c r="M3682">
        <v>240</v>
      </c>
      <c r="N3682">
        <f t="shared" si="859"/>
        <v>354</v>
      </c>
    </row>
    <row r="3683" spans="1:14" x14ac:dyDescent="0.2">
      <c r="A3683" t="s">
        <v>4513</v>
      </c>
      <c r="B3683" s="1" t="s">
        <v>4486</v>
      </c>
      <c r="C3683" t="s">
        <v>14</v>
      </c>
      <c r="D3683" t="s">
        <v>445</v>
      </c>
      <c r="E3683">
        <v>26</v>
      </c>
      <c r="F3683" t="s">
        <v>3891</v>
      </c>
      <c r="G3683">
        <v>2023</v>
      </c>
      <c r="H3683" t="s">
        <v>4128</v>
      </c>
      <c r="I3683" t="s">
        <v>502</v>
      </c>
      <c r="J3683">
        <v>899</v>
      </c>
      <c r="K3683">
        <v>295</v>
      </c>
      <c r="L3683">
        <f t="shared" si="858"/>
        <v>604</v>
      </c>
      <c r="M3683">
        <v>240</v>
      </c>
      <c r="N3683">
        <f t="shared" si="859"/>
        <v>364</v>
      </c>
    </row>
    <row r="3684" spans="1:14" x14ac:dyDescent="0.2">
      <c r="A3684" t="s">
        <v>4514</v>
      </c>
      <c r="B3684" s="1" t="s">
        <v>4486</v>
      </c>
      <c r="C3684" t="s">
        <v>14</v>
      </c>
      <c r="D3684" t="s">
        <v>4196</v>
      </c>
      <c r="E3684">
        <v>26</v>
      </c>
      <c r="F3684" t="s">
        <v>3891</v>
      </c>
      <c r="G3684">
        <v>2023</v>
      </c>
      <c r="H3684" t="s">
        <v>2564</v>
      </c>
      <c r="I3684" t="s">
        <v>62</v>
      </c>
      <c r="J3684">
        <v>799</v>
      </c>
      <c r="K3684">
        <v>205</v>
      </c>
      <c r="L3684">
        <f t="shared" si="858"/>
        <v>594</v>
      </c>
      <c r="M3684">
        <v>240</v>
      </c>
      <c r="N3684">
        <f t="shared" si="859"/>
        <v>354</v>
      </c>
    </row>
    <row r="3685" spans="1:14" x14ac:dyDescent="0.2">
      <c r="A3685" t="s">
        <v>4515</v>
      </c>
      <c r="B3685" s="1" t="s">
        <v>4486</v>
      </c>
      <c r="C3685" t="s">
        <v>14</v>
      </c>
      <c r="D3685" t="s">
        <v>1089</v>
      </c>
      <c r="E3685">
        <v>26</v>
      </c>
      <c r="F3685" t="s">
        <v>3891</v>
      </c>
      <c r="G3685">
        <v>2023</v>
      </c>
      <c r="H3685" t="s">
        <v>246</v>
      </c>
      <c r="I3685" t="s">
        <v>58</v>
      </c>
      <c r="J3685">
        <v>799</v>
      </c>
      <c r="K3685">
        <v>205</v>
      </c>
      <c r="L3685">
        <f t="shared" si="858"/>
        <v>594</v>
      </c>
      <c r="M3685">
        <v>240</v>
      </c>
      <c r="N3685">
        <f t="shared" si="859"/>
        <v>354</v>
      </c>
    </row>
    <row r="3686" spans="1:14" x14ac:dyDescent="0.2">
      <c r="A3686" t="s">
        <v>4516</v>
      </c>
      <c r="B3686" s="1" t="s">
        <v>4503</v>
      </c>
      <c r="C3686" t="s">
        <v>43</v>
      </c>
      <c r="D3686" t="s">
        <v>445</v>
      </c>
      <c r="E3686">
        <v>27</v>
      </c>
      <c r="F3686" t="s">
        <v>3891</v>
      </c>
      <c r="G3686">
        <v>2023</v>
      </c>
      <c r="H3686" t="s">
        <v>4517</v>
      </c>
      <c r="I3686" t="s">
        <v>23</v>
      </c>
      <c r="J3686">
        <v>0</v>
      </c>
      <c r="K3686">
        <v>0</v>
      </c>
      <c r="L3686">
        <v>0</v>
      </c>
      <c r="M3686">
        <v>0</v>
      </c>
      <c r="N3686">
        <v>0</v>
      </c>
    </row>
    <row r="3687" spans="1:14" x14ac:dyDescent="0.2">
      <c r="A3687" t="s">
        <v>4518</v>
      </c>
      <c r="B3687" s="1" t="s">
        <v>4503</v>
      </c>
      <c r="C3687" t="s">
        <v>14</v>
      </c>
      <c r="D3687" t="s">
        <v>1354</v>
      </c>
      <c r="E3687">
        <v>27</v>
      </c>
      <c r="F3687" t="s">
        <v>3891</v>
      </c>
      <c r="G3687">
        <v>2023</v>
      </c>
      <c r="H3687" t="s">
        <v>2313</v>
      </c>
      <c r="I3687" t="s">
        <v>257</v>
      </c>
      <c r="J3687">
        <v>799</v>
      </c>
      <c r="K3687">
        <v>205</v>
      </c>
      <c r="L3687">
        <f t="shared" ref="L3687:L3698" si="860">J3687-K3687</f>
        <v>594</v>
      </c>
      <c r="M3687">
        <v>240</v>
      </c>
      <c r="N3687">
        <f t="shared" ref="N3687:N3698" si="861">L3687-M3687</f>
        <v>354</v>
      </c>
    </row>
    <row r="3688" spans="1:14" x14ac:dyDescent="0.2">
      <c r="A3688" t="s">
        <v>4519</v>
      </c>
      <c r="B3688" s="1" t="s">
        <v>4503</v>
      </c>
      <c r="C3688" t="s">
        <v>14</v>
      </c>
      <c r="D3688" t="s">
        <v>477</v>
      </c>
      <c r="E3688">
        <v>27</v>
      </c>
      <c r="F3688" t="s">
        <v>3891</v>
      </c>
      <c r="G3688">
        <v>2023</v>
      </c>
      <c r="H3688" t="s">
        <v>246</v>
      </c>
      <c r="I3688" t="s">
        <v>58</v>
      </c>
      <c r="J3688">
        <v>899</v>
      </c>
      <c r="K3688">
        <v>295</v>
      </c>
      <c r="L3688">
        <f t="shared" si="860"/>
        <v>604</v>
      </c>
      <c r="M3688">
        <v>240</v>
      </c>
      <c r="N3688">
        <f t="shared" si="861"/>
        <v>364</v>
      </c>
    </row>
    <row r="3689" spans="1:14" x14ac:dyDescent="0.2">
      <c r="A3689" t="s">
        <v>4520</v>
      </c>
      <c r="B3689" s="1" t="s">
        <v>4503</v>
      </c>
      <c r="C3689" t="s">
        <v>14</v>
      </c>
      <c r="D3689" t="s">
        <v>1809</v>
      </c>
      <c r="E3689">
        <v>27</v>
      </c>
      <c r="F3689" t="s">
        <v>3891</v>
      </c>
      <c r="G3689">
        <v>2023</v>
      </c>
      <c r="H3689" t="s">
        <v>796</v>
      </c>
      <c r="I3689" t="s">
        <v>58</v>
      </c>
      <c r="J3689">
        <v>799</v>
      </c>
      <c r="K3689">
        <v>205</v>
      </c>
      <c r="L3689">
        <f t="shared" si="860"/>
        <v>594</v>
      </c>
      <c r="M3689">
        <v>240</v>
      </c>
      <c r="N3689">
        <f t="shared" si="861"/>
        <v>354</v>
      </c>
    </row>
    <row r="3690" spans="1:14" x14ac:dyDescent="0.2">
      <c r="A3690" t="s">
        <v>4521</v>
      </c>
      <c r="B3690" s="1" t="s">
        <v>4503</v>
      </c>
      <c r="C3690" t="s">
        <v>14</v>
      </c>
      <c r="D3690" t="s">
        <v>1937</v>
      </c>
      <c r="E3690">
        <v>27</v>
      </c>
      <c r="F3690" t="s">
        <v>3891</v>
      </c>
      <c r="G3690">
        <v>2023</v>
      </c>
      <c r="H3690" t="s">
        <v>193</v>
      </c>
      <c r="I3690" t="s">
        <v>62</v>
      </c>
      <c r="J3690">
        <v>799</v>
      </c>
      <c r="K3690">
        <v>205</v>
      </c>
      <c r="L3690">
        <f t="shared" si="860"/>
        <v>594</v>
      </c>
      <c r="M3690">
        <v>240</v>
      </c>
      <c r="N3690">
        <f t="shared" si="861"/>
        <v>354</v>
      </c>
    </row>
    <row r="3691" spans="1:14" x14ac:dyDescent="0.2">
      <c r="A3691" t="s">
        <v>4522</v>
      </c>
      <c r="B3691" s="1" t="s">
        <v>4503</v>
      </c>
      <c r="C3691" t="s">
        <v>14</v>
      </c>
      <c r="D3691" t="s">
        <v>893</v>
      </c>
      <c r="E3691">
        <v>27</v>
      </c>
      <c r="F3691" t="s">
        <v>3891</v>
      </c>
      <c r="G3691">
        <v>2023</v>
      </c>
      <c r="H3691" t="s">
        <v>2951</v>
      </c>
      <c r="I3691" t="s">
        <v>85</v>
      </c>
      <c r="J3691">
        <v>849</v>
      </c>
      <c r="K3691">
        <v>250</v>
      </c>
      <c r="L3691">
        <f t="shared" si="860"/>
        <v>599</v>
      </c>
      <c r="M3691">
        <v>240</v>
      </c>
      <c r="N3691">
        <f t="shared" si="861"/>
        <v>359</v>
      </c>
    </row>
    <row r="3692" spans="1:14" x14ac:dyDescent="0.2">
      <c r="A3692" t="s">
        <v>4523</v>
      </c>
      <c r="B3692" s="1" t="s">
        <v>4503</v>
      </c>
      <c r="C3692" t="s">
        <v>14</v>
      </c>
      <c r="D3692" t="s">
        <v>308</v>
      </c>
      <c r="E3692">
        <v>27</v>
      </c>
      <c r="F3692" t="s">
        <v>3891</v>
      </c>
      <c r="G3692">
        <v>2023</v>
      </c>
      <c r="H3692" t="s">
        <v>84</v>
      </c>
      <c r="I3692" t="s">
        <v>85</v>
      </c>
      <c r="J3692">
        <v>899</v>
      </c>
      <c r="K3692">
        <v>295</v>
      </c>
      <c r="L3692">
        <f t="shared" si="860"/>
        <v>604</v>
      </c>
      <c r="M3692">
        <v>240</v>
      </c>
      <c r="N3692">
        <f t="shared" si="861"/>
        <v>364</v>
      </c>
    </row>
    <row r="3693" spans="1:14" x14ac:dyDescent="0.2">
      <c r="A3693" t="s">
        <v>4524</v>
      </c>
      <c r="B3693" s="1" t="s">
        <v>4503</v>
      </c>
      <c r="C3693" t="s">
        <v>14</v>
      </c>
      <c r="D3693" t="s">
        <v>901</v>
      </c>
      <c r="E3693">
        <v>27</v>
      </c>
      <c r="F3693" t="s">
        <v>3891</v>
      </c>
      <c r="G3693">
        <v>2023</v>
      </c>
      <c r="H3693" t="s">
        <v>2564</v>
      </c>
      <c r="I3693" t="s">
        <v>62</v>
      </c>
      <c r="J3693">
        <v>799</v>
      </c>
      <c r="K3693">
        <v>205</v>
      </c>
      <c r="L3693">
        <f t="shared" si="860"/>
        <v>594</v>
      </c>
      <c r="M3693">
        <v>240</v>
      </c>
      <c r="N3693">
        <f t="shared" si="861"/>
        <v>354</v>
      </c>
    </row>
    <row r="3694" spans="1:14" x14ac:dyDescent="0.2">
      <c r="A3694" t="s">
        <v>4526</v>
      </c>
      <c r="B3694" s="1" t="s">
        <v>4525</v>
      </c>
      <c r="C3694" t="s">
        <v>14</v>
      </c>
      <c r="D3694" t="s">
        <v>904</v>
      </c>
      <c r="E3694">
        <v>28</v>
      </c>
      <c r="F3694" t="s">
        <v>3891</v>
      </c>
      <c r="G3694">
        <v>2023</v>
      </c>
      <c r="H3694" t="s">
        <v>4527</v>
      </c>
      <c r="I3694" t="s">
        <v>32</v>
      </c>
      <c r="J3694">
        <v>799</v>
      </c>
      <c r="K3694">
        <v>205</v>
      </c>
      <c r="L3694">
        <f t="shared" si="860"/>
        <v>594</v>
      </c>
      <c r="M3694">
        <v>240</v>
      </c>
      <c r="N3694">
        <f t="shared" si="861"/>
        <v>354</v>
      </c>
    </row>
    <row r="3695" spans="1:14" x14ac:dyDescent="0.2">
      <c r="A3695" t="s">
        <v>4528</v>
      </c>
      <c r="B3695" s="1" t="s">
        <v>4525</v>
      </c>
      <c r="C3695" t="s">
        <v>14</v>
      </c>
      <c r="D3695" t="s">
        <v>448</v>
      </c>
      <c r="E3695">
        <v>28</v>
      </c>
      <c r="F3695" t="s">
        <v>3891</v>
      </c>
      <c r="G3695">
        <v>2023</v>
      </c>
      <c r="H3695" t="s">
        <v>4529</v>
      </c>
      <c r="I3695" t="s">
        <v>502</v>
      </c>
      <c r="J3695">
        <v>899</v>
      </c>
      <c r="K3695">
        <v>295</v>
      </c>
      <c r="L3695">
        <f t="shared" si="860"/>
        <v>604</v>
      </c>
      <c r="M3695">
        <v>240</v>
      </c>
      <c r="N3695">
        <f t="shared" si="861"/>
        <v>364</v>
      </c>
    </row>
    <row r="3696" spans="1:14" x14ac:dyDescent="0.2">
      <c r="A3696" t="s">
        <v>4530</v>
      </c>
      <c r="B3696" s="1" t="s">
        <v>4525</v>
      </c>
      <c r="C3696" t="s">
        <v>14</v>
      </c>
      <c r="D3696" t="s">
        <v>1015</v>
      </c>
      <c r="E3696">
        <v>28</v>
      </c>
      <c r="F3696" t="s">
        <v>3891</v>
      </c>
      <c r="G3696">
        <v>2023</v>
      </c>
      <c r="H3696" t="s">
        <v>49</v>
      </c>
      <c r="I3696" t="s">
        <v>32</v>
      </c>
      <c r="J3696">
        <v>849</v>
      </c>
      <c r="K3696">
        <v>250</v>
      </c>
      <c r="L3696">
        <f t="shared" si="860"/>
        <v>599</v>
      </c>
      <c r="M3696">
        <v>240</v>
      </c>
      <c r="N3696">
        <f t="shared" si="861"/>
        <v>359</v>
      </c>
    </row>
    <row r="3697" spans="1:14" x14ac:dyDescent="0.2">
      <c r="A3697" t="s">
        <v>4531</v>
      </c>
      <c r="B3697" s="1" t="s">
        <v>4525</v>
      </c>
      <c r="C3697" t="s">
        <v>14</v>
      </c>
      <c r="D3697" t="s">
        <v>863</v>
      </c>
      <c r="E3697">
        <v>28</v>
      </c>
      <c r="F3697" t="s">
        <v>3891</v>
      </c>
      <c r="G3697">
        <v>2023</v>
      </c>
      <c r="H3697" t="s">
        <v>4532</v>
      </c>
      <c r="I3697" t="s">
        <v>85</v>
      </c>
      <c r="J3697">
        <v>799</v>
      </c>
      <c r="K3697">
        <v>205</v>
      </c>
      <c r="L3697">
        <f t="shared" si="860"/>
        <v>594</v>
      </c>
      <c r="M3697">
        <v>240</v>
      </c>
      <c r="N3697">
        <f t="shared" si="861"/>
        <v>354</v>
      </c>
    </row>
    <row r="3698" spans="1:14" x14ac:dyDescent="0.2">
      <c r="A3698" t="s">
        <v>4533</v>
      </c>
      <c r="B3698" s="1" t="s">
        <v>4525</v>
      </c>
      <c r="C3698" t="s">
        <v>14</v>
      </c>
      <c r="D3698" t="s">
        <v>957</v>
      </c>
      <c r="E3698">
        <v>28</v>
      </c>
      <c r="F3698" t="s">
        <v>3891</v>
      </c>
      <c r="G3698">
        <v>2023</v>
      </c>
      <c r="H3698" t="s">
        <v>1235</v>
      </c>
      <c r="I3698" t="s">
        <v>122</v>
      </c>
      <c r="J3698">
        <v>799</v>
      </c>
      <c r="K3698">
        <v>205</v>
      </c>
      <c r="L3698">
        <f t="shared" si="860"/>
        <v>594</v>
      </c>
      <c r="M3698">
        <v>240</v>
      </c>
      <c r="N3698">
        <f t="shared" si="861"/>
        <v>354</v>
      </c>
    </row>
    <row r="3699" spans="1:14" x14ac:dyDescent="0.2">
      <c r="A3699" t="s">
        <v>3707</v>
      </c>
      <c r="B3699" s="1" t="s">
        <v>3694</v>
      </c>
      <c r="C3699" t="s">
        <v>106</v>
      </c>
      <c r="D3699" t="s">
        <v>448</v>
      </c>
      <c r="E3699">
        <v>26</v>
      </c>
      <c r="F3699" t="s">
        <v>3249</v>
      </c>
      <c r="G3699">
        <v>2023</v>
      </c>
      <c r="H3699" t="s">
        <v>417</v>
      </c>
      <c r="I3699" t="s">
        <v>253</v>
      </c>
      <c r="J3699">
        <v>-899</v>
      </c>
      <c r="K3699">
        <v>375</v>
      </c>
      <c r="L3699">
        <f t="shared" ref="L3699:L3759" si="862">J3699+K3699</f>
        <v>-524</v>
      </c>
      <c r="M3699">
        <v>240</v>
      </c>
      <c r="N3699">
        <f t="shared" ref="N3699:N3759" si="863">L3699+M3699</f>
        <v>-284</v>
      </c>
    </row>
    <row r="3700" spans="1:14" x14ac:dyDescent="0.2">
      <c r="A3700" t="s">
        <v>3812</v>
      </c>
      <c r="B3700" s="1" t="s">
        <v>3806</v>
      </c>
      <c r="C3700" t="s">
        <v>106</v>
      </c>
      <c r="D3700" t="s">
        <v>3813</v>
      </c>
      <c r="E3700">
        <v>30</v>
      </c>
      <c r="F3700" t="s">
        <v>3249</v>
      </c>
      <c r="G3700">
        <v>2023</v>
      </c>
      <c r="H3700" t="s">
        <v>3814</v>
      </c>
      <c r="I3700" t="s">
        <v>58</v>
      </c>
      <c r="J3700">
        <v>-799</v>
      </c>
      <c r="K3700">
        <v>320</v>
      </c>
      <c r="L3700">
        <f t="shared" si="862"/>
        <v>-479</v>
      </c>
      <c r="M3700">
        <v>240</v>
      </c>
      <c r="N3700">
        <f t="shared" si="863"/>
        <v>-239</v>
      </c>
    </row>
    <row r="3701" spans="1:14" x14ac:dyDescent="0.2">
      <c r="A3701" t="s">
        <v>3731</v>
      </c>
      <c r="B3701" s="1" t="s">
        <v>3697</v>
      </c>
      <c r="C3701" t="s">
        <v>106</v>
      </c>
      <c r="D3701" t="s">
        <v>379</v>
      </c>
      <c r="E3701">
        <v>27</v>
      </c>
      <c r="F3701" t="s">
        <v>3249</v>
      </c>
      <c r="G3701">
        <v>2023</v>
      </c>
      <c r="H3701" t="s">
        <v>1282</v>
      </c>
      <c r="I3701" t="s">
        <v>502</v>
      </c>
      <c r="J3701">
        <v>-799</v>
      </c>
      <c r="K3701">
        <v>320</v>
      </c>
      <c r="L3701">
        <f t="shared" si="862"/>
        <v>-479</v>
      </c>
      <c r="M3701">
        <v>240</v>
      </c>
      <c r="N3701">
        <f t="shared" si="863"/>
        <v>-239</v>
      </c>
    </row>
    <row r="3702" spans="1:14" x14ac:dyDescent="0.2">
      <c r="A3702" t="s">
        <v>3850</v>
      </c>
      <c r="B3702" s="1" t="s">
        <v>3845</v>
      </c>
      <c r="C3702" t="s">
        <v>106</v>
      </c>
      <c r="D3702" t="s">
        <v>274</v>
      </c>
      <c r="E3702">
        <v>31</v>
      </c>
      <c r="F3702" t="s">
        <v>3249</v>
      </c>
      <c r="G3702">
        <v>2023</v>
      </c>
      <c r="H3702" t="s">
        <v>913</v>
      </c>
      <c r="I3702" t="s">
        <v>163</v>
      </c>
      <c r="J3702">
        <v>-799</v>
      </c>
      <c r="K3702">
        <v>320</v>
      </c>
      <c r="L3702">
        <f t="shared" si="862"/>
        <v>-479</v>
      </c>
      <c r="M3702">
        <v>240</v>
      </c>
      <c r="N3702">
        <f t="shared" si="863"/>
        <v>-239</v>
      </c>
    </row>
    <row r="3703" spans="1:14" x14ac:dyDescent="0.2">
      <c r="A3703" t="s">
        <v>3664</v>
      </c>
      <c r="B3703" s="1" t="s">
        <v>3606</v>
      </c>
      <c r="C3703" t="s">
        <v>106</v>
      </c>
      <c r="D3703" t="s">
        <v>1171</v>
      </c>
      <c r="E3703">
        <v>23</v>
      </c>
      <c r="F3703" t="s">
        <v>3249</v>
      </c>
      <c r="G3703">
        <v>2023</v>
      </c>
      <c r="H3703" t="s">
        <v>162</v>
      </c>
      <c r="I3703" t="s">
        <v>163</v>
      </c>
      <c r="J3703">
        <v>-799</v>
      </c>
      <c r="K3703">
        <v>320</v>
      </c>
      <c r="L3703">
        <f t="shared" si="862"/>
        <v>-479</v>
      </c>
      <c r="M3703">
        <v>240</v>
      </c>
      <c r="N3703">
        <f t="shared" si="863"/>
        <v>-239</v>
      </c>
    </row>
    <row r="3704" spans="1:14" x14ac:dyDescent="0.2">
      <c r="A3704" t="s">
        <v>3705</v>
      </c>
      <c r="B3704" s="1" t="s">
        <v>3692</v>
      </c>
      <c r="C3704" t="s">
        <v>106</v>
      </c>
      <c r="D3704" t="s">
        <v>452</v>
      </c>
      <c r="E3704">
        <v>25</v>
      </c>
      <c r="F3704" t="s">
        <v>3249</v>
      </c>
      <c r="G3704">
        <v>2023</v>
      </c>
      <c r="H3704" t="s">
        <v>18</v>
      </c>
      <c r="I3704" t="s">
        <v>19</v>
      </c>
      <c r="J3704">
        <v>-1598</v>
      </c>
      <c r="K3704">
        <v>412</v>
      </c>
      <c r="L3704">
        <f t="shared" si="862"/>
        <v>-1186</v>
      </c>
      <c r="M3704">
        <v>240</v>
      </c>
      <c r="N3704">
        <f t="shared" si="863"/>
        <v>-946</v>
      </c>
    </row>
    <row r="3705" spans="1:14" x14ac:dyDescent="0.2">
      <c r="A3705" t="s">
        <v>3690</v>
      </c>
      <c r="B3705" s="1" t="s">
        <v>3658</v>
      </c>
      <c r="C3705" t="s">
        <v>106</v>
      </c>
      <c r="D3705" t="s">
        <v>490</v>
      </c>
      <c r="E3705">
        <v>24</v>
      </c>
      <c r="F3705" t="s">
        <v>3249</v>
      </c>
      <c r="G3705">
        <v>2023</v>
      </c>
      <c r="H3705" t="s">
        <v>3691</v>
      </c>
      <c r="I3705" t="s">
        <v>253</v>
      </c>
      <c r="J3705">
        <v>-899</v>
      </c>
      <c r="K3705">
        <v>375</v>
      </c>
      <c r="L3705">
        <f t="shared" si="862"/>
        <v>-524</v>
      </c>
      <c r="M3705">
        <v>240</v>
      </c>
      <c r="N3705">
        <f t="shared" si="863"/>
        <v>-284</v>
      </c>
    </row>
    <row r="3706" spans="1:14" x14ac:dyDescent="0.2">
      <c r="A3706" t="s">
        <v>3686</v>
      </c>
      <c r="B3706" s="1" t="s">
        <v>3658</v>
      </c>
      <c r="C3706" t="s">
        <v>106</v>
      </c>
      <c r="D3706" t="s">
        <v>993</v>
      </c>
      <c r="E3706">
        <v>24</v>
      </c>
      <c r="F3706" t="s">
        <v>3249</v>
      </c>
      <c r="G3706">
        <v>2023</v>
      </c>
      <c r="H3706" t="s">
        <v>3687</v>
      </c>
      <c r="I3706" t="s">
        <v>250</v>
      </c>
      <c r="J3706">
        <v>-799</v>
      </c>
      <c r="K3706">
        <v>320</v>
      </c>
      <c r="L3706">
        <f t="shared" si="862"/>
        <v>-479</v>
      </c>
      <c r="M3706">
        <v>240</v>
      </c>
      <c r="N3706">
        <f t="shared" si="863"/>
        <v>-239</v>
      </c>
    </row>
    <row r="3707" spans="1:14" x14ac:dyDescent="0.2">
      <c r="A3707" t="s">
        <v>3745</v>
      </c>
      <c r="B3707" s="1" t="s">
        <v>3694</v>
      </c>
      <c r="C3707" t="s">
        <v>106</v>
      </c>
      <c r="D3707" t="s">
        <v>379</v>
      </c>
      <c r="E3707">
        <v>26</v>
      </c>
      <c r="F3707" t="s">
        <v>3249</v>
      </c>
      <c r="G3707">
        <v>2023</v>
      </c>
      <c r="H3707" t="s">
        <v>705</v>
      </c>
      <c r="I3707" t="s">
        <v>62</v>
      </c>
      <c r="J3707">
        <v>-799</v>
      </c>
      <c r="K3707">
        <v>320</v>
      </c>
      <c r="L3707">
        <f t="shared" si="862"/>
        <v>-479</v>
      </c>
      <c r="M3707">
        <v>240</v>
      </c>
      <c r="N3707">
        <f t="shared" si="863"/>
        <v>-239</v>
      </c>
    </row>
    <row r="3708" spans="1:14" x14ac:dyDescent="0.2">
      <c r="A3708" t="s">
        <v>3838</v>
      </c>
      <c r="B3708" s="1" t="s">
        <v>3806</v>
      </c>
      <c r="C3708" t="s">
        <v>106</v>
      </c>
      <c r="D3708" t="s">
        <v>81</v>
      </c>
      <c r="E3708">
        <v>30</v>
      </c>
      <c r="F3708" t="s">
        <v>3249</v>
      </c>
      <c r="G3708">
        <v>2023</v>
      </c>
      <c r="H3708" t="s">
        <v>215</v>
      </c>
      <c r="I3708" t="s">
        <v>135</v>
      </c>
      <c r="J3708">
        <v>-849</v>
      </c>
      <c r="K3708">
        <v>345</v>
      </c>
      <c r="L3708">
        <f t="shared" si="862"/>
        <v>-504</v>
      </c>
      <c r="M3708">
        <v>240</v>
      </c>
      <c r="N3708">
        <f t="shared" si="863"/>
        <v>-264</v>
      </c>
    </row>
    <row r="3709" spans="1:14" x14ac:dyDescent="0.2">
      <c r="A3709" t="s">
        <v>3875</v>
      </c>
      <c r="B3709" s="1" t="s">
        <v>3845</v>
      </c>
      <c r="C3709" t="s">
        <v>106</v>
      </c>
      <c r="D3709" t="s">
        <v>380</v>
      </c>
      <c r="E3709">
        <v>31</v>
      </c>
      <c r="F3709" t="s">
        <v>3249</v>
      </c>
      <c r="G3709">
        <v>2023</v>
      </c>
      <c r="H3709" t="s">
        <v>3876</v>
      </c>
      <c r="I3709" t="s">
        <v>62</v>
      </c>
      <c r="J3709">
        <v>-849</v>
      </c>
      <c r="K3709">
        <v>345</v>
      </c>
      <c r="L3709">
        <f t="shared" si="862"/>
        <v>-504</v>
      </c>
      <c r="M3709">
        <v>240</v>
      </c>
      <c r="N3709">
        <f t="shared" si="863"/>
        <v>-264</v>
      </c>
    </row>
    <row r="3710" spans="1:14" x14ac:dyDescent="0.2">
      <c r="A3710" t="s">
        <v>3821</v>
      </c>
      <c r="B3710" s="1" t="s">
        <v>3806</v>
      </c>
      <c r="C3710" t="s">
        <v>106</v>
      </c>
      <c r="D3710" t="s">
        <v>812</v>
      </c>
      <c r="E3710">
        <v>30</v>
      </c>
      <c r="F3710" t="s">
        <v>3249</v>
      </c>
      <c r="G3710">
        <v>2023</v>
      </c>
      <c r="H3710" t="s">
        <v>1696</v>
      </c>
      <c r="I3710" t="s">
        <v>23</v>
      </c>
      <c r="J3710">
        <v>-999</v>
      </c>
      <c r="K3710">
        <v>395</v>
      </c>
      <c r="L3710">
        <f t="shared" si="862"/>
        <v>-604</v>
      </c>
      <c r="M3710">
        <v>240</v>
      </c>
      <c r="N3710">
        <f t="shared" si="863"/>
        <v>-364</v>
      </c>
    </row>
    <row r="3711" spans="1:14" x14ac:dyDescent="0.2">
      <c r="A3711" t="s">
        <v>3769</v>
      </c>
      <c r="B3711" s="1" t="s">
        <v>3728</v>
      </c>
      <c r="C3711" t="s">
        <v>106</v>
      </c>
      <c r="D3711" t="s">
        <v>242</v>
      </c>
      <c r="E3711">
        <v>28</v>
      </c>
      <c r="F3711" t="s">
        <v>3249</v>
      </c>
      <c r="G3711">
        <v>2023</v>
      </c>
      <c r="H3711" t="s">
        <v>3770</v>
      </c>
      <c r="I3711" t="s">
        <v>502</v>
      </c>
      <c r="J3711">
        <v>-899</v>
      </c>
      <c r="K3711">
        <v>375</v>
      </c>
      <c r="L3711">
        <f t="shared" si="862"/>
        <v>-524</v>
      </c>
      <c r="M3711">
        <v>240</v>
      </c>
      <c r="N3711">
        <f t="shared" si="863"/>
        <v>-284</v>
      </c>
    </row>
    <row r="3712" spans="1:14" x14ac:dyDescent="0.2">
      <c r="A3712" t="s">
        <v>3860</v>
      </c>
      <c r="B3712" s="1" t="s">
        <v>3845</v>
      </c>
      <c r="C3712" t="s">
        <v>106</v>
      </c>
      <c r="D3712" t="s">
        <v>1212</v>
      </c>
      <c r="E3712">
        <v>31</v>
      </c>
      <c r="F3712" t="s">
        <v>3249</v>
      </c>
      <c r="G3712">
        <v>2023</v>
      </c>
      <c r="H3712" t="s">
        <v>3861</v>
      </c>
      <c r="I3712" t="s">
        <v>135</v>
      </c>
      <c r="J3712">
        <v>-799</v>
      </c>
      <c r="K3712">
        <v>320</v>
      </c>
      <c r="L3712">
        <f t="shared" si="862"/>
        <v>-479</v>
      </c>
      <c r="M3712">
        <v>240</v>
      </c>
      <c r="N3712">
        <f t="shared" si="863"/>
        <v>-239</v>
      </c>
    </row>
    <row r="3713" spans="1:14" x14ac:dyDescent="0.2">
      <c r="A3713" t="s">
        <v>3714</v>
      </c>
      <c r="B3713" s="1" t="s">
        <v>3694</v>
      </c>
      <c r="C3713" t="s">
        <v>106</v>
      </c>
      <c r="D3713" t="s">
        <v>308</v>
      </c>
      <c r="E3713">
        <v>26</v>
      </c>
      <c r="F3713" t="s">
        <v>3249</v>
      </c>
      <c r="G3713">
        <v>2023</v>
      </c>
      <c r="H3713" t="s">
        <v>3715</v>
      </c>
      <c r="I3713" t="s">
        <v>62</v>
      </c>
      <c r="J3713">
        <v>-899</v>
      </c>
      <c r="K3713">
        <v>375</v>
      </c>
      <c r="L3713">
        <f t="shared" si="862"/>
        <v>-524</v>
      </c>
      <c r="M3713">
        <v>240</v>
      </c>
      <c r="N3713">
        <f t="shared" si="863"/>
        <v>-284</v>
      </c>
    </row>
    <row r="3714" spans="1:14" x14ac:dyDescent="0.2">
      <c r="A3714" t="s">
        <v>3846</v>
      </c>
      <c r="B3714" s="1" t="s">
        <v>3845</v>
      </c>
      <c r="C3714" t="s">
        <v>106</v>
      </c>
      <c r="D3714" t="s">
        <v>452</v>
      </c>
      <c r="E3714">
        <v>31</v>
      </c>
      <c r="F3714" t="s">
        <v>3249</v>
      </c>
      <c r="G3714">
        <v>2023</v>
      </c>
      <c r="H3714" t="s">
        <v>1115</v>
      </c>
      <c r="I3714" t="s">
        <v>135</v>
      </c>
      <c r="J3714">
        <v>-799</v>
      </c>
      <c r="K3714">
        <v>320</v>
      </c>
      <c r="L3714">
        <f t="shared" si="862"/>
        <v>-479</v>
      </c>
      <c r="M3714">
        <v>240</v>
      </c>
      <c r="N3714">
        <f t="shared" si="863"/>
        <v>-239</v>
      </c>
    </row>
    <row r="3715" spans="1:14" x14ac:dyDescent="0.2">
      <c r="A3715" t="s">
        <v>3771</v>
      </c>
      <c r="B3715" s="1" t="s">
        <v>3697</v>
      </c>
      <c r="C3715" t="s">
        <v>106</v>
      </c>
      <c r="D3715" t="s">
        <v>1548</v>
      </c>
      <c r="E3715">
        <v>27</v>
      </c>
      <c r="F3715" t="s">
        <v>3249</v>
      </c>
      <c r="G3715">
        <v>2023</v>
      </c>
      <c r="H3715" t="s">
        <v>3772</v>
      </c>
      <c r="I3715" t="s">
        <v>23</v>
      </c>
      <c r="J3715">
        <v>-799</v>
      </c>
      <c r="K3715">
        <v>320</v>
      </c>
      <c r="L3715">
        <f t="shared" si="862"/>
        <v>-479</v>
      </c>
      <c r="M3715">
        <v>240</v>
      </c>
      <c r="N3715">
        <f t="shared" si="863"/>
        <v>-239</v>
      </c>
    </row>
    <row r="3716" spans="1:14" x14ac:dyDescent="0.2">
      <c r="A3716" t="s">
        <v>3782</v>
      </c>
      <c r="B3716" s="1" t="s">
        <v>3761</v>
      </c>
      <c r="C3716" t="s">
        <v>106</v>
      </c>
      <c r="D3716" t="s">
        <v>923</v>
      </c>
      <c r="E3716">
        <v>29</v>
      </c>
      <c r="F3716" t="s">
        <v>3249</v>
      </c>
      <c r="G3716">
        <v>2023</v>
      </c>
      <c r="H3716" t="s">
        <v>157</v>
      </c>
      <c r="I3716" t="s">
        <v>97</v>
      </c>
      <c r="J3716">
        <v>-849</v>
      </c>
      <c r="K3716">
        <v>345</v>
      </c>
      <c r="L3716">
        <f t="shared" si="862"/>
        <v>-504</v>
      </c>
      <c r="M3716">
        <v>240</v>
      </c>
      <c r="N3716">
        <f t="shared" si="863"/>
        <v>-264</v>
      </c>
    </row>
    <row r="3717" spans="1:14" x14ac:dyDescent="0.2">
      <c r="A3717" t="s">
        <v>3799</v>
      </c>
      <c r="B3717" s="1" t="s">
        <v>3761</v>
      </c>
      <c r="C3717" t="s">
        <v>106</v>
      </c>
      <c r="D3717" t="s">
        <v>448</v>
      </c>
      <c r="E3717">
        <v>29</v>
      </c>
      <c r="F3717" t="s">
        <v>3249</v>
      </c>
      <c r="G3717">
        <v>2023</v>
      </c>
      <c r="H3717" t="s">
        <v>802</v>
      </c>
      <c r="I3717" t="s">
        <v>23</v>
      </c>
      <c r="J3717">
        <v>-899</v>
      </c>
      <c r="K3717">
        <v>375</v>
      </c>
      <c r="L3717">
        <f t="shared" si="862"/>
        <v>-524</v>
      </c>
      <c r="M3717">
        <v>240</v>
      </c>
      <c r="N3717">
        <f t="shared" si="863"/>
        <v>-284</v>
      </c>
    </row>
    <row r="3718" spans="1:14" x14ac:dyDescent="0.2">
      <c r="A3718" t="s">
        <v>3879</v>
      </c>
      <c r="B3718" s="1" t="s">
        <v>3845</v>
      </c>
      <c r="C3718" t="s">
        <v>106</v>
      </c>
      <c r="D3718" t="s">
        <v>81</v>
      </c>
      <c r="E3718">
        <v>31</v>
      </c>
      <c r="F3718" t="s">
        <v>3249</v>
      </c>
      <c r="G3718">
        <v>2023</v>
      </c>
      <c r="H3718" t="s">
        <v>3880</v>
      </c>
      <c r="I3718" t="s">
        <v>23</v>
      </c>
      <c r="J3718">
        <v>-849</v>
      </c>
      <c r="K3718">
        <v>345</v>
      </c>
      <c r="L3718">
        <f t="shared" si="862"/>
        <v>-504</v>
      </c>
      <c r="M3718">
        <v>240</v>
      </c>
      <c r="N3718">
        <f t="shared" si="863"/>
        <v>-264</v>
      </c>
    </row>
    <row r="3719" spans="1:14" x14ac:dyDescent="0.2">
      <c r="A3719" t="s">
        <v>3792</v>
      </c>
      <c r="B3719" s="1" t="s">
        <v>3761</v>
      </c>
      <c r="C3719" t="s">
        <v>106</v>
      </c>
      <c r="D3719" t="s">
        <v>792</v>
      </c>
      <c r="E3719">
        <v>29</v>
      </c>
      <c r="F3719" t="s">
        <v>3249</v>
      </c>
      <c r="G3719">
        <v>2023</v>
      </c>
      <c r="H3719" t="s">
        <v>157</v>
      </c>
      <c r="I3719" t="s">
        <v>97</v>
      </c>
      <c r="J3719">
        <v>-849</v>
      </c>
      <c r="K3719">
        <v>345</v>
      </c>
      <c r="L3719">
        <f t="shared" si="862"/>
        <v>-504</v>
      </c>
      <c r="M3719">
        <v>240</v>
      </c>
      <c r="N3719">
        <f t="shared" si="863"/>
        <v>-264</v>
      </c>
    </row>
    <row r="3720" spans="1:14" x14ac:dyDescent="0.2">
      <c r="A3720" t="s">
        <v>3833</v>
      </c>
      <c r="B3720" s="1" t="s">
        <v>3806</v>
      </c>
      <c r="C3720" t="s">
        <v>106</v>
      </c>
      <c r="D3720" t="s">
        <v>448</v>
      </c>
      <c r="E3720">
        <v>30</v>
      </c>
      <c r="F3720" t="s">
        <v>3249</v>
      </c>
      <c r="G3720">
        <v>2023</v>
      </c>
      <c r="H3720" t="s">
        <v>170</v>
      </c>
      <c r="I3720" t="s">
        <v>171</v>
      </c>
      <c r="J3720">
        <v>-899</v>
      </c>
      <c r="K3720">
        <v>375</v>
      </c>
      <c r="L3720">
        <f t="shared" si="862"/>
        <v>-524</v>
      </c>
      <c r="M3720">
        <v>240</v>
      </c>
      <c r="N3720">
        <f t="shared" si="863"/>
        <v>-284</v>
      </c>
    </row>
    <row r="3721" spans="1:14" x14ac:dyDescent="0.2">
      <c r="A3721" t="s">
        <v>3822</v>
      </c>
      <c r="B3721" s="1" t="s">
        <v>3806</v>
      </c>
      <c r="C3721" t="s">
        <v>106</v>
      </c>
      <c r="D3721" t="s">
        <v>967</v>
      </c>
      <c r="E3721">
        <v>30</v>
      </c>
      <c r="F3721" t="s">
        <v>3249</v>
      </c>
      <c r="G3721">
        <v>2023</v>
      </c>
      <c r="H3721" t="s">
        <v>3823</v>
      </c>
      <c r="I3721" t="s">
        <v>122</v>
      </c>
      <c r="J3721">
        <v>-799</v>
      </c>
      <c r="K3721">
        <v>320</v>
      </c>
      <c r="L3721">
        <f t="shared" si="862"/>
        <v>-479</v>
      </c>
      <c r="M3721">
        <v>240</v>
      </c>
      <c r="N3721">
        <f t="shared" si="863"/>
        <v>-239</v>
      </c>
    </row>
    <row r="3722" spans="1:14" x14ac:dyDescent="0.2">
      <c r="A3722" t="s">
        <v>3766</v>
      </c>
      <c r="B3722" s="1" t="s">
        <v>3761</v>
      </c>
      <c r="C3722" t="s">
        <v>106</v>
      </c>
      <c r="D3722" t="s">
        <v>2750</v>
      </c>
      <c r="E3722">
        <v>29</v>
      </c>
      <c r="F3722" t="s">
        <v>3249</v>
      </c>
      <c r="G3722">
        <v>2023</v>
      </c>
      <c r="H3722" t="s">
        <v>3767</v>
      </c>
      <c r="I3722" t="s">
        <v>28</v>
      </c>
      <c r="J3722">
        <v>-849</v>
      </c>
      <c r="K3722">
        <v>345</v>
      </c>
      <c r="L3722">
        <f t="shared" si="862"/>
        <v>-504</v>
      </c>
      <c r="M3722">
        <v>240</v>
      </c>
      <c r="N3722">
        <f t="shared" si="863"/>
        <v>-264</v>
      </c>
    </row>
    <row r="3723" spans="1:14" x14ac:dyDescent="0.2">
      <c r="A3723" t="s">
        <v>3844</v>
      </c>
      <c r="B3723" s="1" t="s">
        <v>3806</v>
      </c>
      <c r="C3723" t="s">
        <v>106</v>
      </c>
      <c r="D3723" t="s">
        <v>380</v>
      </c>
      <c r="E3723">
        <v>30</v>
      </c>
      <c r="F3723" t="s">
        <v>3249</v>
      </c>
      <c r="G3723">
        <v>2023</v>
      </c>
      <c r="H3723" t="s">
        <v>1866</v>
      </c>
      <c r="I3723" t="s">
        <v>455</v>
      </c>
      <c r="J3723">
        <v>-849</v>
      </c>
      <c r="K3723">
        <v>345</v>
      </c>
      <c r="L3723">
        <f t="shared" si="862"/>
        <v>-504</v>
      </c>
      <c r="M3723">
        <v>240</v>
      </c>
      <c r="N3723">
        <f t="shared" si="863"/>
        <v>-264</v>
      </c>
    </row>
    <row r="3724" spans="1:14" x14ac:dyDescent="0.2">
      <c r="A3724" t="s">
        <v>3851</v>
      </c>
      <c r="B3724" s="1" t="s">
        <v>3845</v>
      </c>
      <c r="C3724" t="s">
        <v>106</v>
      </c>
      <c r="D3724" t="s">
        <v>274</v>
      </c>
      <c r="E3724">
        <v>31</v>
      </c>
      <c r="F3724" t="s">
        <v>3249</v>
      </c>
      <c r="G3724">
        <v>2023</v>
      </c>
      <c r="H3724" t="s">
        <v>3852</v>
      </c>
      <c r="I3724" t="s">
        <v>160</v>
      </c>
      <c r="J3724">
        <v>-799</v>
      </c>
      <c r="K3724">
        <v>320</v>
      </c>
      <c r="L3724">
        <f t="shared" si="862"/>
        <v>-479</v>
      </c>
      <c r="M3724">
        <v>240</v>
      </c>
      <c r="N3724">
        <f t="shared" si="863"/>
        <v>-239</v>
      </c>
    </row>
    <row r="3725" spans="1:14" x14ac:dyDescent="0.2">
      <c r="A3725" t="s">
        <v>3701</v>
      </c>
      <c r="B3725" s="1" t="s">
        <v>3692</v>
      </c>
      <c r="C3725" t="s">
        <v>106</v>
      </c>
      <c r="D3725" t="s">
        <v>573</v>
      </c>
      <c r="E3725">
        <v>25</v>
      </c>
      <c r="F3725" t="s">
        <v>3249</v>
      </c>
      <c r="G3725">
        <v>2023</v>
      </c>
      <c r="H3725" t="s">
        <v>157</v>
      </c>
      <c r="I3725" t="s">
        <v>97</v>
      </c>
      <c r="J3725">
        <v>-899</v>
      </c>
      <c r="K3725">
        <v>375</v>
      </c>
      <c r="L3725">
        <f t="shared" si="862"/>
        <v>-524</v>
      </c>
      <c r="M3725">
        <v>240</v>
      </c>
      <c r="N3725">
        <f t="shared" si="863"/>
        <v>-284</v>
      </c>
    </row>
    <row r="3726" spans="1:14" x14ac:dyDescent="0.2">
      <c r="A3726" t="s">
        <v>3421</v>
      </c>
      <c r="B3726" s="1" t="s">
        <v>3394</v>
      </c>
      <c r="C3726" t="s">
        <v>106</v>
      </c>
      <c r="D3726" t="s">
        <v>504</v>
      </c>
      <c r="E3726">
        <v>11</v>
      </c>
      <c r="F3726" t="s">
        <v>3249</v>
      </c>
      <c r="G3726">
        <v>2023</v>
      </c>
      <c r="H3726" t="s">
        <v>49</v>
      </c>
      <c r="I3726" t="s">
        <v>32</v>
      </c>
      <c r="J3726">
        <v>-899</v>
      </c>
      <c r="K3726">
        <v>375</v>
      </c>
      <c r="L3726">
        <f t="shared" si="862"/>
        <v>-524</v>
      </c>
      <c r="M3726">
        <v>240</v>
      </c>
      <c r="N3726">
        <f t="shared" si="863"/>
        <v>-284</v>
      </c>
    </row>
    <row r="3727" spans="1:14" x14ac:dyDescent="0.2">
      <c r="A3727" t="s">
        <v>3808</v>
      </c>
      <c r="B3727" s="1" t="s">
        <v>3806</v>
      </c>
      <c r="C3727" t="s">
        <v>106</v>
      </c>
      <c r="D3727" t="s">
        <v>504</v>
      </c>
      <c r="E3727">
        <v>30</v>
      </c>
      <c r="F3727" t="s">
        <v>3249</v>
      </c>
      <c r="G3727">
        <v>2023</v>
      </c>
      <c r="H3727" t="s">
        <v>3809</v>
      </c>
      <c r="I3727" t="s">
        <v>58</v>
      </c>
      <c r="J3727">
        <v>-899</v>
      </c>
      <c r="K3727">
        <v>375</v>
      </c>
      <c r="L3727">
        <f t="shared" si="862"/>
        <v>-524</v>
      </c>
      <c r="M3727">
        <v>240</v>
      </c>
      <c r="N3727">
        <f t="shared" si="863"/>
        <v>-284</v>
      </c>
    </row>
    <row r="3728" spans="1:14" x14ac:dyDescent="0.2">
      <c r="A3728" t="s">
        <v>3729</v>
      </c>
      <c r="B3728" s="1" t="s">
        <v>3728</v>
      </c>
      <c r="C3728" t="s">
        <v>106</v>
      </c>
      <c r="D3728" t="s">
        <v>445</v>
      </c>
      <c r="E3728">
        <v>28</v>
      </c>
      <c r="F3728" t="s">
        <v>3249</v>
      </c>
      <c r="G3728">
        <v>2023</v>
      </c>
      <c r="H3728" t="s">
        <v>3730</v>
      </c>
      <c r="I3728" t="s">
        <v>23</v>
      </c>
      <c r="J3728">
        <v>-899</v>
      </c>
      <c r="K3728">
        <v>375</v>
      </c>
      <c r="L3728">
        <f t="shared" si="862"/>
        <v>-524</v>
      </c>
      <c r="M3728">
        <v>240</v>
      </c>
      <c r="N3728">
        <f t="shared" si="863"/>
        <v>-284</v>
      </c>
    </row>
    <row r="3729" spans="1:14" x14ac:dyDescent="0.2">
      <c r="A3729" t="s">
        <v>3729</v>
      </c>
      <c r="B3729" s="1" t="s">
        <v>3728</v>
      </c>
      <c r="C3729" t="s">
        <v>106</v>
      </c>
      <c r="D3729" t="s">
        <v>242</v>
      </c>
      <c r="E3729">
        <v>28</v>
      </c>
      <c r="F3729" t="s">
        <v>3249</v>
      </c>
      <c r="G3729">
        <v>2023</v>
      </c>
      <c r="H3729" t="s">
        <v>3730</v>
      </c>
      <c r="I3729" t="s">
        <v>23</v>
      </c>
      <c r="J3729">
        <v>-899</v>
      </c>
      <c r="K3729">
        <v>375</v>
      </c>
      <c r="L3729">
        <f t="shared" si="862"/>
        <v>-524</v>
      </c>
      <c r="M3729">
        <v>240</v>
      </c>
      <c r="N3729">
        <f t="shared" si="863"/>
        <v>-284</v>
      </c>
    </row>
    <row r="3730" spans="1:14" x14ac:dyDescent="0.2">
      <c r="A3730" t="s">
        <v>3775</v>
      </c>
      <c r="B3730" s="1" t="s">
        <v>3728</v>
      </c>
      <c r="C3730" t="s">
        <v>106</v>
      </c>
      <c r="D3730" t="s">
        <v>1338</v>
      </c>
      <c r="E3730">
        <v>28</v>
      </c>
      <c r="F3730" t="s">
        <v>3249</v>
      </c>
      <c r="G3730">
        <v>2023</v>
      </c>
      <c r="H3730" t="s">
        <v>215</v>
      </c>
      <c r="I3730" t="s">
        <v>135</v>
      </c>
      <c r="J3730">
        <v>-799</v>
      </c>
      <c r="K3730">
        <v>320</v>
      </c>
      <c r="L3730">
        <f t="shared" si="862"/>
        <v>-479</v>
      </c>
      <c r="M3730">
        <v>240</v>
      </c>
      <c r="N3730">
        <f t="shared" si="863"/>
        <v>-239</v>
      </c>
    </row>
    <row r="3731" spans="1:14" x14ac:dyDescent="0.2">
      <c r="A3731" t="s">
        <v>3768</v>
      </c>
      <c r="B3731" s="1" t="s">
        <v>3728</v>
      </c>
      <c r="C3731" t="s">
        <v>106</v>
      </c>
      <c r="D3731" t="s">
        <v>242</v>
      </c>
      <c r="E3731">
        <v>28</v>
      </c>
      <c r="F3731" t="s">
        <v>3249</v>
      </c>
      <c r="G3731">
        <v>2023</v>
      </c>
      <c r="H3731" t="s">
        <v>2162</v>
      </c>
      <c r="I3731" t="s">
        <v>2162</v>
      </c>
      <c r="J3731">
        <v>-899</v>
      </c>
      <c r="K3731">
        <v>375</v>
      </c>
      <c r="L3731">
        <f t="shared" si="862"/>
        <v>-524</v>
      </c>
      <c r="M3731">
        <v>240</v>
      </c>
      <c r="N3731">
        <f t="shared" si="863"/>
        <v>-284</v>
      </c>
    </row>
    <row r="3732" spans="1:14" x14ac:dyDescent="0.2">
      <c r="A3732" t="s">
        <v>3825</v>
      </c>
      <c r="B3732" s="1" t="s">
        <v>3806</v>
      </c>
      <c r="C3732" t="s">
        <v>106</v>
      </c>
      <c r="D3732" t="s">
        <v>169</v>
      </c>
      <c r="E3732">
        <v>30</v>
      </c>
      <c r="F3732" t="s">
        <v>3249</v>
      </c>
      <c r="G3732">
        <v>2023</v>
      </c>
      <c r="H3732" t="s">
        <v>1128</v>
      </c>
      <c r="I3732" t="s">
        <v>97</v>
      </c>
      <c r="J3732">
        <v>-799</v>
      </c>
      <c r="K3732">
        <v>320</v>
      </c>
      <c r="L3732">
        <f t="shared" si="862"/>
        <v>-479</v>
      </c>
      <c r="M3732">
        <v>240</v>
      </c>
      <c r="N3732">
        <f t="shared" si="863"/>
        <v>-239</v>
      </c>
    </row>
    <row r="3733" spans="1:14" x14ac:dyDescent="0.2">
      <c r="A3733" t="s">
        <v>4463</v>
      </c>
      <c r="B3733" s="1" t="s">
        <v>4458</v>
      </c>
      <c r="C3733" t="s">
        <v>106</v>
      </c>
      <c r="D3733" t="s">
        <v>448</v>
      </c>
      <c r="E3733">
        <v>23</v>
      </c>
      <c r="F3733" t="s">
        <v>3891</v>
      </c>
      <c r="G3733">
        <v>2023</v>
      </c>
      <c r="H3733" t="s">
        <v>3585</v>
      </c>
      <c r="I3733" t="s">
        <v>19</v>
      </c>
      <c r="J3733">
        <v>-899</v>
      </c>
      <c r="K3733">
        <v>375</v>
      </c>
      <c r="L3733">
        <f t="shared" si="862"/>
        <v>-524</v>
      </c>
      <c r="M3733">
        <v>240</v>
      </c>
      <c r="N3733">
        <f t="shared" si="863"/>
        <v>-284</v>
      </c>
    </row>
    <row r="3734" spans="1:14" x14ac:dyDescent="0.2">
      <c r="A3734" t="s">
        <v>4521</v>
      </c>
      <c r="B3734" s="1" t="s">
        <v>4503</v>
      </c>
      <c r="C3734" t="s">
        <v>106</v>
      </c>
      <c r="D3734" t="s">
        <v>1937</v>
      </c>
      <c r="E3734">
        <v>27</v>
      </c>
      <c r="F3734" t="s">
        <v>3891</v>
      </c>
      <c r="G3734">
        <v>2023</v>
      </c>
      <c r="H3734" t="s">
        <v>193</v>
      </c>
      <c r="I3734" t="s">
        <v>62</v>
      </c>
      <c r="J3734">
        <v>-799</v>
      </c>
      <c r="K3734">
        <v>320</v>
      </c>
      <c r="L3734">
        <f t="shared" si="862"/>
        <v>-479</v>
      </c>
      <c r="M3734">
        <v>240</v>
      </c>
      <c r="N3734">
        <f t="shared" si="863"/>
        <v>-239</v>
      </c>
    </row>
    <row r="3735" spans="1:14" x14ac:dyDescent="0.2">
      <c r="A3735" t="s">
        <v>4423</v>
      </c>
      <c r="B3735" s="1" t="s">
        <v>4416</v>
      </c>
      <c r="C3735" t="s">
        <v>106</v>
      </c>
      <c r="D3735" t="s">
        <v>1348</v>
      </c>
      <c r="E3735">
        <v>20</v>
      </c>
      <c r="F3735" t="s">
        <v>3891</v>
      </c>
      <c r="G3735">
        <v>2023</v>
      </c>
      <c r="H3735" t="s">
        <v>4424</v>
      </c>
      <c r="I3735" t="s">
        <v>32</v>
      </c>
      <c r="J3735">
        <v>-799</v>
      </c>
      <c r="K3735">
        <v>320</v>
      </c>
      <c r="L3735">
        <f t="shared" si="862"/>
        <v>-479</v>
      </c>
      <c r="M3735">
        <v>240</v>
      </c>
      <c r="N3735">
        <f t="shared" si="863"/>
        <v>-239</v>
      </c>
    </row>
    <row r="3736" spans="1:14" x14ac:dyDescent="0.2">
      <c r="A3736" t="s">
        <v>4487</v>
      </c>
      <c r="B3736" s="1" t="s">
        <v>4486</v>
      </c>
      <c r="C3736" t="s">
        <v>106</v>
      </c>
      <c r="D3736" t="s">
        <v>242</v>
      </c>
      <c r="E3736">
        <v>26</v>
      </c>
      <c r="F3736" t="s">
        <v>3891</v>
      </c>
      <c r="G3736">
        <v>2023</v>
      </c>
      <c r="H3736" t="s">
        <v>170</v>
      </c>
      <c r="I3736" t="s">
        <v>171</v>
      </c>
      <c r="J3736">
        <v>-899</v>
      </c>
      <c r="K3736">
        <v>375</v>
      </c>
      <c r="L3736">
        <f t="shared" si="862"/>
        <v>-524</v>
      </c>
      <c r="M3736">
        <v>240</v>
      </c>
      <c r="N3736">
        <f t="shared" si="863"/>
        <v>-284</v>
      </c>
    </row>
    <row r="3737" spans="1:14" x14ac:dyDescent="0.2">
      <c r="A3737" t="s">
        <v>4501</v>
      </c>
      <c r="B3737" s="1" t="s">
        <v>4483</v>
      </c>
      <c r="C3737" t="s">
        <v>106</v>
      </c>
      <c r="D3737" t="s">
        <v>448</v>
      </c>
      <c r="E3737">
        <v>25</v>
      </c>
      <c r="F3737" t="s">
        <v>3891</v>
      </c>
      <c r="G3737">
        <v>2023</v>
      </c>
      <c r="H3737" t="s">
        <v>4502</v>
      </c>
      <c r="I3737" t="s">
        <v>171</v>
      </c>
      <c r="J3737">
        <v>-899</v>
      </c>
      <c r="K3737">
        <v>375</v>
      </c>
      <c r="L3737">
        <f t="shared" si="862"/>
        <v>-524</v>
      </c>
      <c r="M3737">
        <v>240</v>
      </c>
      <c r="N3737">
        <f t="shared" si="863"/>
        <v>-284</v>
      </c>
    </row>
    <row r="3738" spans="1:14" x14ac:dyDescent="0.2">
      <c r="A3738" t="s">
        <v>4457</v>
      </c>
      <c r="B3738" s="1" t="s">
        <v>4451</v>
      </c>
      <c r="C3738" t="s">
        <v>106</v>
      </c>
      <c r="D3738" t="s">
        <v>809</v>
      </c>
      <c r="E3738">
        <v>22</v>
      </c>
      <c r="F3738" t="s">
        <v>3891</v>
      </c>
      <c r="G3738">
        <v>2023</v>
      </c>
      <c r="H3738" t="s">
        <v>246</v>
      </c>
      <c r="I3738" t="s">
        <v>58</v>
      </c>
      <c r="J3738">
        <v>-999</v>
      </c>
      <c r="K3738">
        <v>395</v>
      </c>
      <c r="L3738">
        <f t="shared" si="862"/>
        <v>-604</v>
      </c>
      <c r="M3738">
        <v>240</v>
      </c>
      <c r="N3738">
        <f t="shared" si="863"/>
        <v>-364</v>
      </c>
    </row>
    <row r="3739" spans="1:14" x14ac:dyDescent="0.2">
      <c r="A3739" t="s">
        <v>4473</v>
      </c>
      <c r="B3739" s="1" t="s">
        <v>4458</v>
      </c>
      <c r="C3739" t="s">
        <v>106</v>
      </c>
      <c r="D3739" t="s">
        <v>1937</v>
      </c>
      <c r="E3739">
        <v>23</v>
      </c>
      <c r="F3739" t="s">
        <v>3891</v>
      </c>
      <c r="G3739">
        <v>2023</v>
      </c>
      <c r="H3739" t="s">
        <v>193</v>
      </c>
      <c r="I3739" t="s">
        <v>62</v>
      </c>
      <c r="J3739">
        <v>-799</v>
      </c>
      <c r="K3739">
        <v>320</v>
      </c>
      <c r="L3739">
        <f t="shared" si="862"/>
        <v>-479</v>
      </c>
      <c r="M3739">
        <v>240</v>
      </c>
      <c r="N3739">
        <f t="shared" si="863"/>
        <v>-239</v>
      </c>
    </row>
    <row r="3740" spans="1:14" x14ac:dyDescent="0.2">
      <c r="A3740" t="s">
        <v>4513</v>
      </c>
      <c r="B3740" s="1" t="s">
        <v>4486</v>
      </c>
      <c r="C3740" t="s">
        <v>106</v>
      </c>
      <c r="D3740" t="s">
        <v>445</v>
      </c>
      <c r="E3740">
        <v>26</v>
      </c>
      <c r="F3740" t="s">
        <v>3891</v>
      </c>
      <c r="G3740">
        <v>2023</v>
      </c>
      <c r="H3740" t="s">
        <v>4128</v>
      </c>
      <c r="I3740" t="s">
        <v>502</v>
      </c>
      <c r="J3740">
        <v>-899</v>
      </c>
      <c r="K3740">
        <v>375</v>
      </c>
      <c r="L3740">
        <f t="shared" si="862"/>
        <v>-524</v>
      </c>
      <c r="M3740">
        <v>240</v>
      </c>
      <c r="N3740">
        <f t="shared" si="863"/>
        <v>-284</v>
      </c>
    </row>
    <row r="3741" spans="1:14" x14ac:dyDescent="0.2">
      <c r="A3741" t="s">
        <v>4476</v>
      </c>
      <c r="B3741" s="1" t="s">
        <v>4474</v>
      </c>
      <c r="C3741" t="s">
        <v>106</v>
      </c>
      <c r="D3741" t="s">
        <v>1338</v>
      </c>
      <c r="E3741">
        <v>24</v>
      </c>
      <c r="F3741" t="s">
        <v>3891</v>
      </c>
      <c r="G3741">
        <v>2023</v>
      </c>
      <c r="H3741" t="s">
        <v>796</v>
      </c>
      <c r="I3741" t="s">
        <v>58</v>
      </c>
      <c r="J3741">
        <v>-799</v>
      </c>
      <c r="K3741">
        <v>320</v>
      </c>
      <c r="L3741">
        <f t="shared" si="862"/>
        <v>-479</v>
      </c>
      <c r="M3741">
        <v>240</v>
      </c>
      <c r="N3741">
        <f t="shared" si="863"/>
        <v>-239</v>
      </c>
    </row>
    <row r="3742" spans="1:14" x14ac:dyDescent="0.2">
      <c r="A3742" t="s">
        <v>4475</v>
      </c>
      <c r="B3742" s="1" t="s">
        <v>4474</v>
      </c>
      <c r="C3742" t="s">
        <v>106</v>
      </c>
      <c r="D3742" t="s">
        <v>445</v>
      </c>
      <c r="E3742">
        <v>24</v>
      </c>
      <c r="F3742" t="s">
        <v>3891</v>
      </c>
      <c r="G3742">
        <v>2023</v>
      </c>
      <c r="H3742" t="s">
        <v>796</v>
      </c>
      <c r="I3742" t="s">
        <v>58</v>
      </c>
      <c r="J3742">
        <v>-899</v>
      </c>
      <c r="K3742">
        <v>375</v>
      </c>
      <c r="L3742">
        <f t="shared" si="862"/>
        <v>-524</v>
      </c>
      <c r="M3742">
        <v>240</v>
      </c>
      <c r="N3742">
        <f t="shared" si="863"/>
        <v>-284</v>
      </c>
    </row>
    <row r="3743" spans="1:14" x14ac:dyDescent="0.2">
      <c r="A3743" t="s">
        <v>4478</v>
      </c>
      <c r="B3743" s="1" t="s">
        <v>4474</v>
      </c>
      <c r="C3743" t="s">
        <v>106</v>
      </c>
      <c r="D3743" t="s">
        <v>895</v>
      </c>
      <c r="E3743">
        <v>24</v>
      </c>
      <c r="F3743" t="s">
        <v>3891</v>
      </c>
      <c r="G3743">
        <v>2023</v>
      </c>
      <c r="H3743" t="s">
        <v>246</v>
      </c>
      <c r="I3743" t="s">
        <v>58</v>
      </c>
      <c r="J3743">
        <v>-849</v>
      </c>
      <c r="K3743">
        <v>345</v>
      </c>
      <c r="L3743">
        <f t="shared" si="862"/>
        <v>-504</v>
      </c>
      <c r="M3743">
        <v>240</v>
      </c>
      <c r="N3743">
        <f t="shared" si="863"/>
        <v>-264</v>
      </c>
    </row>
    <row r="3744" spans="1:14" x14ac:dyDescent="0.2">
      <c r="A3744" t="s">
        <v>4506</v>
      </c>
      <c r="B3744" s="1" t="s">
        <v>4486</v>
      </c>
      <c r="C3744" t="s">
        <v>106</v>
      </c>
      <c r="D3744" t="s">
        <v>448</v>
      </c>
      <c r="E3744">
        <v>26</v>
      </c>
      <c r="F3744" t="s">
        <v>3891</v>
      </c>
      <c r="G3744">
        <v>2023</v>
      </c>
      <c r="H3744" t="s">
        <v>4507</v>
      </c>
      <c r="I3744" t="s">
        <v>502</v>
      </c>
      <c r="J3744">
        <v>-899</v>
      </c>
      <c r="K3744">
        <v>375</v>
      </c>
      <c r="L3744">
        <f t="shared" si="862"/>
        <v>-524</v>
      </c>
      <c r="M3744">
        <v>240</v>
      </c>
      <c r="N3744">
        <f t="shared" si="863"/>
        <v>-284</v>
      </c>
    </row>
    <row r="3745" spans="1:14" x14ac:dyDescent="0.2">
      <c r="A3745" t="s">
        <v>4495</v>
      </c>
      <c r="B3745" s="1" t="s">
        <v>4486</v>
      </c>
      <c r="C3745" t="s">
        <v>106</v>
      </c>
      <c r="D3745" t="s">
        <v>4465</v>
      </c>
      <c r="E3745">
        <v>26</v>
      </c>
      <c r="F3745" t="s">
        <v>3891</v>
      </c>
      <c r="G3745">
        <v>2023</v>
      </c>
      <c r="H3745" t="s">
        <v>796</v>
      </c>
      <c r="I3745" t="s">
        <v>58</v>
      </c>
      <c r="J3745">
        <v>-799</v>
      </c>
      <c r="K3745">
        <v>320</v>
      </c>
      <c r="L3745">
        <f t="shared" si="862"/>
        <v>-479</v>
      </c>
      <c r="M3745">
        <v>240</v>
      </c>
      <c r="N3745">
        <f t="shared" si="863"/>
        <v>-239</v>
      </c>
    </row>
    <row r="3746" spans="1:14" x14ac:dyDescent="0.2">
      <c r="A3746" t="s">
        <v>4494</v>
      </c>
      <c r="B3746" s="1" t="s">
        <v>4486</v>
      </c>
      <c r="C3746" t="s">
        <v>106</v>
      </c>
      <c r="D3746" t="s">
        <v>490</v>
      </c>
      <c r="E3746">
        <v>26</v>
      </c>
      <c r="F3746" t="s">
        <v>3891</v>
      </c>
      <c r="G3746">
        <v>2023</v>
      </c>
      <c r="H3746" t="s">
        <v>796</v>
      </c>
      <c r="I3746" t="s">
        <v>58</v>
      </c>
      <c r="J3746">
        <v>-899</v>
      </c>
      <c r="K3746">
        <v>375</v>
      </c>
      <c r="L3746">
        <f t="shared" si="862"/>
        <v>-524</v>
      </c>
      <c r="M3746">
        <v>240</v>
      </c>
      <c r="N3746">
        <f t="shared" si="863"/>
        <v>-284</v>
      </c>
    </row>
    <row r="3747" spans="1:14" x14ac:dyDescent="0.2">
      <c r="A3747" t="s">
        <v>4492</v>
      </c>
      <c r="B3747" s="1" t="s">
        <v>4486</v>
      </c>
      <c r="C3747" t="s">
        <v>106</v>
      </c>
      <c r="D3747" t="s">
        <v>1193</v>
      </c>
      <c r="E3747">
        <v>26</v>
      </c>
      <c r="F3747" t="s">
        <v>3891</v>
      </c>
      <c r="G3747">
        <v>2023</v>
      </c>
      <c r="H3747" t="s">
        <v>796</v>
      </c>
      <c r="I3747" t="s">
        <v>58</v>
      </c>
      <c r="J3747">
        <v>-899</v>
      </c>
      <c r="K3747">
        <v>375</v>
      </c>
      <c r="L3747">
        <f t="shared" si="862"/>
        <v>-524</v>
      </c>
      <c r="M3747">
        <v>240</v>
      </c>
      <c r="N3747">
        <f t="shared" si="863"/>
        <v>-284</v>
      </c>
    </row>
    <row r="3748" spans="1:14" x14ac:dyDescent="0.2">
      <c r="A3748" t="s">
        <v>4498</v>
      </c>
      <c r="B3748" s="1" t="s">
        <v>4486</v>
      </c>
      <c r="C3748" t="s">
        <v>106</v>
      </c>
      <c r="D3748" t="s">
        <v>1010</v>
      </c>
      <c r="E3748">
        <v>26</v>
      </c>
      <c r="F3748" t="s">
        <v>3891</v>
      </c>
      <c r="G3748">
        <v>2023</v>
      </c>
      <c r="H3748" t="s">
        <v>796</v>
      </c>
      <c r="I3748" t="s">
        <v>58</v>
      </c>
      <c r="J3748">
        <v>-799</v>
      </c>
      <c r="K3748">
        <v>320</v>
      </c>
      <c r="L3748">
        <f t="shared" si="862"/>
        <v>-479</v>
      </c>
      <c r="M3748">
        <v>240</v>
      </c>
      <c r="N3748">
        <f t="shared" si="863"/>
        <v>-239</v>
      </c>
    </row>
    <row r="3749" spans="1:14" x14ac:dyDescent="0.2">
      <c r="A3749" t="s">
        <v>4496</v>
      </c>
      <c r="B3749" s="1" t="s">
        <v>4486</v>
      </c>
      <c r="C3749" t="s">
        <v>106</v>
      </c>
      <c r="D3749" t="s">
        <v>4497</v>
      </c>
      <c r="E3749">
        <v>26</v>
      </c>
      <c r="F3749" t="s">
        <v>3891</v>
      </c>
      <c r="G3749">
        <v>2023</v>
      </c>
      <c r="H3749" t="s">
        <v>796</v>
      </c>
      <c r="I3749" t="s">
        <v>58</v>
      </c>
      <c r="J3749">
        <v>-849</v>
      </c>
      <c r="K3749">
        <v>345</v>
      </c>
      <c r="L3749">
        <f t="shared" si="862"/>
        <v>-504</v>
      </c>
      <c r="M3749">
        <v>240</v>
      </c>
      <c r="N3749">
        <f t="shared" si="863"/>
        <v>-264</v>
      </c>
    </row>
    <row r="3750" spans="1:14" x14ac:dyDescent="0.2">
      <c r="A3750" t="s">
        <v>4520</v>
      </c>
      <c r="B3750" s="1" t="s">
        <v>4503</v>
      </c>
      <c r="C3750" t="s">
        <v>106</v>
      </c>
      <c r="D3750" t="s">
        <v>1809</v>
      </c>
      <c r="E3750">
        <v>27</v>
      </c>
      <c r="F3750" t="s">
        <v>3891</v>
      </c>
      <c r="G3750">
        <v>2023</v>
      </c>
      <c r="H3750" t="s">
        <v>796</v>
      </c>
      <c r="I3750" t="s">
        <v>58</v>
      </c>
      <c r="J3750">
        <v>-799</v>
      </c>
      <c r="K3750">
        <v>320</v>
      </c>
      <c r="L3750">
        <f t="shared" si="862"/>
        <v>-479</v>
      </c>
      <c r="M3750">
        <v>240</v>
      </c>
      <c r="N3750">
        <f t="shared" si="863"/>
        <v>-239</v>
      </c>
    </row>
    <row r="3751" spans="1:14" x14ac:dyDescent="0.2">
      <c r="A3751" t="s">
        <v>4005</v>
      </c>
      <c r="B3751" s="1" t="s">
        <v>3935</v>
      </c>
      <c r="C3751" t="s">
        <v>106</v>
      </c>
      <c r="D3751" t="s">
        <v>448</v>
      </c>
      <c r="E3751">
        <v>3</v>
      </c>
      <c r="F3751" t="s">
        <v>3891</v>
      </c>
      <c r="G3751">
        <v>2023</v>
      </c>
      <c r="H3751" t="s">
        <v>4006</v>
      </c>
      <c r="I3751" t="s">
        <v>23</v>
      </c>
      <c r="J3751">
        <v>-899</v>
      </c>
      <c r="K3751">
        <v>375</v>
      </c>
      <c r="L3751">
        <f t="shared" si="862"/>
        <v>-524</v>
      </c>
      <c r="M3751">
        <v>240</v>
      </c>
      <c r="N3751">
        <f t="shared" si="863"/>
        <v>-284</v>
      </c>
    </row>
    <row r="3752" spans="1:14" x14ac:dyDescent="0.2">
      <c r="A3752" t="s">
        <v>4454</v>
      </c>
      <c r="B3752" s="1" t="s">
        <v>4451</v>
      </c>
      <c r="C3752" t="s">
        <v>106</v>
      </c>
      <c r="D3752" t="s">
        <v>4455</v>
      </c>
      <c r="E3752">
        <v>22</v>
      </c>
      <c r="F3752" t="s">
        <v>3891</v>
      </c>
      <c r="G3752">
        <v>2023</v>
      </c>
      <c r="H3752" t="s">
        <v>246</v>
      </c>
      <c r="I3752" t="s">
        <v>58</v>
      </c>
      <c r="J3752">
        <v>-999</v>
      </c>
      <c r="K3752">
        <v>395</v>
      </c>
      <c r="L3752">
        <f t="shared" si="862"/>
        <v>-604</v>
      </c>
      <c r="M3752">
        <v>240</v>
      </c>
      <c r="N3752">
        <f t="shared" si="863"/>
        <v>-364</v>
      </c>
    </row>
    <row r="3753" spans="1:14" x14ac:dyDescent="0.2">
      <c r="A3753" t="s">
        <v>4488</v>
      </c>
      <c r="B3753" s="1" t="s">
        <v>4483</v>
      </c>
      <c r="C3753" t="s">
        <v>106</v>
      </c>
      <c r="D3753" t="s">
        <v>4465</v>
      </c>
      <c r="E3753">
        <v>25</v>
      </c>
      <c r="F3753" t="s">
        <v>3891</v>
      </c>
      <c r="G3753">
        <v>2023</v>
      </c>
      <c r="H3753" t="s">
        <v>1807</v>
      </c>
      <c r="I3753" t="s">
        <v>160</v>
      </c>
      <c r="J3753">
        <v>-799</v>
      </c>
      <c r="K3753">
        <v>320</v>
      </c>
      <c r="L3753">
        <f t="shared" si="862"/>
        <v>-479</v>
      </c>
      <c r="M3753">
        <v>240</v>
      </c>
      <c r="N3753">
        <f t="shared" si="863"/>
        <v>-239</v>
      </c>
    </row>
    <row r="3754" spans="1:14" x14ac:dyDescent="0.2">
      <c r="A3754" t="s">
        <v>4509</v>
      </c>
      <c r="B3754" s="1" t="s">
        <v>4486</v>
      </c>
      <c r="C3754" t="s">
        <v>106</v>
      </c>
      <c r="D3754" t="s">
        <v>308</v>
      </c>
      <c r="E3754">
        <v>26</v>
      </c>
      <c r="F3754" t="s">
        <v>3891</v>
      </c>
      <c r="G3754">
        <v>2023</v>
      </c>
      <c r="H3754" t="s">
        <v>4357</v>
      </c>
      <c r="I3754" t="s">
        <v>135</v>
      </c>
      <c r="J3754">
        <v>-899</v>
      </c>
      <c r="K3754">
        <v>375</v>
      </c>
      <c r="L3754">
        <f t="shared" si="862"/>
        <v>-524</v>
      </c>
      <c r="M3754">
        <v>240</v>
      </c>
      <c r="N3754">
        <f t="shared" si="863"/>
        <v>-284</v>
      </c>
    </row>
    <row r="3755" spans="1:14" x14ac:dyDescent="0.2">
      <c r="A3755" t="s">
        <v>4524</v>
      </c>
      <c r="B3755" s="1" t="s">
        <v>4503</v>
      </c>
      <c r="C3755" t="s">
        <v>106</v>
      </c>
      <c r="D3755" t="s">
        <v>901</v>
      </c>
      <c r="E3755">
        <v>27</v>
      </c>
      <c r="F3755" t="s">
        <v>3891</v>
      </c>
      <c r="G3755">
        <v>2023</v>
      </c>
      <c r="H3755" t="s">
        <v>2564</v>
      </c>
      <c r="I3755" t="s">
        <v>62</v>
      </c>
      <c r="J3755">
        <v>-799</v>
      </c>
      <c r="K3755">
        <v>320</v>
      </c>
      <c r="L3755">
        <f t="shared" si="862"/>
        <v>-479</v>
      </c>
      <c r="M3755">
        <v>240</v>
      </c>
      <c r="N3755">
        <f t="shared" si="863"/>
        <v>-239</v>
      </c>
    </row>
    <row r="3756" spans="1:14" x14ac:dyDescent="0.2">
      <c r="A3756" t="s">
        <v>4514</v>
      </c>
      <c r="B3756" s="1" t="s">
        <v>4486</v>
      </c>
      <c r="C3756" t="s">
        <v>106</v>
      </c>
      <c r="D3756" t="s">
        <v>4196</v>
      </c>
      <c r="E3756">
        <v>26</v>
      </c>
      <c r="F3756" t="s">
        <v>3891</v>
      </c>
      <c r="G3756">
        <v>2023</v>
      </c>
      <c r="H3756" t="s">
        <v>2564</v>
      </c>
      <c r="I3756" t="s">
        <v>62</v>
      </c>
      <c r="J3756">
        <v>-799</v>
      </c>
      <c r="K3756">
        <v>320</v>
      </c>
      <c r="L3756">
        <f t="shared" si="862"/>
        <v>-479</v>
      </c>
      <c r="M3756">
        <v>240</v>
      </c>
      <c r="N3756">
        <f t="shared" si="863"/>
        <v>-239</v>
      </c>
    </row>
    <row r="3757" spans="1:14" x14ac:dyDescent="0.2">
      <c r="A3757" t="s">
        <v>4490</v>
      </c>
      <c r="B3757" s="1" t="s">
        <v>4486</v>
      </c>
      <c r="C3757" t="s">
        <v>106</v>
      </c>
      <c r="D3757" t="s">
        <v>1010</v>
      </c>
      <c r="E3757">
        <v>26</v>
      </c>
      <c r="F3757" t="s">
        <v>3891</v>
      </c>
      <c r="G3757">
        <v>2023</v>
      </c>
      <c r="H3757" t="s">
        <v>2564</v>
      </c>
      <c r="I3757" t="s">
        <v>62</v>
      </c>
      <c r="J3757">
        <v>-799</v>
      </c>
      <c r="K3757">
        <v>320</v>
      </c>
      <c r="L3757">
        <f t="shared" si="862"/>
        <v>-479</v>
      </c>
      <c r="M3757">
        <v>240</v>
      </c>
      <c r="N3757">
        <f t="shared" si="863"/>
        <v>-239</v>
      </c>
    </row>
    <row r="3758" spans="1:14" x14ac:dyDescent="0.2">
      <c r="A3758" t="s">
        <v>4512</v>
      </c>
      <c r="B3758" s="1" t="s">
        <v>4486</v>
      </c>
      <c r="C3758" t="s">
        <v>106</v>
      </c>
      <c r="D3758" t="s">
        <v>1212</v>
      </c>
      <c r="E3758">
        <v>26</v>
      </c>
      <c r="F3758" t="s">
        <v>3891</v>
      </c>
      <c r="G3758">
        <v>2023</v>
      </c>
      <c r="H3758" t="s">
        <v>2564</v>
      </c>
      <c r="I3758" t="s">
        <v>62</v>
      </c>
      <c r="J3758">
        <v>-799</v>
      </c>
      <c r="K3758">
        <v>320</v>
      </c>
      <c r="L3758">
        <f t="shared" si="862"/>
        <v>-479</v>
      </c>
      <c r="M3758">
        <v>240</v>
      </c>
      <c r="N3758">
        <f t="shared" si="863"/>
        <v>-239</v>
      </c>
    </row>
    <row r="3759" spans="1:14" x14ac:dyDescent="0.2">
      <c r="A3759" t="s">
        <v>4499</v>
      </c>
      <c r="B3759" s="1" t="s">
        <v>4486</v>
      </c>
      <c r="C3759" t="s">
        <v>106</v>
      </c>
      <c r="D3759" t="s">
        <v>1037</v>
      </c>
      <c r="E3759">
        <v>26</v>
      </c>
      <c r="F3759" t="s">
        <v>3891</v>
      </c>
      <c r="G3759">
        <v>2023</v>
      </c>
      <c r="H3759" t="s">
        <v>2564</v>
      </c>
      <c r="I3759" t="s">
        <v>62</v>
      </c>
      <c r="J3759">
        <v>-799</v>
      </c>
      <c r="K3759">
        <v>320</v>
      </c>
      <c r="L3759">
        <f t="shared" si="862"/>
        <v>-479</v>
      </c>
      <c r="M3759">
        <v>240</v>
      </c>
      <c r="N3759">
        <f t="shared" si="863"/>
        <v>-239</v>
      </c>
    </row>
    <row r="3760" spans="1:14" x14ac:dyDescent="0.2">
      <c r="A3760" t="s">
        <v>4535</v>
      </c>
      <c r="B3760" s="1" t="s">
        <v>4534</v>
      </c>
      <c r="C3760" t="s">
        <v>14</v>
      </c>
      <c r="D3760" t="s">
        <v>891</v>
      </c>
      <c r="E3760">
        <v>1</v>
      </c>
      <c r="F3760" t="s">
        <v>4536</v>
      </c>
      <c r="G3760">
        <v>2023</v>
      </c>
      <c r="H3760" t="s">
        <v>4320</v>
      </c>
      <c r="I3760" t="s">
        <v>85</v>
      </c>
      <c r="J3760">
        <v>849</v>
      </c>
      <c r="K3760">
        <v>250</v>
      </c>
      <c r="L3760">
        <f>J3760-K3760</f>
        <v>599</v>
      </c>
      <c r="M3760">
        <v>240</v>
      </c>
      <c r="N3760">
        <f>L3760-M3760</f>
        <v>359</v>
      </c>
    </row>
    <row r="3761" spans="1:14" x14ac:dyDescent="0.2">
      <c r="A3761" t="s">
        <v>4538</v>
      </c>
      <c r="B3761" s="1" t="s">
        <v>4537</v>
      </c>
      <c r="C3761" t="s">
        <v>43</v>
      </c>
      <c r="D3761" t="s">
        <v>448</v>
      </c>
      <c r="E3761">
        <v>2</v>
      </c>
      <c r="F3761" t="s">
        <v>4536</v>
      </c>
      <c r="G3761">
        <v>2023</v>
      </c>
      <c r="H3761" t="s">
        <v>170</v>
      </c>
      <c r="I3761" t="s">
        <v>171</v>
      </c>
      <c r="J3761">
        <v>0</v>
      </c>
      <c r="K3761">
        <v>0</v>
      </c>
      <c r="L3761">
        <v>0</v>
      </c>
      <c r="M3761">
        <v>0</v>
      </c>
      <c r="N3761">
        <v>0</v>
      </c>
    </row>
    <row r="3762" spans="1:14" x14ac:dyDescent="0.2">
      <c r="A3762" t="s">
        <v>4539</v>
      </c>
      <c r="B3762" s="1" t="s">
        <v>4537</v>
      </c>
      <c r="C3762" t="s">
        <v>43</v>
      </c>
      <c r="D3762" t="s">
        <v>1186</v>
      </c>
      <c r="E3762">
        <v>2</v>
      </c>
      <c r="F3762" t="s">
        <v>4536</v>
      </c>
      <c r="G3762">
        <v>2023</v>
      </c>
      <c r="H3762" t="s">
        <v>193</v>
      </c>
      <c r="I3762" t="s">
        <v>62</v>
      </c>
      <c r="J3762">
        <v>0</v>
      </c>
      <c r="K3762">
        <v>0</v>
      </c>
      <c r="L3762">
        <v>0</v>
      </c>
      <c r="M3762">
        <v>0</v>
      </c>
      <c r="N3762">
        <v>0</v>
      </c>
    </row>
    <row r="3763" spans="1:14" x14ac:dyDescent="0.2">
      <c r="A3763" t="s">
        <v>4540</v>
      </c>
      <c r="B3763" s="1" t="s">
        <v>4534</v>
      </c>
      <c r="C3763" t="s">
        <v>14</v>
      </c>
      <c r="D3763" t="s">
        <v>1937</v>
      </c>
      <c r="E3763">
        <v>1</v>
      </c>
      <c r="F3763" t="s">
        <v>4536</v>
      </c>
      <c r="G3763">
        <v>2023</v>
      </c>
      <c r="H3763" t="s">
        <v>193</v>
      </c>
      <c r="I3763" t="s">
        <v>62</v>
      </c>
      <c r="J3763">
        <v>799</v>
      </c>
      <c r="K3763">
        <v>205</v>
      </c>
      <c r="L3763">
        <f t="shared" ref="L3763:L3768" si="864">J3763-K3763</f>
        <v>594</v>
      </c>
      <c r="M3763">
        <v>240</v>
      </c>
      <c r="N3763">
        <f t="shared" ref="N3763:N3768" si="865">L3763-M3763</f>
        <v>354</v>
      </c>
    </row>
    <row r="3764" spans="1:14" x14ac:dyDescent="0.2">
      <c r="A3764" t="s">
        <v>4540</v>
      </c>
      <c r="B3764" s="1" t="s">
        <v>4534</v>
      </c>
      <c r="C3764" t="s">
        <v>14</v>
      </c>
      <c r="D3764" t="s">
        <v>940</v>
      </c>
      <c r="E3764">
        <v>1</v>
      </c>
      <c r="F3764" t="s">
        <v>4536</v>
      </c>
      <c r="G3764">
        <v>2023</v>
      </c>
      <c r="H3764" t="s">
        <v>193</v>
      </c>
      <c r="I3764" t="s">
        <v>62</v>
      </c>
      <c r="J3764">
        <v>799</v>
      </c>
      <c r="K3764">
        <v>205</v>
      </c>
      <c r="L3764">
        <f t="shared" si="864"/>
        <v>594</v>
      </c>
      <c r="M3764">
        <v>240</v>
      </c>
      <c r="N3764">
        <f t="shared" si="865"/>
        <v>354</v>
      </c>
    </row>
    <row r="3765" spans="1:14" x14ac:dyDescent="0.2">
      <c r="A3765" t="s">
        <v>4541</v>
      </c>
      <c r="B3765" s="1" t="s">
        <v>4537</v>
      </c>
      <c r="C3765" t="s">
        <v>14</v>
      </c>
      <c r="D3765" t="s">
        <v>242</v>
      </c>
      <c r="E3765">
        <v>2</v>
      </c>
      <c r="F3765" t="s">
        <v>4536</v>
      </c>
      <c r="G3765">
        <v>2023</v>
      </c>
      <c r="H3765" t="s">
        <v>2849</v>
      </c>
      <c r="I3765" t="s">
        <v>212</v>
      </c>
      <c r="J3765">
        <v>899</v>
      </c>
      <c r="K3765">
        <v>295</v>
      </c>
      <c r="L3765">
        <f t="shared" si="864"/>
        <v>604</v>
      </c>
      <c r="M3765">
        <v>240</v>
      </c>
      <c r="N3765">
        <f t="shared" si="865"/>
        <v>364</v>
      </c>
    </row>
    <row r="3766" spans="1:14" x14ac:dyDescent="0.2">
      <c r="A3766" t="s">
        <v>4542</v>
      </c>
      <c r="B3766" s="1" t="s">
        <v>4534</v>
      </c>
      <c r="C3766" t="s">
        <v>14</v>
      </c>
      <c r="D3766" t="s">
        <v>1338</v>
      </c>
      <c r="E3766">
        <v>1</v>
      </c>
      <c r="F3766" t="s">
        <v>4536</v>
      </c>
      <c r="G3766">
        <v>2023</v>
      </c>
      <c r="H3766" t="s">
        <v>4543</v>
      </c>
      <c r="I3766" t="s">
        <v>85</v>
      </c>
      <c r="J3766">
        <v>799</v>
      </c>
      <c r="K3766">
        <v>205</v>
      </c>
      <c r="L3766">
        <f t="shared" si="864"/>
        <v>594</v>
      </c>
      <c r="M3766">
        <v>240</v>
      </c>
      <c r="N3766">
        <f t="shared" si="865"/>
        <v>354</v>
      </c>
    </row>
    <row r="3767" spans="1:14" x14ac:dyDescent="0.2">
      <c r="A3767" t="s">
        <v>4544</v>
      </c>
      <c r="B3767" s="1" t="s">
        <v>4537</v>
      </c>
      <c r="C3767" t="s">
        <v>14</v>
      </c>
      <c r="D3767" t="s">
        <v>901</v>
      </c>
      <c r="E3767">
        <v>2</v>
      </c>
      <c r="F3767" t="s">
        <v>4536</v>
      </c>
      <c r="G3767">
        <v>2023</v>
      </c>
      <c r="H3767" t="s">
        <v>3912</v>
      </c>
      <c r="I3767" t="s">
        <v>97</v>
      </c>
      <c r="J3767">
        <v>799</v>
      </c>
      <c r="K3767">
        <v>205</v>
      </c>
      <c r="L3767">
        <f t="shared" si="864"/>
        <v>594</v>
      </c>
      <c r="M3767">
        <v>240</v>
      </c>
      <c r="N3767">
        <f t="shared" si="865"/>
        <v>354</v>
      </c>
    </row>
    <row r="3768" spans="1:14" x14ac:dyDescent="0.2">
      <c r="A3768" t="s">
        <v>4545</v>
      </c>
      <c r="B3768" s="1" t="s">
        <v>4534</v>
      </c>
      <c r="C3768" t="s">
        <v>14</v>
      </c>
      <c r="D3768" t="s">
        <v>548</v>
      </c>
      <c r="E3768">
        <v>1</v>
      </c>
      <c r="F3768" t="s">
        <v>4536</v>
      </c>
      <c r="G3768">
        <v>2023</v>
      </c>
      <c r="H3768" t="s">
        <v>231</v>
      </c>
      <c r="I3768" t="s">
        <v>1742</v>
      </c>
      <c r="J3768">
        <v>899</v>
      </c>
      <c r="K3768">
        <v>295</v>
      </c>
      <c r="L3768">
        <f t="shared" si="864"/>
        <v>604</v>
      </c>
      <c r="M3768">
        <v>240</v>
      </c>
      <c r="N3768">
        <f t="shared" si="865"/>
        <v>364</v>
      </c>
    </row>
    <row r="3769" spans="1:14" x14ac:dyDescent="0.2">
      <c r="A3769" t="s">
        <v>4546</v>
      </c>
      <c r="B3769" s="1" t="s">
        <v>4537</v>
      </c>
      <c r="C3769" t="s">
        <v>43</v>
      </c>
      <c r="D3769" t="s">
        <v>242</v>
      </c>
      <c r="E3769">
        <v>2</v>
      </c>
      <c r="F3769" t="s">
        <v>4536</v>
      </c>
      <c r="G3769">
        <v>2023</v>
      </c>
      <c r="H3769" t="s">
        <v>2474</v>
      </c>
      <c r="I3769" t="s">
        <v>32</v>
      </c>
      <c r="J3769">
        <v>0</v>
      </c>
      <c r="K3769">
        <v>0</v>
      </c>
      <c r="L3769">
        <v>0</v>
      </c>
      <c r="M3769">
        <v>0</v>
      </c>
      <c r="N3769">
        <v>0</v>
      </c>
    </row>
    <row r="3770" spans="1:14" x14ac:dyDescent="0.2">
      <c r="A3770" t="s">
        <v>4545</v>
      </c>
      <c r="B3770" s="1" t="s">
        <v>4534</v>
      </c>
      <c r="C3770" t="s">
        <v>106</v>
      </c>
      <c r="D3770" t="s">
        <v>548</v>
      </c>
      <c r="E3770">
        <v>1</v>
      </c>
      <c r="F3770" t="s">
        <v>4536</v>
      </c>
      <c r="G3770">
        <v>2023</v>
      </c>
      <c r="H3770" t="s">
        <v>231</v>
      </c>
      <c r="I3770" t="s">
        <v>1742</v>
      </c>
      <c r="J3770">
        <v>-899</v>
      </c>
      <c r="K3770">
        <v>375</v>
      </c>
      <c r="L3770">
        <f>J3770+K3770</f>
        <v>-524</v>
      </c>
      <c r="M3770">
        <v>240</v>
      </c>
      <c r="N3770">
        <f>L3770+M3770</f>
        <v>-284</v>
      </c>
    </row>
    <row r="3771" spans="1:14" x14ac:dyDescent="0.2">
      <c r="A3771" t="s">
        <v>4547</v>
      </c>
      <c r="B3771" s="1" t="s">
        <v>4537</v>
      </c>
      <c r="C3771" t="s">
        <v>14</v>
      </c>
      <c r="D3771" t="s">
        <v>840</v>
      </c>
      <c r="E3771">
        <v>2</v>
      </c>
      <c r="F3771" t="s">
        <v>4536</v>
      </c>
      <c r="G3771">
        <v>2023</v>
      </c>
      <c r="H3771" t="s">
        <v>147</v>
      </c>
      <c r="I3771" t="s">
        <v>28</v>
      </c>
      <c r="J3771">
        <v>999</v>
      </c>
      <c r="K3771">
        <v>325</v>
      </c>
      <c r="L3771">
        <f t="shared" ref="L3771:L3779" si="866">J3771-K3771</f>
        <v>674</v>
      </c>
      <c r="M3771">
        <v>240</v>
      </c>
      <c r="N3771">
        <f t="shared" ref="N3771:N3779" si="867">L3771-M3771</f>
        <v>434</v>
      </c>
    </row>
    <row r="3772" spans="1:14" x14ac:dyDescent="0.2">
      <c r="A3772" t="s">
        <v>4549</v>
      </c>
      <c r="B3772" s="1" t="s">
        <v>4548</v>
      </c>
      <c r="C3772" t="s">
        <v>14</v>
      </c>
      <c r="D3772" t="s">
        <v>308</v>
      </c>
      <c r="E3772">
        <v>3</v>
      </c>
      <c r="F3772" t="s">
        <v>4536</v>
      </c>
      <c r="G3772">
        <v>2023</v>
      </c>
      <c r="H3772" t="s">
        <v>4550</v>
      </c>
      <c r="I3772" t="s">
        <v>58</v>
      </c>
      <c r="J3772">
        <v>899</v>
      </c>
      <c r="K3772">
        <v>295</v>
      </c>
      <c r="L3772">
        <f t="shared" si="866"/>
        <v>604</v>
      </c>
      <c r="M3772">
        <v>240</v>
      </c>
      <c r="N3772">
        <f t="shared" si="867"/>
        <v>364</v>
      </c>
    </row>
    <row r="3773" spans="1:14" x14ac:dyDescent="0.2">
      <c r="A3773" t="s">
        <v>4551</v>
      </c>
      <c r="B3773" s="1" t="s">
        <v>4537</v>
      </c>
      <c r="C3773" t="s">
        <v>14</v>
      </c>
      <c r="D3773" t="s">
        <v>448</v>
      </c>
      <c r="E3773">
        <v>2</v>
      </c>
      <c r="F3773" t="s">
        <v>4536</v>
      </c>
      <c r="G3773">
        <v>2023</v>
      </c>
      <c r="H3773" t="s">
        <v>162</v>
      </c>
      <c r="I3773" t="s">
        <v>163</v>
      </c>
      <c r="J3773">
        <v>899</v>
      </c>
      <c r="K3773">
        <v>295</v>
      </c>
      <c r="L3773">
        <f t="shared" si="866"/>
        <v>604</v>
      </c>
      <c r="M3773">
        <v>240</v>
      </c>
      <c r="N3773">
        <f t="shared" si="867"/>
        <v>364</v>
      </c>
    </row>
    <row r="3774" spans="1:14" x14ac:dyDescent="0.2">
      <c r="A3774" t="s">
        <v>4539</v>
      </c>
      <c r="B3774" s="1" t="s">
        <v>4537</v>
      </c>
      <c r="C3774" t="s">
        <v>14</v>
      </c>
      <c r="D3774" t="s">
        <v>1186</v>
      </c>
      <c r="E3774">
        <v>2</v>
      </c>
      <c r="F3774" t="s">
        <v>4536</v>
      </c>
      <c r="G3774">
        <v>2023</v>
      </c>
      <c r="H3774" t="s">
        <v>193</v>
      </c>
      <c r="I3774" t="s">
        <v>62</v>
      </c>
      <c r="J3774">
        <v>799</v>
      </c>
      <c r="K3774">
        <v>205</v>
      </c>
      <c r="L3774">
        <f t="shared" si="866"/>
        <v>594</v>
      </c>
      <c r="M3774">
        <v>240</v>
      </c>
      <c r="N3774">
        <f t="shared" si="867"/>
        <v>354</v>
      </c>
    </row>
    <row r="3775" spans="1:14" x14ac:dyDescent="0.2">
      <c r="A3775" t="s">
        <v>4552</v>
      </c>
      <c r="B3775" s="1" t="s">
        <v>4537</v>
      </c>
      <c r="C3775" t="s">
        <v>14</v>
      </c>
      <c r="D3775" t="s">
        <v>448</v>
      </c>
      <c r="E3775">
        <v>2</v>
      </c>
      <c r="F3775" t="s">
        <v>4536</v>
      </c>
      <c r="G3775">
        <v>2023</v>
      </c>
      <c r="H3775" t="s">
        <v>4553</v>
      </c>
      <c r="I3775" t="s">
        <v>212</v>
      </c>
      <c r="J3775">
        <v>899</v>
      </c>
      <c r="K3775">
        <v>295</v>
      </c>
      <c r="L3775">
        <f t="shared" si="866"/>
        <v>604</v>
      </c>
      <c r="M3775">
        <v>240</v>
      </c>
      <c r="N3775">
        <f t="shared" si="867"/>
        <v>364</v>
      </c>
    </row>
    <row r="3776" spans="1:14" x14ac:dyDescent="0.2">
      <c r="A3776" t="s">
        <v>4554</v>
      </c>
      <c r="B3776" s="1" t="s">
        <v>4537</v>
      </c>
      <c r="C3776" t="s">
        <v>14</v>
      </c>
      <c r="D3776" t="s">
        <v>822</v>
      </c>
      <c r="E3776">
        <v>2</v>
      </c>
      <c r="F3776" t="s">
        <v>4536</v>
      </c>
      <c r="G3776">
        <v>2023</v>
      </c>
      <c r="H3776" t="s">
        <v>4555</v>
      </c>
      <c r="I3776" t="s">
        <v>28</v>
      </c>
      <c r="J3776">
        <v>849</v>
      </c>
      <c r="K3776">
        <v>250</v>
      </c>
      <c r="L3776">
        <f t="shared" si="866"/>
        <v>599</v>
      </c>
      <c r="M3776">
        <v>240</v>
      </c>
      <c r="N3776">
        <f t="shared" si="867"/>
        <v>359</v>
      </c>
    </row>
    <row r="3777" spans="1:14" x14ac:dyDescent="0.2">
      <c r="A3777" t="s">
        <v>4538</v>
      </c>
      <c r="B3777" s="1" t="s">
        <v>4537</v>
      </c>
      <c r="C3777" t="s">
        <v>14</v>
      </c>
      <c r="D3777" t="s">
        <v>448</v>
      </c>
      <c r="E3777">
        <v>2</v>
      </c>
      <c r="F3777" t="s">
        <v>4536</v>
      </c>
      <c r="G3777">
        <v>2023</v>
      </c>
      <c r="H3777" t="s">
        <v>170</v>
      </c>
      <c r="I3777" t="s">
        <v>171</v>
      </c>
      <c r="J3777">
        <v>899</v>
      </c>
      <c r="K3777">
        <v>295</v>
      </c>
      <c r="L3777">
        <f t="shared" si="866"/>
        <v>604</v>
      </c>
      <c r="M3777">
        <v>240</v>
      </c>
      <c r="N3777">
        <f t="shared" si="867"/>
        <v>364</v>
      </c>
    </row>
    <row r="3778" spans="1:14" x14ac:dyDescent="0.2">
      <c r="A3778" t="s">
        <v>4556</v>
      </c>
      <c r="B3778" s="1" t="s">
        <v>4537</v>
      </c>
      <c r="C3778" t="s">
        <v>14</v>
      </c>
      <c r="D3778" t="s">
        <v>3378</v>
      </c>
      <c r="E3778">
        <v>2</v>
      </c>
      <c r="F3778" t="s">
        <v>4536</v>
      </c>
      <c r="G3778">
        <v>2023</v>
      </c>
      <c r="H3778" t="s">
        <v>157</v>
      </c>
      <c r="I3778" t="s">
        <v>97</v>
      </c>
      <c r="J3778">
        <v>799</v>
      </c>
      <c r="K3778">
        <v>205</v>
      </c>
      <c r="L3778">
        <f t="shared" si="866"/>
        <v>594</v>
      </c>
      <c r="M3778">
        <v>240</v>
      </c>
      <c r="N3778">
        <f t="shared" si="867"/>
        <v>354</v>
      </c>
    </row>
    <row r="3779" spans="1:14" x14ac:dyDescent="0.2">
      <c r="A3779" t="s">
        <v>4557</v>
      </c>
      <c r="B3779" s="1" t="s">
        <v>4537</v>
      </c>
      <c r="C3779" t="s">
        <v>14</v>
      </c>
      <c r="D3779" t="s">
        <v>448</v>
      </c>
      <c r="E3779">
        <v>2</v>
      </c>
      <c r="F3779" t="s">
        <v>4536</v>
      </c>
      <c r="G3779">
        <v>2023</v>
      </c>
      <c r="H3779" t="s">
        <v>170</v>
      </c>
      <c r="I3779" t="s">
        <v>171</v>
      </c>
      <c r="J3779">
        <v>899</v>
      </c>
      <c r="K3779">
        <v>295</v>
      </c>
      <c r="L3779">
        <f t="shared" si="866"/>
        <v>604</v>
      </c>
      <c r="M3779">
        <v>240</v>
      </c>
      <c r="N3779">
        <f t="shared" si="867"/>
        <v>364</v>
      </c>
    </row>
    <row r="3780" spans="1:14" x14ac:dyDescent="0.2">
      <c r="A3780" t="s">
        <v>4558</v>
      </c>
      <c r="B3780" s="1" t="s">
        <v>4537</v>
      </c>
      <c r="C3780" t="s">
        <v>20</v>
      </c>
      <c r="D3780" t="s">
        <v>4455</v>
      </c>
      <c r="E3780">
        <v>2</v>
      </c>
      <c r="F3780" t="s">
        <v>4536</v>
      </c>
      <c r="G3780">
        <v>2023</v>
      </c>
      <c r="H3780" t="s">
        <v>246</v>
      </c>
      <c r="I3780" t="s">
        <v>58</v>
      </c>
      <c r="J3780">
        <v>0</v>
      </c>
      <c r="K3780">
        <v>0</v>
      </c>
      <c r="L3780">
        <v>0</v>
      </c>
      <c r="M3780">
        <v>0</v>
      </c>
      <c r="N3780">
        <v>0</v>
      </c>
    </row>
    <row r="3781" spans="1:14" x14ac:dyDescent="0.2">
      <c r="A3781" t="s">
        <v>4560</v>
      </c>
      <c r="B3781" s="1" t="s">
        <v>4559</v>
      </c>
      <c r="C3781" t="s">
        <v>43</v>
      </c>
      <c r="D3781" t="s">
        <v>548</v>
      </c>
      <c r="E3781">
        <v>4</v>
      </c>
      <c r="F3781" t="s">
        <v>4536</v>
      </c>
      <c r="G3781">
        <v>2023</v>
      </c>
      <c r="H3781" t="s">
        <v>235</v>
      </c>
      <c r="I3781" t="s">
        <v>62</v>
      </c>
      <c r="J3781">
        <v>0</v>
      </c>
      <c r="K3781">
        <v>0</v>
      </c>
      <c r="L3781">
        <v>0</v>
      </c>
      <c r="M3781">
        <v>0</v>
      </c>
      <c r="N3781">
        <v>0</v>
      </c>
    </row>
    <row r="3782" spans="1:14" x14ac:dyDescent="0.2">
      <c r="A3782" t="s">
        <v>4561</v>
      </c>
      <c r="B3782" s="1" t="s">
        <v>4559</v>
      </c>
      <c r="C3782" t="s">
        <v>43</v>
      </c>
      <c r="D3782" t="s">
        <v>1937</v>
      </c>
      <c r="E3782">
        <v>4</v>
      </c>
      <c r="F3782" t="s">
        <v>4536</v>
      </c>
      <c r="G3782">
        <v>2023</v>
      </c>
      <c r="H3782" t="s">
        <v>2249</v>
      </c>
      <c r="I3782" t="s">
        <v>85</v>
      </c>
      <c r="J3782">
        <v>0</v>
      </c>
      <c r="K3782">
        <v>0</v>
      </c>
      <c r="L3782">
        <v>0</v>
      </c>
      <c r="M3782">
        <v>0</v>
      </c>
      <c r="N3782">
        <v>0</v>
      </c>
    </row>
    <row r="3783" spans="1:14" x14ac:dyDescent="0.2">
      <c r="A3783" t="s">
        <v>4562</v>
      </c>
      <c r="B3783" s="1" t="s">
        <v>4559</v>
      </c>
      <c r="C3783" t="s">
        <v>43</v>
      </c>
      <c r="D3783" t="s">
        <v>573</v>
      </c>
      <c r="E3783">
        <v>4</v>
      </c>
      <c r="F3783" t="s">
        <v>4536</v>
      </c>
      <c r="G3783">
        <v>2023</v>
      </c>
      <c r="H3783" t="s">
        <v>4563</v>
      </c>
      <c r="I3783" t="s">
        <v>212</v>
      </c>
      <c r="J3783">
        <v>0</v>
      </c>
      <c r="K3783">
        <v>0</v>
      </c>
      <c r="L3783">
        <v>0</v>
      </c>
      <c r="M3783">
        <v>0</v>
      </c>
      <c r="N3783">
        <v>0</v>
      </c>
    </row>
    <row r="3784" spans="1:14" x14ac:dyDescent="0.2">
      <c r="A3784" t="s">
        <v>4564</v>
      </c>
      <c r="B3784" s="1" t="s">
        <v>4548</v>
      </c>
      <c r="C3784" t="s">
        <v>14</v>
      </c>
      <c r="D3784" t="s">
        <v>242</v>
      </c>
      <c r="E3784">
        <v>3</v>
      </c>
      <c r="F3784" t="s">
        <v>4536</v>
      </c>
      <c r="G3784">
        <v>2023</v>
      </c>
      <c r="H3784" t="s">
        <v>4565</v>
      </c>
      <c r="I3784" t="s">
        <v>37</v>
      </c>
      <c r="J3784">
        <v>899</v>
      </c>
      <c r="K3784">
        <v>295</v>
      </c>
      <c r="L3784">
        <f t="shared" ref="L3784:L3787" si="868">J3784-K3784</f>
        <v>604</v>
      </c>
      <c r="M3784">
        <v>240</v>
      </c>
      <c r="N3784">
        <f t="shared" ref="N3784:N3787" si="869">L3784-M3784</f>
        <v>364</v>
      </c>
    </row>
    <row r="3785" spans="1:14" x14ac:dyDescent="0.2">
      <c r="A3785" t="s">
        <v>4566</v>
      </c>
      <c r="B3785" s="1" t="s">
        <v>4537</v>
      </c>
      <c r="C3785" t="s">
        <v>14</v>
      </c>
      <c r="D3785" t="s">
        <v>420</v>
      </c>
      <c r="E3785">
        <v>2</v>
      </c>
      <c r="F3785" t="s">
        <v>4536</v>
      </c>
      <c r="G3785">
        <v>2023</v>
      </c>
      <c r="H3785" t="s">
        <v>246</v>
      </c>
      <c r="I3785" t="s">
        <v>58</v>
      </c>
      <c r="J3785">
        <v>899</v>
      </c>
      <c r="K3785">
        <v>295</v>
      </c>
      <c r="L3785">
        <f t="shared" si="868"/>
        <v>604</v>
      </c>
      <c r="M3785">
        <v>240</v>
      </c>
      <c r="N3785">
        <f t="shared" si="869"/>
        <v>364</v>
      </c>
    </row>
    <row r="3786" spans="1:14" x14ac:dyDescent="0.2">
      <c r="A3786" t="s">
        <v>4567</v>
      </c>
      <c r="B3786" s="1" t="s">
        <v>4548</v>
      </c>
      <c r="C3786" t="s">
        <v>14</v>
      </c>
      <c r="D3786" t="s">
        <v>1354</v>
      </c>
      <c r="E3786">
        <v>3</v>
      </c>
      <c r="F3786" t="s">
        <v>4536</v>
      </c>
      <c r="G3786">
        <v>2023</v>
      </c>
      <c r="H3786" t="s">
        <v>4568</v>
      </c>
      <c r="I3786" t="s">
        <v>1742</v>
      </c>
      <c r="J3786">
        <v>799</v>
      </c>
      <c r="K3786">
        <v>205</v>
      </c>
      <c r="L3786">
        <f t="shared" si="868"/>
        <v>594</v>
      </c>
      <c r="M3786">
        <v>240</v>
      </c>
      <c r="N3786">
        <f t="shared" si="869"/>
        <v>354</v>
      </c>
    </row>
    <row r="3787" spans="1:14" x14ac:dyDescent="0.2">
      <c r="A3787" t="s">
        <v>4569</v>
      </c>
      <c r="B3787" s="1" t="s">
        <v>4548</v>
      </c>
      <c r="C3787" t="s">
        <v>14</v>
      </c>
      <c r="D3787" t="s">
        <v>445</v>
      </c>
      <c r="E3787">
        <v>3</v>
      </c>
      <c r="F3787" t="s">
        <v>4536</v>
      </c>
      <c r="G3787">
        <v>2023</v>
      </c>
      <c r="H3787" t="s">
        <v>866</v>
      </c>
      <c r="I3787" t="s">
        <v>866</v>
      </c>
      <c r="J3787">
        <v>899</v>
      </c>
      <c r="K3787">
        <v>295</v>
      </c>
      <c r="L3787">
        <f t="shared" si="868"/>
        <v>604</v>
      </c>
      <c r="M3787">
        <v>240</v>
      </c>
      <c r="N3787">
        <f t="shared" si="869"/>
        <v>364</v>
      </c>
    </row>
    <row r="3788" spans="1:14" x14ac:dyDescent="0.2">
      <c r="A3788" t="s">
        <v>4570</v>
      </c>
      <c r="B3788" s="1" t="s">
        <v>4548</v>
      </c>
      <c r="C3788" t="s">
        <v>20</v>
      </c>
      <c r="D3788" t="s">
        <v>4497</v>
      </c>
      <c r="E3788">
        <v>3</v>
      </c>
      <c r="F3788" t="s">
        <v>4536</v>
      </c>
      <c r="G3788">
        <v>2023</v>
      </c>
      <c r="H3788" t="s">
        <v>1807</v>
      </c>
      <c r="I3788" t="s">
        <v>160</v>
      </c>
      <c r="J3788">
        <v>0</v>
      </c>
      <c r="K3788">
        <v>0</v>
      </c>
      <c r="L3788">
        <v>0</v>
      </c>
      <c r="M3788">
        <v>0</v>
      </c>
      <c r="N3788">
        <v>0</v>
      </c>
    </row>
    <row r="3789" spans="1:14" x14ac:dyDescent="0.2">
      <c r="A3789" t="s">
        <v>4562</v>
      </c>
      <c r="B3789" s="1" t="s">
        <v>4559</v>
      </c>
      <c r="C3789" t="s">
        <v>14</v>
      </c>
      <c r="D3789" t="s">
        <v>573</v>
      </c>
      <c r="E3789">
        <v>4</v>
      </c>
      <c r="F3789" t="s">
        <v>4536</v>
      </c>
      <c r="G3789">
        <v>2023</v>
      </c>
      <c r="H3789" t="s">
        <v>4563</v>
      </c>
      <c r="I3789" t="s">
        <v>212</v>
      </c>
      <c r="J3789">
        <v>899</v>
      </c>
      <c r="K3789">
        <v>295</v>
      </c>
      <c r="L3789">
        <f t="shared" ref="L3789:L3799" si="870">J3789-K3789</f>
        <v>604</v>
      </c>
      <c r="M3789">
        <v>240</v>
      </c>
      <c r="N3789">
        <f t="shared" ref="N3789:N3799" si="871">L3789-M3789</f>
        <v>364</v>
      </c>
    </row>
    <row r="3790" spans="1:14" x14ac:dyDescent="0.2">
      <c r="A3790" t="s">
        <v>4572</v>
      </c>
      <c r="B3790" s="1" t="s">
        <v>4571</v>
      </c>
      <c r="C3790" t="s">
        <v>14</v>
      </c>
      <c r="D3790" t="s">
        <v>863</v>
      </c>
      <c r="E3790">
        <v>5</v>
      </c>
      <c r="F3790" t="s">
        <v>4536</v>
      </c>
      <c r="G3790">
        <v>2023</v>
      </c>
      <c r="H3790" t="s">
        <v>246</v>
      </c>
      <c r="I3790" t="s">
        <v>58</v>
      </c>
      <c r="J3790">
        <v>799</v>
      </c>
      <c r="K3790">
        <v>205</v>
      </c>
      <c r="L3790">
        <f t="shared" si="870"/>
        <v>594</v>
      </c>
      <c r="M3790">
        <v>240</v>
      </c>
      <c r="N3790">
        <f t="shared" si="871"/>
        <v>354</v>
      </c>
    </row>
    <row r="3791" spans="1:14" x14ac:dyDescent="0.2">
      <c r="A3791" t="s">
        <v>4573</v>
      </c>
      <c r="B3791" s="1" t="s">
        <v>4559</v>
      </c>
      <c r="C3791" t="s">
        <v>14</v>
      </c>
      <c r="D3791" t="s">
        <v>308</v>
      </c>
      <c r="E3791">
        <v>4</v>
      </c>
      <c r="F3791" t="s">
        <v>4536</v>
      </c>
      <c r="G3791">
        <v>2023</v>
      </c>
      <c r="H3791" t="s">
        <v>4574</v>
      </c>
      <c r="I3791" t="s">
        <v>122</v>
      </c>
      <c r="J3791">
        <v>899</v>
      </c>
      <c r="K3791">
        <v>295</v>
      </c>
      <c r="L3791">
        <f t="shared" si="870"/>
        <v>604</v>
      </c>
      <c r="M3791">
        <v>240</v>
      </c>
      <c r="N3791">
        <f t="shared" si="871"/>
        <v>364</v>
      </c>
    </row>
    <row r="3792" spans="1:14" x14ac:dyDescent="0.2">
      <c r="A3792" t="s">
        <v>4575</v>
      </c>
      <c r="B3792" s="1" t="s">
        <v>4559</v>
      </c>
      <c r="C3792" t="s">
        <v>14</v>
      </c>
      <c r="D3792" t="s">
        <v>284</v>
      </c>
      <c r="E3792">
        <v>4</v>
      </c>
      <c r="F3792" t="s">
        <v>4536</v>
      </c>
      <c r="G3792">
        <v>2023</v>
      </c>
      <c r="H3792" t="s">
        <v>4576</v>
      </c>
      <c r="I3792" t="s">
        <v>97</v>
      </c>
      <c r="J3792">
        <v>899</v>
      </c>
      <c r="K3792">
        <v>295</v>
      </c>
      <c r="L3792">
        <f t="shared" si="870"/>
        <v>604</v>
      </c>
      <c r="M3792">
        <v>240</v>
      </c>
      <c r="N3792">
        <f t="shared" si="871"/>
        <v>364</v>
      </c>
    </row>
    <row r="3793" spans="1:14" x14ac:dyDescent="0.2">
      <c r="A3793" t="s">
        <v>4560</v>
      </c>
      <c r="B3793" s="1" t="s">
        <v>4559</v>
      </c>
      <c r="C3793" t="s">
        <v>14</v>
      </c>
      <c r="D3793" t="s">
        <v>548</v>
      </c>
      <c r="E3793">
        <v>4</v>
      </c>
      <c r="F3793" t="s">
        <v>4536</v>
      </c>
      <c r="G3793">
        <v>2023</v>
      </c>
      <c r="H3793" t="s">
        <v>235</v>
      </c>
      <c r="I3793" t="s">
        <v>62</v>
      </c>
      <c r="J3793">
        <v>899</v>
      </c>
      <c r="K3793">
        <v>295</v>
      </c>
      <c r="L3793">
        <f t="shared" si="870"/>
        <v>604</v>
      </c>
      <c r="M3793">
        <v>240</v>
      </c>
      <c r="N3793">
        <f t="shared" si="871"/>
        <v>364</v>
      </c>
    </row>
    <row r="3794" spans="1:14" x14ac:dyDescent="0.2">
      <c r="A3794" t="s">
        <v>4577</v>
      </c>
      <c r="B3794" s="1" t="s">
        <v>4559</v>
      </c>
      <c r="C3794" t="s">
        <v>14</v>
      </c>
      <c r="D3794" t="s">
        <v>2617</v>
      </c>
      <c r="E3794">
        <v>4</v>
      </c>
      <c r="F3794" t="s">
        <v>4536</v>
      </c>
      <c r="G3794">
        <v>2023</v>
      </c>
      <c r="H3794" t="s">
        <v>4578</v>
      </c>
      <c r="I3794" t="s">
        <v>37</v>
      </c>
      <c r="J3794">
        <v>999</v>
      </c>
      <c r="K3794">
        <v>325</v>
      </c>
      <c r="L3794">
        <f t="shared" si="870"/>
        <v>674</v>
      </c>
      <c r="M3794">
        <v>240</v>
      </c>
      <c r="N3794">
        <f t="shared" si="871"/>
        <v>434</v>
      </c>
    </row>
    <row r="3795" spans="1:14" x14ac:dyDescent="0.2">
      <c r="A3795" t="s">
        <v>4579</v>
      </c>
      <c r="B3795" s="1" t="s">
        <v>4559</v>
      </c>
      <c r="C3795" t="s">
        <v>14</v>
      </c>
      <c r="D3795" t="s">
        <v>1348</v>
      </c>
      <c r="E3795">
        <v>4</v>
      </c>
      <c r="F3795" t="s">
        <v>4536</v>
      </c>
      <c r="G3795">
        <v>2023</v>
      </c>
      <c r="H3795" t="s">
        <v>104</v>
      </c>
      <c r="I3795" t="s">
        <v>62</v>
      </c>
      <c r="J3795">
        <v>799</v>
      </c>
      <c r="K3795">
        <v>205</v>
      </c>
      <c r="L3795">
        <f t="shared" si="870"/>
        <v>594</v>
      </c>
      <c r="M3795">
        <v>240</v>
      </c>
      <c r="N3795">
        <f t="shared" si="871"/>
        <v>354</v>
      </c>
    </row>
    <row r="3796" spans="1:14" x14ac:dyDescent="0.2">
      <c r="A3796" t="s">
        <v>4561</v>
      </c>
      <c r="B3796" s="1" t="s">
        <v>4559</v>
      </c>
      <c r="C3796" t="s">
        <v>14</v>
      </c>
      <c r="D3796" t="s">
        <v>1937</v>
      </c>
      <c r="E3796">
        <v>4</v>
      </c>
      <c r="F3796" t="s">
        <v>4536</v>
      </c>
      <c r="G3796">
        <v>2023</v>
      </c>
      <c r="H3796" t="s">
        <v>2249</v>
      </c>
      <c r="I3796" t="s">
        <v>85</v>
      </c>
      <c r="J3796">
        <v>799</v>
      </c>
      <c r="K3796">
        <v>205</v>
      </c>
      <c r="L3796">
        <f t="shared" si="870"/>
        <v>594</v>
      </c>
      <c r="M3796">
        <v>240</v>
      </c>
      <c r="N3796">
        <f t="shared" si="871"/>
        <v>354</v>
      </c>
    </row>
    <row r="3797" spans="1:14" x14ac:dyDescent="0.2">
      <c r="A3797" t="s">
        <v>4580</v>
      </c>
      <c r="B3797" s="1" t="s">
        <v>4571</v>
      </c>
      <c r="C3797" t="s">
        <v>14</v>
      </c>
      <c r="D3797" t="s">
        <v>448</v>
      </c>
      <c r="E3797">
        <v>5</v>
      </c>
      <c r="F3797" t="s">
        <v>4536</v>
      </c>
      <c r="G3797">
        <v>2023</v>
      </c>
      <c r="H3797" t="s">
        <v>235</v>
      </c>
      <c r="I3797" t="s">
        <v>62</v>
      </c>
      <c r="J3797">
        <v>899</v>
      </c>
      <c r="K3797">
        <v>295</v>
      </c>
      <c r="L3797">
        <f t="shared" si="870"/>
        <v>604</v>
      </c>
      <c r="M3797">
        <v>240</v>
      </c>
      <c r="N3797">
        <f t="shared" si="871"/>
        <v>364</v>
      </c>
    </row>
    <row r="3798" spans="1:14" x14ac:dyDescent="0.2">
      <c r="A3798" t="s">
        <v>4581</v>
      </c>
      <c r="B3798" s="1" t="s">
        <v>4559</v>
      </c>
      <c r="C3798" t="s">
        <v>14</v>
      </c>
      <c r="D3798" t="s">
        <v>840</v>
      </c>
      <c r="E3798">
        <v>4</v>
      </c>
      <c r="F3798" t="s">
        <v>4536</v>
      </c>
      <c r="G3798">
        <v>2023</v>
      </c>
      <c r="H3798" t="s">
        <v>549</v>
      </c>
      <c r="I3798" t="s">
        <v>163</v>
      </c>
      <c r="J3798">
        <v>999</v>
      </c>
      <c r="K3798">
        <v>325</v>
      </c>
      <c r="L3798">
        <f t="shared" si="870"/>
        <v>674</v>
      </c>
      <c r="M3798">
        <v>240</v>
      </c>
      <c r="N3798">
        <f t="shared" si="871"/>
        <v>434</v>
      </c>
    </row>
    <row r="3799" spans="1:14" x14ac:dyDescent="0.2">
      <c r="A3799" t="s">
        <v>4581</v>
      </c>
      <c r="B3799" s="1" t="s">
        <v>4559</v>
      </c>
      <c r="C3799" t="s">
        <v>14</v>
      </c>
      <c r="D3799" t="s">
        <v>1338</v>
      </c>
      <c r="E3799">
        <v>4</v>
      </c>
      <c r="F3799" t="s">
        <v>4536</v>
      </c>
      <c r="G3799">
        <v>2023</v>
      </c>
      <c r="H3799" t="s">
        <v>549</v>
      </c>
      <c r="I3799" t="s">
        <v>163</v>
      </c>
      <c r="J3799">
        <v>799</v>
      </c>
      <c r="K3799">
        <v>205</v>
      </c>
      <c r="L3799">
        <f t="shared" si="870"/>
        <v>594</v>
      </c>
      <c r="M3799">
        <v>240</v>
      </c>
      <c r="N3799">
        <f t="shared" si="871"/>
        <v>354</v>
      </c>
    </row>
    <row r="3800" spans="1:14" x14ac:dyDescent="0.2">
      <c r="A3800" t="s">
        <v>4564</v>
      </c>
      <c r="B3800" s="1" t="s">
        <v>4548</v>
      </c>
      <c r="C3800" t="s">
        <v>106</v>
      </c>
      <c r="D3800" t="s">
        <v>242</v>
      </c>
      <c r="E3800">
        <v>3</v>
      </c>
      <c r="F3800" t="s">
        <v>4536</v>
      </c>
      <c r="G3800">
        <v>2023</v>
      </c>
      <c r="H3800" t="s">
        <v>4565</v>
      </c>
      <c r="I3800" t="s">
        <v>37</v>
      </c>
      <c r="J3800">
        <v>-899</v>
      </c>
      <c r="K3800">
        <v>375</v>
      </c>
      <c r="L3800">
        <f t="shared" ref="L3800:L3801" si="872">J3800+K3800</f>
        <v>-524</v>
      </c>
      <c r="M3800">
        <v>240</v>
      </c>
      <c r="N3800">
        <f t="shared" ref="N3800:N3801" si="873">L3800+M3800</f>
        <v>-284</v>
      </c>
    </row>
    <row r="3801" spans="1:14" x14ac:dyDescent="0.2">
      <c r="A3801" t="s">
        <v>4541</v>
      </c>
      <c r="B3801" s="1" t="s">
        <v>4537</v>
      </c>
      <c r="C3801" t="s">
        <v>106</v>
      </c>
      <c r="D3801" t="s">
        <v>242</v>
      </c>
      <c r="E3801">
        <v>2</v>
      </c>
      <c r="F3801" t="s">
        <v>4536</v>
      </c>
      <c r="G3801">
        <v>2023</v>
      </c>
      <c r="H3801" t="s">
        <v>2849</v>
      </c>
      <c r="I3801" t="s">
        <v>212</v>
      </c>
      <c r="J3801">
        <v>-899</v>
      </c>
      <c r="K3801">
        <v>375</v>
      </c>
      <c r="L3801">
        <f t="shared" si="872"/>
        <v>-524</v>
      </c>
      <c r="M3801">
        <v>240</v>
      </c>
      <c r="N3801">
        <f t="shared" si="873"/>
        <v>-284</v>
      </c>
    </row>
    <row r="3802" spans="1:14" x14ac:dyDescent="0.2">
      <c r="A3802" t="s">
        <v>4582</v>
      </c>
      <c r="B3802" s="1" t="s">
        <v>4571</v>
      </c>
      <c r="C3802" t="s">
        <v>14</v>
      </c>
      <c r="D3802" t="s">
        <v>242</v>
      </c>
      <c r="E3802">
        <v>5</v>
      </c>
      <c r="F3802" t="s">
        <v>4536</v>
      </c>
      <c r="G3802">
        <v>2023</v>
      </c>
      <c r="H3802" t="s">
        <v>235</v>
      </c>
      <c r="I3802" t="s">
        <v>62</v>
      </c>
      <c r="J3802">
        <v>899</v>
      </c>
      <c r="K3802">
        <v>295</v>
      </c>
      <c r="L3802">
        <f t="shared" ref="L3802:L3803" si="874">J3802-K3802</f>
        <v>604</v>
      </c>
      <c r="M3802">
        <v>240</v>
      </c>
      <c r="N3802">
        <f t="shared" ref="N3802:N3803" si="875">L3802-M3802</f>
        <v>364</v>
      </c>
    </row>
    <row r="3803" spans="1:14" x14ac:dyDescent="0.2">
      <c r="A3803" t="s">
        <v>4583</v>
      </c>
      <c r="B3803" s="1" t="s">
        <v>4571</v>
      </c>
      <c r="C3803" t="s">
        <v>14</v>
      </c>
      <c r="D3803" t="s">
        <v>1354</v>
      </c>
      <c r="E3803">
        <v>5</v>
      </c>
      <c r="F3803" t="s">
        <v>4536</v>
      </c>
      <c r="G3803">
        <v>2023</v>
      </c>
      <c r="H3803" t="s">
        <v>22</v>
      </c>
      <c r="I3803" t="s">
        <v>23</v>
      </c>
      <c r="J3803">
        <v>799</v>
      </c>
      <c r="K3803">
        <v>205</v>
      </c>
      <c r="L3803">
        <f t="shared" si="874"/>
        <v>594</v>
      </c>
      <c r="M3803">
        <v>240</v>
      </c>
      <c r="N3803">
        <f t="shared" si="875"/>
        <v>354</v>
      </c>
    </row>
    <row r="3804" spans="1:14" x14ac:dyDescent="0.2">
      <c r="A3804" t="s">
        <v>4567</v>
      </c>
      <c r="B3804" s="1" t="s">
        <v>4548</v>
      </c>
      <c r="C3804" t="s">
        <v>106</v>
      </c>
      <c r="D3804" t="s">
        <v>1354</v>
      </c>
      <c r="E3804">
        <v>3</v>
      </c>
      <c r="F3804" t="s">
        <v>4536</v>
      </c>
      <c r="G3804">
        <v>2023</v>
      </c>
      <c r="H3804" t="s">
        <v>4568</v>
      </c>
      <c r="I3804" t="s">
        <v>1742</v>
      </c>
      <c r="J3804">
        <v>-799</v>
      </c>
      <c r="K3804">
        <v>320</v>
      </c>
      <c r="L3804">
        <f t="shared" ref="L3804:L3810" si="876">J3804+K3804</f>
        <v>-479</v>
      </c>
      <c r="M3804">
        <v>240</v>
      </c>
      <c r="N3804">
        <f t="shared" ref="N3804:N3810" si="877">L3804+M3804</f>
        <v>-239</v>
      </c>
    </row>
    <row r="3805" spans="1:14" x14ac:dyDescent="0.2">
      <c r="A3805" t="s">
        <v>4547</v>
      </c>
      <c r="B3805" s="1" t="s">
        <v>4537</v>
      </c>
      <c r="C3805" t="s">
        <v>106</v>
      </c>
      <c r="D3805" t="s">
        <v>840</v>
      </c>
      <c r="E3805">
        <v>2</v>
      </c>
      <c r="F3805" t="s">
        <v>4536</v>
      </c>
      <c r="G3805">
        <v>2023</v>
      </c>
      <c r="H3805" t="s">
        <v>147</v>
      </c>
      <c r="I3805" t="s">
        <v>28</v>
      </c>
      <c r="J3805">
        <v>-999</v>
      </c>
      <c r="K3805">
        <v>395</v>
      </c>
      <c r="L3805">
        <f t="shared" si="876"/>
        <v>-604</v>
      </c>
      <c r="M3805">
        <v>240</v>
      </c>
      <c r="N3805">
        <f t="shared" si="877"/>
        <v>-364</v>
      </c>
    </row>
    <row r="3806" spans="1:14" x14ac:dyDescent="0.2">
      <c r="A3806" t="s">
        <v>4581</v>
      </c>
      <c r="B3806" s="1" t="s">
        <v>4559</v>
      </c>
      <c r="C3806" t="s">
        <v>106</v>
      </c>
      <c r="D3806" t="s">
        <v>1338</v>
      </c>
      <c r="E3806">
        <v>4</v>
      </c>
      <c r="F3806" t="s">
        <v>4536</v>
      </c>
      <c r="G3806">
        <v>2023</v>
      </c>
      <c r="H3806" t="s">
        <v>549</v>
      </c>
      <c r="I3806" t="s">
        <v>163</v>
      </c>
      <c r="J3806">
        <v>-799</v>
      </c>
      <c r="K3806">
        <v>320</v>
      </c>
      <c r="L3806">
        <f t="shared" si="876"/>
        <v>-479</v>
      </c>
      <c r="M3806">
        <v>240</v>
      </c>
      <c r="N3806">
        <f t="shared" si="877"/>
        <v>-239</v>
      </c>
    </row>
    <row r="3807" spans="1:14" x14ac:dyDescent="0.2">
      <c r="A3807" t="s">
        <v>4582</v>
      </c>
      <c r="B3807" s="1" t="s">
        <v>4571</v>
      </c>
      <c r="C3807" t="s">
        <v>106</v>
      </c>
      <c r="D3807" t="s">
        <v>242</v>
      </c>
      <c r="E3807">
        <v>5</v>
      </c>
      <c r="F3807" t="s">
        <v>4536</v>
      </c>
      <c r="G3807">
        <v>2023</v>
      </c>
      <c r="H3807" t="s">
        <v>235</v>
      </c>
      <c r="I3807" t="s">
        <v>62</v>
      </c>
      <c r="J3807">
        <v>-899</v>
      </c>
      <c r="K3807">
        <v>375</v>
      </c>
      <c r="L3807">
        <f t="shared" si="876"/>
        <v>-524</v>
      </c>
      <c r="M3807">
        <v>240</v>
      </c>
      <c r="N3807">
        <f t="shared" si="877"/>
        <v>-284</v>
      </c>
    </row>
    <row r="3808" spans="1:14" x14ac:dyDescent="0.2">
      <c r="A3808" t="s">
        <v>4540</v>
      </c>
      <c r="B3808" s="1" t="s">
        <v>4534</v>
      </c>
      <c r="C3808" t="s">
        <v>106</v>
      </c>
      <c r="D3808" t="s">
        <v>940</v>
      </c>
      <c r="E3808">
        <v>1</v>
      </c>
      <c r="F3808" t="s">
        <v>4536</v>
      </c>
      <c r="G3808">
        <v>2023</v>
      </c>
      <c r="H3808" t="s">
        <v>193</v>
      </c>
      <c r="I3808" t="s">
        <v>62</v>
      </c>
      <c r="J3808">
        <v>-799</v>
      </c>
      <c r="K3808">
        <v>320</v>
      </c>
      <c r="L3808">
        <f t="shared" si="876"/>
        <v>-479</v>
      </c>
      <c r="M3808">
        <v>240</v>
      </c>
      <c r="N3808">
        <f t="shared" si="877"/>
        <v>-239</v>
      </c>
    </row>
    <row r="3809" spans="1:14" x14ac:dyDescent="0.2">
      <c r="A3809" t="s">
        <v>4540</v>
      </c>
      <c r="B3809" s="1" t="s">
        <v>4534</v>
      </c>
      <c r="C3809" t="s">
        <v>106</v>
      </c>
      <c r="D3809" t="s">
        <v>1937</v>
      </c>
      <c r="E3809">
        <v>1</v>
      </c>
      <c r="F3809" t="s">
        <v>4536</v>
      </c>
      <c r="G3809">
        <v>2023</v>
      </c>
      <c r="H3809" t="s">
        <v>193</v>
      </c>
      <c r="I3809" t="s">
        <v>62</v>
      </c>
      <c r="J3809">
        <v>-799</v>
      </c>
      <c r="K3809">
        <v>320</v>
      </c>
      <c r="L3809">
        <f t="shared" si="876"/>
        <v>-479</v>
      </c>
      <c r="M3809">
        <v>240</v>
      </c>
      <c r="N3809">
        <f t="shared" si="877"/>
        <v>-239</v>
      </c>
    </row>
    <row r="3810" spans="1:14" x14ac:dyDescent="0.2">
      <c r="A3810" t="s">
        <v>4579</v>
      </c>
      <c r="B3810" s="1" t="s">
        <v>4559</v>
      </c>
      <c r="C3810" t="s">
        <v>106</v>
      </c>
      <c r="D3810" t="s">
        <v>1348</v>
      </c>
      <c r="E3810">
        <v>4</v>
      </c>
      <c r="F3810" t="s">
        <v>4536</v>
      </c>
      <c r="G3810">
        <v>2023</v>
      </c>
      <c r="H3810" t="s">
        <v>104</v>
      </c>
      <c r="I3810" t="s">
        <v>62</v>
      </c>
      <c r="J3810">
        <v>-799</v>
      </c>
      <c r="K3810">
        <v>320</v>
      </c>
      <c r="L3810">
        <f t="shared" si="876"/>
        <v>-479</v>
      </c>
      <c r="M3810">
        <v>240</v>
      </c>
      <c r="N3810">
        <f t="shared" si="877"/>
        <v>-239</v>
      </c>
    </row>
    <row r="3811" spans="1:14" x14ac:dyDescent="0.2">
      <c r="A3811" t="s">
        <v>4585</v>
      </c>
      <c r="B3811" s="1" t="s">
        <v>4584</v>
      </c>
      <c r="C3811" t="s">
        <v>14</v>
      </c>
      <c r="D3811" t="s">
        <v>1141</v>
      </c>
      <c r="E3811">
        <v>12</v>
      </c>
      <c r="F3811" t="s">
        <v>4536</v>
      </c>
      <c r="G3811">
        <v>2023</v>
      </c>
      <c r="H3811" t="s">
        <v>1048</v>
      </c>
      <c r="I3811" t="s">
        <v>28</v>
      </c>
      <c r="J3811">
        <v>799</v>
      </c>
      <c r="K3811">
        <v>205</v>
      </c>
      <c r="L3811">
        <f t="shared" ref="L3811:L3816" si="878">J3811-K3811</f>
        <v>594</v>
      </c>
      <c r="M3811">
        <v>240</v>
      </c>
      <c r="N3811">
        <f t="shared" ref="N3811:N3816" si="879">L3811-M3811</f>
        <v>354</v>
      </c>
    </row>
    <row r="3812" spans="1:14" x14ac:dyDescent="0.2">
      <c r="A3812" t="s">
        <v>4586</v>
      </c>
      <c r="B3812" s="1" t="s">
        <v>4584</v>
      </c>
      <c r="C3812" t="s">
        <v>14</v>
      </c>
      <c r="D3812" t="s">
        <v>840</v>
      </c>
      <c r="E3812">
        <v>12</v>
      </c>
      <c r="F3812" t="s">
        <v>4536</v>
      </c>
      <c r="G3812">
        <v>2023</v>
      </c>
      <c r="H3812" t="s">
        <v>4587</v>
      </c>
      <c r="I3812" t="s">
        <v>62</v>
      </c>
      <c r="J3812">
        <v>999</v>
      </c>
      <c r="K3812">
        <v>325</v>
      </c>
      <c r="L3812">
        <f t="shared" si="878"/>
        <v>674</v>
      </c>
      <c r="M3812">
        <v>240</v>
      </c>
      <c r="N3812">
        <f t="shared" si="879"/>
        <v>434</v>
      </c>
    </row>
    <row r="3813" spans="1:14" x14ac:dyDescent="0.2">
      <c r="A3813" t="s">
        <v>4588</v>
      </c>
      <c r="B3813" s="1" t="s">
        <v>4584</v>
      </c>
      <c r="C3813" t="s">
        <v>14</v>
      </c>
      <c r="D3813" t="s">
        <v>840</v>
      </c>
      <c r="E3813">
        <v>12</v>
      </c>
      <c r="F3813" t="s">
        <v>4536</v>
      </c>
      <c r="G3813">
        <v>2023</v>
      </c>
      <c r="H3813" t="s">
        <v>796</v>
      </c>
      <c r="I3813" t="s">
        <v>58</v>
      </c>
      <c r="J3813">
        <v>999</v>
      </c>
      <c r="K3813">
        <v>325</v>
      </c>
      <c r="L3813">
        <f t="shared" si="878"/>
        <v>674</v>
      </c>
      <c r="M3813">
        <v>240</v>
      </c>
      <c r="N3813">
        <f t="shared" si="879"/>
        <v>434</v>
      </c>
    </row>
    <row r="3814" spans="1:14" x14ac:dyDescent="0.2">
      <c r="A3814" t="s">
        <v>4589</v>
      </c>
      <c r="B3814" s="1" t="s">
        <v>4584</v>
      </c>
      <c r="C3814" t="s">
        <v>14</v>
      </c>
      <c r="D3814" t="s">
        <v>915</v>
      </c>
      <c r="E3814">
        <v>12</v>
      </c>
      <c r="F3814" t="s">
        <v>4536</v>
      </c>
      <c r="G3814">
        <v>2023</v>
      </c>
      <c r="H3814" t="s">
        <v>157</v>
      </c>
      <c r="I3814" t="s">
        <v>97</v>
      </c>
      <c r="J3814">
        <v>799</v>
      </c>
      <c r="K3814">
        <v>205</v>
      </c>
      <c r="L3814">
        <f t="shared" si="878"/>
        <v>594</v>
      </c>
      <c r="M3814">
        <v>240</v>
      </c>
      <c r="N3814">
        <f t="shared" si="879"/>
        <v>354</v>
      </c>
    </row>
    <row r="3815" spans="1:14" x14ac:dyDescent="0.2">
      <c r="A3815" t="s">
        <v>4590</v>
      </c>
      <c r="B3815" s="1" t="s">
        <v>4584</v>
      </c>
      <c r="C3815" t="s">
        <v>14</v>
      </c>
      <c r="D3815" t="s">
        <v>1010</v>
      </c>
      <c r="E3815">
        <v>12</v>
      </c>
      <c r="F3815" t="s">
        <v>4536</v>
      </c>
      <c r="G3815">
        <v>2023</v>
      </c>
      <c r="H3815" t="s">
        <v>745</v>
      </c>
      <c r="I3815" t="s">
        <v>62</v>
      </c>
      <c r="J3815">
        <v>799</v>
      </c>
      <c r="K3815">
        <v>205</v>
      </c>
      <c r="L3815">
        <f t="shared" si="878"/>
        <v>594</v>
      </c>
      <c r="M3815">
        <v>240</v>
      </c>
      <c r="N3815">
        <f t="shared" si="879"/>
        <v>354</v>
      </c>
    </row>
    <row r="3816" spans="1:14" x14ac:dyDescent="0.2">
      <c r="A3816" t="s">
        <v>4591</v>
      </c>
      <c r="B3816" s="1" t="s">
        <v>4584</v>
      </c>
      <c r="C3816" t="s">
        <v>14</v>
      </c>
      <c r="D3816" t="s">
        <v>420</v>
      </c>
      <c r="E3816">
        <v>12</v>
      </c>
      <c r="F3816" t="s">
        <v>4536</v>
      </c>
      <c r="G3816">
        <v>2023</v>
      </c>
      <c r="H3816" t="s">
        <v>866</v>
      </c>
      <c r="I3816" t="s">
        <v>866</v>
      </c>
      <c r="J3816">
        <v>899</v>
      </c>
      <c r="K3816">
        <v>295</v>
      </c>
      <c r="L3816">
        <f t="shared" si="878"/>
        <v>604</v>
      </c>
      <c r="M3816">
        <v>240</v>
      </c>
      <c r="N3816">
        <f t="shared" si="879"/>
        <v>364</v>
      </c>
    </row>
    <row r="3817" spans="1:14" x14ac:dyDescent="0.2">
      <c r="A3817" t="s">
        <v>4593</v>
      </c>
      <c r="B3817" s="1" t="s">
        <v>4592</v>
      </c>
      <c r="C3817" t="s">
        <v>43</v>
      </c>
      <c r="D3817" t="s">
        <v>977</v>
      </c>
      <c r="E3817">
        <v>13</v>
      </c>
      <c r="F3817" t="s">
        <v>4536</v>
      </c>
      <c r="G3817">
        <v>2023</v>
      </c>
      <c r="H3817" t="s">
        <v>1983</v>
      </c>
      <c r="I3817" t="s">
        <v>122</v>
      </c>
      <c r="J3817">
        <v>0</v>
      </c>
      <c r="K3817">
        <v>0</v>
      </c>
      <c r="L3817">
        <v>0</v>
      </c>
      <c r="M3817">
        <v>0</v>
      </c>
      <c r="N3817">
        <v>0</v>
      </c>
    </row>
    <row r="3818" spans="1:14" x14ac:dyDescent="0.2">
      <c r="A3818" t="s">
        <v>4577</v>
      </c>
      <c r="B3818" s="1" t="s">
        <v>4559</v>
      </c>
      <c r="C3818" t="s">
        <v>106</v>
      </c>
      <c r="D3818" t="s">
        <v>2617</v>
      </c>
      <c r="E3818">
        <v>4</v>
      </c>
      <c r="F3818" t="s">
        <v>4536</v>
      </c>
      <c r="G3818">
        <v>2023</v>
      </c>
      <c r="H3818" t="s">
        <v>4578</v>
      </c>
      <c r="I3818" t="s">
        <v>37</v>
      </c>
      <c r="J3818">
        <v>-999</v>
      </c>
      <c r="K3818">
        <v>395</v>
      </c>
      <c r="L3818">
        <f>J3818+K3818</f>
        <v>-604</v>
      </c>
      <c r="M3818">
        <v>240</v>
      </c>
      <c r="N3818">
        <f>L3818+M3818</f>
        <v>-364</v>
      </c>
    </row>
    <row r="3819" spans="1:14" x14ac:dyDescent="0.2">
      <c r="A3819" t="s">
        <v>4595</v>
      </c>
      <c r="B3819" s="1" t="s">
        <v>4594</v>
      </c>
      <c r="C3819" t="s">
        <v>14</v>
      </c>
      <c r="D3819" t="s">
        <v>1508</v>
      </c>
      <c r="E3819">
        <v>14</v>
      </c>
      <c r="F3819" t="s">
        <v>4536</v>
      </c>
      <c r="G3819">
        <v>2023</v>
      </c>
      <c r="H3819" t="s">
        <v>4201</v>
      </c>
      <c r="I3819" t="s">
        <v>62</v>
      </c>
      <c r="J3819">
        <v>999</v>
      </c>
      <c r="K3819">
        <v>325</v>
      </c>
      <c r="L3819">
        <f t="shared" ref="L3819:L3825" si="880">J3819-K3819</f>
        <v>674</v>
      </c>
      <c r="M3819">
        <v>240</v>
      </c>
      <c r="N3819">
        <f t="shared" ref="N3819:N3825" si="881">L3819-M3819</f>
        <v>434</v>
      </c>
    </row>
    <row r="3820" spans="1:14" x14ac:dyDescent="0.2">
      <c r="A3820" t="s">
        <v>4596</v>
      </c>
      <c r="B3820" s="1" t="s">
        <v>4594</v>
      </c>
      <c r="C3820" t="s">
        <v>14</v>
      </c>
      <c r="D3820" t="s">
        <v>809</v>
      </c>
      <c r="E3820">
        <v>14</v>
      </c>
      <c r="F3820" t="s">
        <v>4536</v>
      </c>
      <c r="G3820">
        <v>2023</v>
      </c>
      <c r="H3820" t="s">
        <v>246</v>
      </c>
      <c r="I3820" t="s">
        <v>58</v>
      </c>
      <c r="J3820">
        <v>999</v>
      </c>
      <c r="K3820">
        <v>325</v>
      </c>
      <c r="L3820">
        <f t="shared" si="880"/>
        <v>674</v>
      </c>
      <c r="M3820">
        <v>240</v>
      </c>
      <c r="N3820">
        <f t="shared" si="881"/>
        <v>434</v>
      </c>
    </row>
    <row r="3821" spans="1:14" x14ac:dyDescent="0.2">
      <c r="A3821" t="s">
        <v>4597</v>
      </c>
      <c r="B3821" s="1" t="s">
        <v>4594</v>
      </c>
      <c r="C3821" t="s">
        <v>14</v>
      </c>
      <c r="D3821" t="s">
        <v>1338</v>
      </c>
      <c r="E3821">
        <v>14</v>
      </c>
      <c r="F3821" t="s">
        <v>4536</v>
      </c>
      <c r="G3821">
        <v>2023</v>
      </c>
      <c r="H3821" t="s">
        <v>49</v>
      </c>
      <c r="I3821" t="s">
        <v>32</v>
      </c>
      <c r="J3821">
        <v>799</v>
      </c>
      <c r="K3821">
        <v>205</v>
      </c>
      <c r="L3821">
        <f t="shared" si="880"/>
        <v>594</v>
      </c>
      <c r="M3821">
        <v>240</v>
      </c>
      <c r="N3821">
        <f t="shared" si="881"/>
        <v>354</v>
      </c>
    </row>
    <row r="3822" spans="1:14" x14ac:dyDescent="0.2">
      <c r="A3822" t="s">
        <v>4598</v>
      </c>
      <c r="B3822" s="1" t="s">
        <v>4594</v>
      </c>
      <c r="C3822" t="s">
        <v>14</v>
      </c>
      <c r="D3822" t="s">
        <v>1076</v>
      </c>
      <c r="E3822">
        <v>14</v>
      </c>
      <c r="F3822" t="s">
        <v>4536</v>
      </c>
      <c r="G3822">
        <v>2023</v>
      </c>
      <c r="H3822" t="s">
        <v>4599</v>
      </c>
      <c r="I3822" t="s">
        <v>257</v>
      </c>
      <c r="J3822">
        <v>849</v>
      </c>
      <c r="K3822">
        <v>250</v>
      </c>
      <c r="L3822">
        <f t="shared" si="880"/>
        <v>599</v>
      </c>
      <c r="M3822">
        <v>240</v>
      </c>
      <c r="N3822">
        <f t="shared" si="881"/>
        <v>359</v>
      </c>
    </row>
    <row r="3823" spans="1:14" x14ac:dyDescent="0.2">
      <c r="A3823" t="s">
        <v>4600</v>
      </c>
      <c r="B3823" s="1" t="s">
        <v>4594</v>
      </c>
      <c r="C3823" t="s">
        <v>14</v>
      </c>
      <c r="D3823" t="s">
        <v>792</v>
      </c>
      <c r="E3823">
        <v>14</v>
      </c>
      <c r="F3823" t="s">
        <v>4536</v>
      </c>
      <c r="G3823">
        <v>2023</v>
      </c>
      <c r="H3823" t="s">
        <v>1230</v>
      </c>
      <c r="I3823" t="s">
        <v>28</v>
      </c>
      <c r="J3823">
        <v>849</v>
      </c>
      <c r="K3823">
        <v>250</v>
      </c>
      <c r="L3823">
        <f t="shared" si="880"/>
        <v>599</v>
      </c>
      <c r="M3823">
        <v>240</v>
      </c>
      <c r="N3823">
        <f t="shared" si="881"/>
        <v>359</v>
      </c>
    </row>
    <row r="3824" spans="1:14" x14ac:dyDescent="0.2">
      <c r="A3824" t="s">
        <v>4601</v>
      </c>
      <c r="B3824" s="1" t="s">
        <v>4594</v>
      </c>
      <c r="C3824" t="s">
        <v>14</v>
      </c>
      <c r="D3824" t="s">
        <v>1218</v>
      </c>
      <c r="E3824">
        <v>14</v>
      </c>
      <c r="F3824" t="s">
        <v>4536</v>
      </c>
      <c r="G3824">
        <v>2023</v>
      </c>
      <c r="H3824" t="s">
        <v>4602</v>
      </c>
      <c r="I3824" t="s">
        <v>58</v>
      </c>
      <c r="J3824">
        <v>799</v>
      </c>
      <c r="K3824">
        <v>205</v>
      </c>
      <c r="L3824">
        <f t="shared" si="880"/>
        <v>594</v>
      </c>
      <c r="M3824">
        <v>240</v>
      </c>
      <c r="N3824">
        <f t="shared" si="881"/>
        <v>354</v>
      </c>
    </row>
    <row r="3825" spans="1:14" x14ac:dyDescent="0.2">
      <c r="A3825" t="s">
        <v>4603</v>
      </c>
      <c r="B3825" s="1" t="s">
        <v>4594</v>
      </c>
      <c r="C3825" t="s">
        <v>14</v>
      </c>
      <c r="D3825" t="s">
        <v>895</v>
      </c>
      <c r="E3825">
        <v>14</v>
      </c>
      <c r="F3825" t="s">
        <v>4536</v>
      </c>
      <c r="G3825">
        <v>2023</v>
      </c>
      <c r="H3825" t="s">
        <v>796</v>
      </c>
      <c r="I3825" t="s">
        <v>58</v>
      </c>
      <c r="J3825">
        <v>849</v>
      </c>
      <c r="K3825">
        <v>250</v>
      </c>
      <c r="L3825">
        <f t="shared" si="880"/>
        <v>599</v>
      </c>
      <c r="M3825">
        <v>240</v>
      </c>
      <c r="N3825">
        <f t="shared" si="881"/>
        <v>359</v>
      </c>
    </row>
    <row r="3826" spans="1:14" x14ac:dyDescent="0.2">
      <c r="A3826" t="s">
        <v>4580</v>
      </c>
      <c r="B3826" s="1" t="s">
        <v>4571</v>
      </c>
      <c r="C3826" t="s">
        <v>106</v>
      </c>
      <c r="D3826" t="s">
        <v>448</v>
      </c>
      <c r="E3826">
        <v>5</v>
      </c>
      <c r="F3826" t="s">
        <v>4536</v>
      </c>
      <c r="G3826">
        <v>2023</v>
      </c>
      <c r="H3826" t="s">
        <v>235</v>
      </c>
      <c r="I3826" t="s">
        <v>62</v>
      </c>
      <c r="J3826">
        <v>-899</v>
      </c>
      <c r="K3826">
        <v>375</v>
      </c>
      <c r="L3826">
        <f>J3826+K3826</f>
        <v>-524</v>
      </c>
      <c r="M3826">
        <v>240</v>
      </c>
      <c r="N3826">
        <f>L3826+M3826</f>
        <v>-284</v>
      </c>
    </row>
    <row r="3827" spans="1:14" x14ac:dyDescent="0.2">
      <c r="A3827" t="s">
        <v>4605</v>
      </c>
      <c r="B3827" s="1" t="s">
        <v>4604</v>
      </c>
      <c r="C3827" t="s">
        <v>43</v>
      </c>
      <c r="D3827" t="s">
        <v>448</v>
      </c>
      <c r="E3827">
        <v>15</v>
      </c>
      <c r="F3827" t="s">
        <v>4536</v>
      </c>
      <c r="G3827">
        <v>2023</v>
      </c>
      <c r="H3827" t="s">
        <v>4606</v>
      </c>
      <c r="I3827" t="s">
        <v>163</v>
      </c>
      <c r="J3827">
        <v>0</v>
      </c>
      <c r="K3827">
        <v>0</v>
      </c>
      <c r="L3827">
        <v>0</v>
      </c>
      <c r="M3827">
        <v>0</v>
      </c>
      <c r="N3827">
        <v>0</v>
      </c>
    </row>
    <row r="3828" spans="1:14" x14ac:dyDescent="0.2">
      <c r="A3828" t="s">
        <v>4607</v>
      </c>
      <c r="B3828" s="1" t="s">
        <v>4604</v>
      </c>
      <c r="C3828" t="s">
        <v>43</v>
      </c>
      <c r="D3828" t="s">
        <v>989</v>
      </c>
      <c r="E3828">
        <v>15</v>
      </c>
      <c r="F3828" t="s">
        <v>4536</v>
      </c>
      <c r="G3828">
        <v>2023</v>
      </c>
      <c r="H3828" t="s">
        <v>157</v>
      </c>
      <c r="I3828" t="s">
        <v>97</v>
      </c>
      <c r="J3828">
        <v>0</v>
      </c>
      <c r="K3828">
        <v>0</v>
      </c>
      <c r="L3828">
        <v>0</v>
      </c>
      <c r="M3828">
        <v>0</v>
      </c>
      <c r="N3828">
        <v>0</v>
      </c>
    </row>
    <row r="3829" spans="1:14" x14ac:dyDescent="0.2">
      <c r="A3829" t="s">
        <v>4609</v>
      </c>
      <c r="B3829" s="1" t="s">
        <v>4608</v>
      </c>
      <c r="C3829" t="s">
        <v>43</v>
      </c>
      <c r="D3829" t="s">
        <v>284</v>
      </c>
      <c r="E3829">
        <v>16</v>
      </c>
      <c r="F3829" t="s">
        <v>4536</v>
      </c>
      <c r="G3829">
        <v>2023</v>
      </c>
      <c r="H3829" t="s">
        <v>4441</v>
      </c>
      <c r="I3829" t="s">
        <v>58</v>
      </c>
      <c r="J3829">
        <v>0</v>
      </c>
      <c r="K3829">
        <v>0</v>
      </c>
      <c r="L3829">
        <v>0</v>
      </c>
      <c r="M3829">
        <v>0</v>
      </c>
      <c r="N3829">
        <v>0</v>
      </c>
    </row>
    <row r="3830" spans="1:14" x14ac:dyDescent="0.2">
      <c r="A3830" t="s">
        <v>4610</v>
      </c>
      <c r="B3830" s="1" t="s">
        <v>4604</v>
      </c>
      <c r="C3830" t="s">
        <v>43</v>
      </c>
      <c r="D3830" t="s">
        <v>448</v>
      </c>
      <c r="E3830">
        <v>15</v>
      </c>
      <c r="F3830" t="s">
        <v>4536</v>
      </c>
      <c r="G3830">
        <v>2023</v>
      </c>
      <c r="H3830" t="s">
        <v>246</v>
      </c>
      <c r="I3830" t="s">
        <v>58</v>
      </c>
      <c r="J3830">
        <v>0</v>
      </c>
      <c r="K3830">
        <v>0</v>
      </c>
      <c r="L3830">
        <v>0</v>
      </c>
      <c r="M3830">
        <v>0</v>
      </c>
      <c r="N3830">
        <v>0</v>
      </c>
    </row>
    <row r="3831" spans="1:14" x14ac:dyDescent="0.2">
      <c r="A3831" t="s">
        <v>4611</v>
      </c>
      <c r="B3831" s="1" t="s">
        <v>4604</v>
      </c>
      <c r="C3831" t="s">
        <v>14</v>
      </c>
      <c r="D3831" t="s">
        <v>895</v>
      </c>
      <c r="E3831">
        <v>15</v>
      </c>
      <c r="F3831" t="s">
        <v>4536</v>
      </c>
      <c r="G3831">
        <v>2023</v>
      </c>
      <c r="H3831" t="s">
        <v>4612</v>
      </c>
      <c r="I3831" t="s">
        <v>28</v>
      </c>
      <c r="J3831">
        <v>849</v>
      </c>
      <c r="K3831">
        <v>250</v>
      </c>
      <c r="L3831">
        <f t="shared" ref="L3831:L3836" si="882">J3831-K3831</f>
        <v>599</v>
      </c>
      <c r="M3831">
        <v>240</v>
      </c>
      <c r="N3831">
        <f t="shared" ref="N3831:N3836" si="883">L3831-M3831</f>
        <v>359</v>
      </c>
    </row>
    <row r="3832" spans="1:14" x14ac:dyDescent="0.2">
      <c r="A3832" t="s">
        <v>4613</v>
      </c>
      <c r="B3832" s="1" t="s">
        <v>4604</v>
      </c>
      <c r="C3832" t="s">
        <v>14</v>
      </c>
      <c r="D3832" t="s">
        <v>548</v>
      </c>
      <c r="E3832">
        <v>15</v>
      </c>
      <c r="F3832" t="s">
        <v>4536</v>
      </c>
      <c r="G3832">
        <v>2023</v>
      </c>
      <c r="H3832" t="s">
        <v>413</v>
      </c>
      <c r="I3832" t="s">
        <v>122</v>
      </c>
      <c r="J3832">
        <v>899</v>
      </c>
      <c r="K3832">
        <v>295</v>
      </c>
      <c r="L3832">
        <f t="shared" si="882"/>
        <v>604</v>
      </c>
      <c r="M3832">
        <v>240</v>
      </c>
      <c r="N3832">
        <f t="shared" si="883"/>
        <v>364</v>
      </c>
    </row>
    <row r="3833" spans="1:14" x14ac:dyDescent="0.2">
      <c r="A3833" t="s">
        <v>4605</v>
      </c>
      <c r="B3833" s="1" t="s">
        <v>4604</v>
      </c>
      <c r="C3833" t="s">
        <v>14</v>
      </c>
      <c r="D3833" t="s">
        <v>448</v>
      </c>
      <c r="E3833">
        <v>15</v>
      </c>
      <c r="F3833" t="s">
        <v>4536</v>
      </c>
      <c r="G3833">
        <v>2023</v>
      </c>
      <c r="H3833" t="s">
        <v>4606</v>
      </c>
      <c r="I3833" t="s">
        <v>163</v>
      </c>
      <c r="J3833">
        <v>800</v>
      </c>
      <c r="K3833">
        <v>212</v>
      </c>
      <c r="L3833">
        <f t="shared" si="882"/>
        <v>588</v>
      </c>
      <c r="M3833">
        <v>240</v>
      </c>
      <c r="N3833">
        <f t="shared" si="883"/>
        <v>348</v>
      </c>
    </row>
    <row r="3834" spans="1:14" x14ac:dyDescent="0.2">
      <c r="A3834" t="s">
        <v>4614</v>
      </c>
      <c r="B3834" s="1" t="s">
        <v>4604</v>
      </c>
      <c r="C3834" t="s">
        <v>14</v>
      </c>
      <c r="D3834" t="s">
        <v>1076</v>
      </c>
      <c r="E3834">
        <v>15</v>
      </c>
      <c r="F3834" t="s">
        <v>4536</v>
      </c>
      <c r="G3834">
        <v>2023</v>
      </c>
      <c r="H3834" t="s">
        <v>4615</v>
      </c>
      <c r="I3834" t="s">
        <v>58</v>
      </c>
      <c r="J3834">
        <v>849</v>
      </c>
      <c r="K3834">
        <v>250</v>
      </c>
      <c r="L3834">
        <f t="shared" si="882"/>
        <v>599</v>
      </c>
      <c r="M3834">
        <v>240</v>
      </c>
      <c r="N3834">
        <f t="shared" si="883"/>
        <v>359</v>
      </c>
    </row>
    <row r="3835" spans="1:14" x14ac:dyDescent="0.2">
      <c r="A3835" t="s">
        <v>4616</v>
      </c>
      <c r="B3835" s="1" t="s">
        <v>4604</v>
      </c>
      <c r="C3835" t="s">
        <v>14</v>
      </c>
      <c r="D3835" t="s">
        <v>840</v>
      </c>
      <c r="E3835">
        <v>15</v>
      </c>
      <c r="F3835" t="s">
        <v>4536</v>
      </c>
      <c r="G3835">
        <v>2023</v>
      </c>
      <c r="H3835" t="s">
        <v>579</v>
      </c>
      <c r="I3835" t="s">
        <v>62</v>
      </c>
      <c r="J3835">
        <v>889</v>
      </c>
      <c r="K3835">
        <v>290</v>
      </c>
      <c r="L3835">
        <f t="shared" si="882"/>
        <v>599</v>
      </c>
      <c r="M3835">
        <v>240</v>
      </c>
      <c r="N3835">
        <f t="shared" si="883"/>
        <v>359</v>
      </c>
    </row>
    <row r="3836" spans="1:14" x14ac:dyDescent="0.2">
      <c r="A3836" t="s">
        <v>4617</v>
      </c>
      <c r="B3836" s="1" t="s">
        <v>4604</v>
      </c>
      <c r="C3836" t="s">
        <v>14</v>
      </c>
      <c r="D3836" t="s">
        <v>812</v>
      </c>
      <c r="E3836">
        <v>15</v>
      </c>
      <c r="F3836" t="s">
        <v>4536</v>
      </c>
      <c r="G3836">
        <v>2023</v>
      </c>
      <c r="H3836" t="s">
        <v>246</v>
      </c>
      <c r="I3836" t="s">
        <v>58</v>
      </c>
      <c r="J3836">
        <v>999</v>
      </c>
      <c r="K3836">
        <v>325</v>
      </c>
      <c r="L3836">
        <f t="shared" si="882"/>
        <v>674</v>
      </c>
      <c r="M3836">
        <v>240</v>
      </c>
      <c r="N3836">
        <f t="shared" si="883"/>
        <v>434</v>
      </c>
    </row>
    <row r="3837" spans="1:14" x14ac:dyDescent="0.2">
      <c r="A3837" t="s">
        <v>4542</v>
      </c>
      <c r="B3837" s="1" t="s">
        <v>4534</v>
      </c>
      <c r="C3837" t="s">
        <v>106</v>
      </c>
      <c r="D3837" t="s">
        <v>1338</v>
      </c>
      <c r="E3837">
        <v>1</v>
      </c>
      <c r="F3837" t="s">
        <v>4536</v>
      </c>
      <c r="G3837">
        <v>2023</v>
      </c>
      <c r="H3837" t="s">
        <v>4543</v>
      </c>
      <c r="I3837" t="s">
        <v>85</v>
      </c>
      <c r="J3837">
        <v>-799</v>
      </c>
      <c r="K3837">
        <v>320</v>
      </c>
      <c r="L3837">
        <f>J3837+K3837</f>
        <v>-479</v>
      </c>
      <c r="M3837">
        <v>240</v>
      </c>
      <c r="N3837">
        <f>L3837+M3837</f>
        <v>-239</v>
      </c>
    </row>
    <row r="3838" spans="1:14" x14ac:dyDescent="0.2">
      <c r="A3838" t="s">
        <v>4618</v>
      </c>
      <c r="B3838" s="1" t="s">
        <v>4608</v>
      </c>
      <c r="C3838" t="s">
        <v>43</v>
      </c>
      <c r="D3838" t="s">
        <v>1015</v>
      </c>
      <c r="E3838">
        <v>16</v>
      </c>
      <c r="F3838" t="s">
        <v>4536</v>
      </c>
      <c r="G3838">
        <v>2023</v>
      </c>
      <c r="H3838" t="s">
        <v>4619</v>
      </c>
      <c r="I3838" t="s">
        <v>62</v>
      </c>
      <c r="J3838">
        <v>0</v>
      </c>
      <c r="K3838">
        <v>0</v>
      </c>
      <c r="L3838">
        <v>0</v>
      </c>
      <c r="M3838">
        <v>0</v>
      </c>
      <c r="N3838">
        <v>0</v>
      </c>
    </row>
    <row r="3839" spans="1:14" x14ac:dyDescent="0.2">
      <c r="A3839" t="s">
        <v>4618</v>
      </c>
      <c r="B3839" s="1" t="s">
        <v>4608</v>
      </c>
      <c r="C3839" t="s">
        <v>43</v>
      </c>
      <c r="D3839" t="s">
        <v>893</v>
      </c>
      <c r="E3839">
        <v>16</v>
      </c>
      <c r="F3839" t="s">
        <v>4536</v>
      </c>
      <c r="G3839">
        <v>2023</v>
      </c>
      <c r="H3839" t="s">
        <v>4619</v>
      </c>
      <c r="I3839" t="s">
        <v>62</v>
      </c>
      <c r="J3839">
        <v>0</v>
      </c>
      <c r="K3839">
        <v>0</v>
      </c>
      <c r="L3839">
        <v>0</v>
      </c>
      <c r="M3839">
        <v>0</v>
      </c>
      <c r="N3839">
        <v>0</v>
      </c>
    </row>
    <row r="3840" spans="1:14" x14ac:dyDescent="0.2">
      <c r="A3840" t="s">
        <v>4620</v>
      </c>
      <c r="B3840" s="1" t="s">
        <v>4608</v>
      </c>
      <c r="C3840" t="s">
        <v>43</v>
      </c>
      <c r="D3840" t="s">
        <v>573</v>
      </c>
      <c r="E3840">
        <v>16</v>
      </c>
      <c r="F3840" t="s">
        <v>4536</v>
      </c>
      <c r="G3840">
        <v>2023</v>
      </c>
      <c r="H3840" t="s">
        <v>84</v>
      </c>
      <c r="I3840" t="s">
        <v>85</v>
      </c>
      <c r="J3840">
        <v>0</v>
      </c>
      <c r="K3840">
        <v>0</v>
      </c>
      <c r="L3840">
        <v>0</v>
      </c>
      <c r="M3840">
        <v>0</v>
      </c>
      <c r="N3840">
        <v>0</v>
      </c>
    </row>
    <row r="3841" spans="1:14" x14ac:dyDescent="0.2">
      <c r="A3841" t="s">
        <v>4621</v>
      </c>
      <c r="B3841" s="1" t="s">
        <v>4592</v>
      </c>
      <c r="C3841" t="s">
        <v>14</v>
      </c>
      <c r="D3841" t="s">
        <v>573</v>
      </c>
      <c r="E3841">
        <v>13</v>
      </c>
      <c r="F3841" t="s">
        <v>4536</v>
      </c>
      <c r="G3841">
        <v>2023</v>
      </c>
      <c r="H3841" t="s">
        <v>235</v>
      </c>
      <c r="I3841" t="s">
        <v>62</v>
      </c>
      <c r="J3841">
        <v>899</v>
      </c>
      <c r="K3841">
        <v>295</v>
      </c>
      <c r="L3841">
        <f t="shared" ref="L3841:L3850" si="884">J3841-K3841</f>
        <v>604</v>
      </c>
      <c r="M3841">
        <v>240</v>
      </c>
      <c r="N3841">
        <f t="shared" ref="N3841:N3850" si="885">L3841-M3841</f>
        <v>364</v>
      </c>
    </row>
    <row r="3842" spans="1:14" x14ac:dyDescent="0.2">
      <c r="A3842" t="s">
        <v>4622</v>
      </c>
      <c r="B3842" s="1" t="s">
        <v>4608</v>
      </c>
      <c r="C3842" t="s">
        <v>14</v>
      </c>
      <c r="D3842" t="s">
        <v>1015</v>
      </c>
      <c r="E3842">
        <v>16</v>
      </c>
      <c r="F3842" t="s">
        <v>4536</v>
      </c>
      <c r="G3842">
        <v>2023</v>
      </c>
      <c r="H3842" t="s">
        <v>104</v>
      </c>
      <c r="I3842" t="s">
        <v>62</v>
      </c>
      <c r="J3842">
        <v>756</v>
      </c>
      <c r="K3842">
        <v>201</v>
      </c>
      <c r="L3842">
        <f t="shared" si="884"/>
        <v>555</v>
      </c>
      <c r="M3842">
        <v>240</v>
      </c>
      <c r="N3842">
        <f t="shared" si="885"/>
        <v>315</v>
      </c>
    </row>
    <row r="3843" spans="1:14" x14ac:dyDescent="0.2">
      <c r="A3843" t="s">
        <v>4618</v>
      </c>
      <c r="B3843" s="1" t="s">
        <v>4608</v>
      </c>
      <c r="C3843" t="s">
        <v>14</v>
      </c>
      <c r="D3843" t="s">
        <v>893</v>
      </c>
      <c r="E3843">
        <v>16</v>
      </c>
      <c r="F3843" t="s">
        <v>4536</v>
      </c>
      <c r="G3843">
        <v>2023</v>
      </c>
      <c r="H3843" t="s">
        <v>4619</v>
      </c>
      <c r="I3843" t="s">
        <v>62</v>
      </c>
      <c r="J3843">
        <v>756</v>
      </c>
      <c r="K3843">
        <v>201</v>
      </c>
      <c r="L3843">
        <f t="shared" si="884"/>
        <v>555</v>
      </c>
      <c r="M3843">
        <v>240</v>
      </c>
      <c r="N3843">
        <f t="shared" si="885"/>
        <v>315</v>
      </c>
    </row>
    <row r="3844" spans="1:14" x14ac:dyDescent="0.2">
      <c r="A3844" t="s">
        <v>4618</v>
      </c>
      <c r="B3844" s="1" t="s">
        <v>4608</v>
      </c>
      <c r="C3844" t="s">
        <v>14</v>
      </c>
      <c r="D3844" t="s">
        <v>1015</v>
      </c>
      <c r="E3844">
        <v>16</v>
      </c>
      <c r="F3844" t="s">
        <v>4536</v>
      </c>
      <c r="G3844">
        <v>2023</v>
      </c>
      <c r="H3844" t="s">
        <v>4619</v>
      </c>
      <c r="I3844" t="s">
        <v>62</v>
      </c>
      <c r="J3844">
        <v>756</v>
      </c>
      <c r="K3844">
        <v>201</v>
      </c>
      <c r="L3844">
        <f t="shared" si="884"/>
        <v>555</v>
      </c>
      <c r="M3844">
        <v>240</v>
      </c>
      <c r="N3844">
        <f t="shared" si="885"/>
        <v>315</v>
      </c>
    </row>
    <row r="3845" spans="1:14" x14ac:dyDescent="0.2">
      <c r="A3845" t="s">
        <v>4623</v>
      </c>
      <c r="B3845" s="1" t="s">
        <v>4608</v>
      </c>
      <c r="C3845" t="s">
        <v>14</v>
      </c>
      <c r="D3845" t="s">
        <v>2906</v>
      </c>
      <c r="E3845">
        <v>16</v>
      </c>
      <c r="F3845" t="s">
        <v>4536</v>
      </c>
      <c r="G3845">
        <v>2023</v>
      </c>
      <c r="H3845" t="s">
        <v>4624</v>
      </c>
      <c r="I3845" t="s">
        <v>85</v>
      </c>
      <c r="J3845">
        <v>711</v>
      </c>
      <c r="K3845">
        <v>200</v>
      </c>
      <c r="L3845">
        <f t="shared" si="884"/>
        <v>511</v>
      </c>
      <c r="M3845">
        <v>240</v>
      </c>
      <c r="N3845">
        <f t="shared" si="885"/>
        <v>271</v>
      </c>
    </row>
    <row r="3846" spans="1:14" x14ac:dyDescent="0.2">
      <c r="A3846" t="s">
        <v>4625</v>
      </c>
      <c r="B3846" s="1" t="s">
        <v>4608</v>
      </c>
      <c r="C3846" t="s">
        <v>14</v>
      </c>
      <c r="D3846" t="s">
        <v>4626</v>
      </c>
      <c r="E3846">
        <v>16</v>
      </c>
      <c r="F3846" t="s">
        <v>4536</v>
      </c>
      <c r="G3846">
        <v>2023</v>
      </c>
      <c r="H3846" t="s">
        <v>4627</v>
      </c>
      <c r="I3846" t="s">
        <v>253</v>
      </c>
      <c r="J3846">
        <v>711</v>
      </c>
      <c r="K3846">
        <v>200</v>
      </c>
      <c r="L3846">
        <f t="shared" si="884"/>
        <v>511</v>
      </c>
      <c r="M3846">
        <v>240</v>
      </c>
      <c r="N3846">
        <f t="shared" si="885"/>
        <v>271</v>
      </c>
    </row>
    <row r="3847" spans="1:14" x14ac:dyDescent="0.2">
      <c r="A3847" t="s">
        <v>4628</v>
      </c>
      <c r="B3847" s="1" t="s">
        <v>4608</v>
      </c>
      <c r="C3847" t="s">
        <v>14</v>
      </c>
      <c r="D3847" t="s">
        <v>893</v>
      </c>
      <c r="E3847">
        <v>16</v>
      </c>
      <c r="F3847" t="s">
        <v>4536</v>
      </c>
      <c r="G3847">
        <v>2023</v>
      </c>
      <c r="H3847" t="s">
        <v>84</v>
      </c>
      <c r="I3847" t="s">
        <v>85</v>
      </c>
      <c r="J3847">
        <v>756</v>
      </c>
      <c r="K3847">
        <v>201</v>
      </c>
      <c r="L3847">
        <f t="shared" si="884"/>
        <v>555</v>
      </c>
      <c r="M3847">
        <v>240</v>
      </c>
      <c r="N3847">
        <f t="shared" si="885"/>
        <v>315</v>
      </c>
    </row>
    <row r="3848" spans="1:14" x14ac:dyDescent="0.2">
      <c r="A3848" t="s">
        <v>4620</v>
      </c>
      <c r="B3848" s="1" t="s">
        <v>4608</v>
      </c>
      <c r="C3848" t="s">
        <v>14</v>
      </c>
      <c r="D3848" t="s">
        <v>573</v>
      </c>
      <c r="E3848">
        <v>16</v>
      </c>
      <c r="F3848" t="s">
        <v>4536</v>
      </c>
      <c r="G3848">
        <v>2023</v>
      </c>
      <c r="H3848" t="s">
        <v>84</v>
      </c>
      <c r="I3848" t="s">
        <v>85</v>
      </c>
      <c r="J3848">
        <v>800</v>
      </c>
      <c r="K3848">
        <v>212</v>
      </c>
      <c r="L3848">
        <f t="shared" si="884"/>
        <v>588</v>
      </c>
      <c r="M3848">
        <v>240</v>
      </c>
      <c r="N3848">
        <f t="shared" si="885"/>
        <v>348</v>
      </c>
    </row>
    <row r="3849" spans="1:14" x14ac:dyDescent="0.2">
      <c r="A3849" t="s">
        <v>4629</v>
      </c>
      <c r="B3849" s="1" t="s">
        <v>4608</v>
      </c>
      <c r="C3849" t="s">
        <v>14</v>
      </c>
      <c r="D3849" t="s">
        <v>448</v>
      </c>
      <c r="E3849">
        <v>16</v>
      </c>
      <c r="F3849" t="s">
        <v>4536</v>
      </c>
      <c r="G3849">
        <v>2023</v>
      </c>
      <c r="H3849" t="s">
        <v>2852</v>
      </c>
      <c r="I3849" t="s">
        <v>253</v>
      </c>
      <c r="J3849">
        <v>800</v>
      </c>
      <c r="K3849">
        <v>212</v>
      </c>
      <c r="L3849">
        <f t="shared" si="884"/>
        <v>588</v>
      </c>
      <c r="M3849">
        <v>240</v>
      </c>
      <c r="N3849">
        <f t="shared" si="885"/>
        <v>348</v>
      </c>
    </row>
    <row r="3850" spans="1:14" x14ac:dyDescent="0.2">
      <c r="A3850" t="s">
        <v>4630</v>
      </c>
      <c r="B3850" s="1" t="s">
        <v>4608</v>
      </c>
      <c r="C3850" t="s">
        <v>14</v>
      </c>
      <c r="D3850" t="s">
        <v>490</v>
      </c>
      <c r="E3850">
        <v>16</v>
      </c>
      <c r="F3850" t="s">
        <v>4536</v>
      </c>
      <c r="G3850">
        <v>2023</v>
      </c>
      <c r="H3850" t="s">
        <v>2029</v>
      </c>
      <c r="I3850" t="s">
        <v>23</v>
      </c>
      <c r="J3850">
        <v>800</v>
      </c>
      <c r="K3850">
        <v>212</v>
      </c>
      <c r="L3850">
        <f t="shared" si="884"/>
        <v>588</v>
      </c>
      <c r="M3850">
        <v>240</v>
      </c>
      <c r="N3850">
        <f t="shared" si="885"/>
        <v>348</v>
      </c>
    </row>
    <row r="3851" spans="1:14" x14ac:dyDescent="0.2">
      <c r="A3851" t="s">
        <v>4632</v>
      </c>
      <c r="B3851" s="1" t="s">
        <v>4631</v>
      </c>
      <c r="C3851" t="s">
        <v>43</v>
      </c>
      <c r="D3851" t="s">
        <v>844</v>
      </c>
      <c r="E3851">
        <v>17</v>
      </c>
      <c r="F3851" t="s">
        <v>4536</v>
      </c>
      <c r="G3851">
        <v>2023</v>
      </c>
      <c r="H3851" t="s">
        <v>246</v>
      </c>
      <c r="I3851" t="s">
        <v>58</v>
      </c>
      <c r="J3851">
        <v>0</v>
      </c>
      <c r="K3851">
        <v>0</v>
      </c>
      <c r="L3851">
        <v>0</v>
      </c>
      <c r="M3851">
        <v>0</v>
      </c>
      <c r="N3851">
        <v>0</v>
      </c>
    </row>
    <row r="3852" spans="1:14" x14ac:dyDescent="0.2">
      <c r="A3852" t="s">
        <v>4633</v>
      </c>
      <c r="B3852" s="1" t="s">
        <v>4631</v>
      </c>
      <c r="C3852" t="s">
        <v>43</v>
      </c>
      <c r="D3852" t="s">
        <v>448</v>
      </c>
      <c r="E3852">
        <v>17</v>
      </c>
      <c r="F3852" t="s">
        <v>4536</v>
      </c>
      <c r="G3852">
        <v>2023</v>
      </c>
      <c r="H3852" t="s">
        <v>4634</v>
      </c>
      <c r="I3852" t="s">
        <v>62</v>
      </c>
      <c r="J3852">
        <v>0</v>
      </c>
      <c r="K3852">
        <v>0</v>
      </c>
      <c r="L3852">
        <v>0</v>
      </c>
      <c r="M3852">
        <v>0</v>
      </c>
      <c r="N3852">
        <v>0</v>
      </c>
    </row>
    <row r="3853" spans="1:14" x14ac:dyDescent="0.2">
      <c r="A3853" t="s">
        <v>4635</v>
      </c>
      <c r="B3853" s="1" t="s">
        <v>4631</v>
      </c>
      <c r="C3853" t="s">
        <v>14</v>
      </c>
      <c r="D3853" t="s">
        <v>1560</v>
      </c>
      <c r="E3853">
        <v>17</v>
      </c>
      <c r="F3853" t="s">
        <v>4536</v>
      </c>
      <c r="G3853">
        <v>2023</v>
      </c>
      <c r="H3853" t="s">
        <v>874</v>
      </c>
      <c r="I3853" t="s">
        <v>253</v>
      </c>
      <c r="J3853">
        <v>711</v>
      </c>
      <c r="K3853">
        <v>200</v>
      </c>
      <c r="L3853">
        <f t="shared" ref="L3853:L3874" si="886">J3853-K3853</f>
        <v>511</v>
      </c>
      <c r="M3853">
        <v>240</v>
      </c>
      <c r="N3853">
        <f t="shared" ref="N3853:N3874" si="887">L3853-M3853</f>
        <v>271</v>
      </c>
    </row>
    <row r="3854" spans="1:14" x14ac:dyDescent="0.2">
      <c r="A3854" t="s">
        <v>4632</v>
      </c>
      <c r="B3854" s="1" t="s">
        <v>4631</v>
      </c>
      <c r="C3854" t="s">
        <v>14</v>
      </c>
      <c r="D3854" t="s">
        <v>844</v>
      </c>
      <c r="E3854">
        <v>17</v>
      </c>
      <c r="F3854" t="s">
        <v>4536</v>
      </c>
      <c r="G3854">
        <v>2023</v>
      </c>
      <c r="H3854" t="s">
        <v>246</v>
      </c>
      <c r="I3854" t="s">
        <v>58</v>
      </c>
      <c r="J3854">
        <v>711</v>
      </c>
      <c r="K3854">
        <v>200</v>
      </c>
      <c r="L3854">
        <f t="shared" si="886"/>
        <v>511</v>
      </c>
      <c r="M3854">
        <v>240</v>
      </c>
      <c r="N3854">
        <f t="shared" si="887"/>
        <v>271</v>
      </c>
    </row>
    <row r="3855" spans="1:14" x14ac:dyDescent="0.2">
      <c r="A3855" t="s">
        <v>4636</v>
      </c>
      <c r="B3855" s="1" t="s">
        <v>4631</v>
      </c>
      <c r="C3855" t="s">
        <v>14</v>
      </c>
      <c r="D3855" t="s">
        <v>448</v>
      </c>
      <c r="E3855">
        <v>17</v>
      </c>
      <c r="F3855" t="s">
        <v>4536</v>
      </c>
      <c r="G3855">
        <v>2023</v>
      </c>
      <c r="H3855" t="s">
        <v>807</v>
      </c>
      <c r="I3855" t="s">
        <v>28</v>
      </c>
      <c r="J3855">
        <v>800</v>
      </c>
      <c r="K3855">
        <v>212</v>
      </c>
      <c r="L3855">
        <f t="shared" si="886"/>
        <v>588</v>
      </c>
      <c r="M3855">
        <v>240</v>
      </c>
      <c r="N3855">
        <f t="shared" si="887"/>
        <v>348</v>
      </c>
    </row>
    <row r="3856" spans="1:14" x14ac:dyDescent="0.2">
      <c r="A3856" t="s">
        <v>4637</v>
      </c>
      <c r="B3856" s="1" t="s">
        <v>4631</v>
      </c>
      <c r="C3856" t="s">
        <v>14</v>
      </c>
      <c r="D3856" t="s">
        <v>490</v>
      </c>
      <c r="E3856">
        <v>17</v>
      </c>
      <c r="F3856" t="s">
        <v>4536</v>
      </c>
      <c r="G3856">
        <v>2023</v>
      </c>
      <c r="H3856" t="s">
        <v>170</v>
      </c>
      <c r="I3856" t="s">
        <v>171</v>
      </c>
      <c r="J3856">
        <v>800</v>
      </c>
      <c r="K3856">
        <v>212</v>
      </c>
      <c r="L3856">
        <f t="shared" si="886"/>
        <v>588</v>
      </c>
      <c r="M3856">
        <v>240</v>
      </c>
      <c r="N3856">
        <f t="shared" si="887"/>
        <v>348</v>
      </c>
    </row>
    <row r="3857" spans="1:14" x14ac:dyDescent="0.2">
      <c r="A3857" t="s">
        <v>4638</v>
      </c>
      <c r="B3857" s="1" t="s">
        <v>4631</v>
      </c>
      <c r="C3857" t="s">
        <v>14</v>
      </c>
      <c r="D3857" t="s">
        <v>242</v>
      </c>
      <c r="E3857">
        <v>17</v>
      </c>
      <c r="F3857" t="s">
        <v>4536</v>
      </c>
      <c r="G3857">
        <v>2023</v>
      </c>
      <c r="H3857" t="s">
        <v>4639</v>
      </c>
      <c r="I3857" t="s">
        <v>23</v>
      </c>
      <c r="J3857">
        <v>800</v>
      </c>
      <c r="K3857">
        <v>212</v>
      </c>
      <c r="L3857">
        <f t="shared" si="886"/>
        <v>588</v>
      </c>
      <c r="M3857">
        <v>240</v>
      </c>
      <c r="N3857">
        <f t="shared" si="887"/>
        <v>348</v>
      </c>
    </row>
    <row r="3858" spans="1:14" x14ac:dyDescent="0.2">
      <c r="A3858" t="s">
        <v>4640</v>
      </c>
      <c r="B3858" s="1" t="s">
        <v>4584</v>
      </c>
      <c r="C3858" t="s">
        <v>14</v>
      </c>
      <c r="D3858" t="s">
        <v>548</v>
      </c>
      <c r="E3858">
        <v>12</v>
      </c>
      <c r="F3858" t="s">
        <v>4536</v>
      </c>
      <c r="G3858">
        <v>2023</v>
      </c>
      <c r="H3858" t="s">
        <v>4641</v>
      </c>
      <c r="I3858" t="s">
        <v>502</v>
      </c>
      <c r="J3858">
        <v>899</v>
      </c>
      <c r="K3858">
        <v>295</v>
      </c>
      <c r="L3858">
        <f t="shared" si="886"/>
        <v>604</v>
      </c>
      <c r="M3858">
        <v>240</v>
      </c>
      <c r="N3858">
        <f t="shared" si="887"/>
        <v>364</v>
      </c>
    </row>
    <row r="3859" spans="1:14" x14ac:dyDescent="0.2">
      <c r="A3859" t="s">
        <v>4642</v>
      </c>
      <c r="B3859" s="1" t="s">
        <v>4631</v>
      </c>
      <c r="C3859" t="s">
        <v>14</v>
      </c>
      <c r="D3859" t="s">
        <v>1539</v>
      </c>
      <c r="E3859">
        <v>17</v>
      </c>
      <c r="F3859" t="s">
        <v>4536</v>
      </c>
      <c r="G3859">
        <v>2023</v>
      </c>
      <c r="H3859" t="s">
        <v>4643</v>
      </c>
      <c r="I3859" t="s">
        <v>62</v>
      </c>
      <c r="J3859">
        <v>711</v>
      </c>
      <c r="K3859">
        <v>200</v>
      </c>
      <c r="L3859">
        <f t="shared" si="886"/>
        <v>511</v>
      </c>
      <c r="M3859">
        <v>240</v>
      </c>
      <c r="N3859">
        <f t="shared" si="887"/>
        <v>271</v>
      </c>
    </row>
    <row r="3860" spans="1:14" x14ac:dyDescent="0.2">
      <c r="A3860" t="s">
        <v>4644</v>
      </c>
      <c r="B3860" s="1" t="s">
        <v>4631</v>
      </c>
      <c r="C3860" t="s">
        <v>14</v>
      </c>
      <c r="D3860" t="s">
        <v>308</v>
      </c>
      <c r="E3860">
        <v>17</v>
      </c>
      <c r="F3860" t="s">
        <v>4536</v>
      </c>
      <c r="G3860">
        <v>2023</v>
      </c>
      <c r="H3860" t="s">
        <v>246</v>
      </c>
      <c r="I3860" t="s">
        <v>58</v>
      </c>
      <c r="J3860">
        <v>800</v>
      </c>
      <c r="K3860">
        <v>212</v>
      </c>
      <c r="L3860">
        <f t="shared" si="886"/>
        <v>588</v>
      </c>
      <c r="M3860">
        <v>240</v>
      </c>
      <c r="N3860">
        <f t="shared" si="887"/>
        <v>348</v>
      </c>
    </row>
    <row r="3861" spans="1:14" x14ac:dyDescent="0.2">
      <c r="A3861" t="s">
        <v>4645</v>
      </c>
      <c r="B3861" s="1" t="s">
        <v>4631</v>
      </c>
      <c r="C3861" t="s">
        <v>14</v>
      </c>
      <c r="D3861" t="s">
        <v>4168</v>
      </c>
      <c r="E3861">
        <v>17</v>
      </c>
      <c r="F3861" t="s">
        <v>4536</v>
      </c>
      <c r="G3861">
        <v>2023</v>
      </c>
      <c r="H3861" t="s">
        <v>170</v>
      </c>
      <c r="I3861" t="s">
        <v>171</v>
      </c>
      <c r="J3861">
        <v>711</v>
      </c>
      <c r="K3861">
        <v>200</v>
      </c>
      <c r="L3861">
        <f t="shared" si="886"/>
        <v>511</v>
      </c>
      <c r="M3861">
        <v>240</v>
      </c>
      <c r="N3861">
        <f t="shared" si="887"/>
        <v>271</v>
      </c>
    </row>
    <row r="3862" spans="1:14" x14ac:dyDescent="0.2">
      <c r="A3862" t="s">
        <v>4633</v>
      </c>
      <c r="B3862" s="1" t="s">
        <v>4631</v>
      </c>
      <c r="C3862" t="s">
        <v>14</v>
      </c>
      <c r="D3862" t="s">
        <v>448</v>
      </c>
      <c r="E3862">
        <v>17</v>
      </c>
      <c r="F3862" t="s">
        <v>4536</v>
      </c>
      <c r="G3862">
        <v>2023</v>
      </c>
      <c r="H3862" t="s">
        <v>4634</v>
      </c>
      <c r="I3862" t="s">
        <v>62</v>
      </c>
      <c r="J3862">
        <v>800</v>
      </c>
      <c r="K3862">
        <v>212</v>
      </c>
      <c r="L3862">
        <f t="shared" si="886"/>
        <v>588</v>
      </c>
      <c r="M3862">
        <v>240</v>
      </c>
      <c r="N3862">
        <f t="shared" si="887"/>
        <v>348</v>
      </c>
    </row>
    <row r="3863" spans="1:14" x14ac:dyDescent="0.2">
      <c r="A3863" t="s">
        <v>4647</v>
      </c>
      <c r="B3863" s="1" t="s">
        <v>4646</v>
      </c>
      <c r="C3863" t="s">
        <v>14</v>
      </c>
      <c r="D3863" t="s">
        <v>893</v>
      </c>
      <c r="E3863">
        <v>19</v>
      </c>
      <c r="F3863" t="s">
        <v>4536</v>
      </c>
      <c r="G3863">
        <v>2023</v>
      </c>
      <c r="H3863" t="s">
        <v>4648</v>
      </c>
      <c r="I3863" t="s">
        <v>32</v>
      </c>
      <c r="J3863">
        <v>756</v>
      </c>
      <c r="K3863">
        <v>201</v>
      </c>
      <c r="L3863">
        <f t="shared" si="886"/>
        <v>555</v>
      </c>
      <c r="M3863">
        <v>240</v>
      </c>
      <c r="N3863">
        <f t="shared" si="887"/>
        <v>315</v>
      </c>
    </row>
    <row r="3864" spans="1:14" x14ac:dyDescent="0.2">
      <c r="A3864" t="s">
        <v>4649</v>
      </c>
      <c r="B3864" s="1" t="s">
        <v>4646</v>
      </c>
      <c r="C3864" t="s">
        <v>14</v>
      </c>
      <c r="D3864" t="s">
        <v>993</v>
      </c>
      <c r="E3864">
        <v>19</v>
      </c>
      <c r="F3864" t="s">
        <v>4536</v>
      </c>
      <c r="G3864">
        <v>2023</v>
      </c>
      <c r="H3864" t="s">
        <v>4650</v>
      </c>
      <c r="I3864" t="s">
        <v>455</v>
      </c>
      <c r="J3864">
        <v>711</v>
      </c>
      <c r="K3864">
        <v>200</v>
      </c>
      <c r="L3864">
        <f t="shared" si="886"/>
        <v>511</v>
      </c>
      <c r="M3864">
        <v>240</v>
      </c>
      <c r="N3864">
        <f t="shared" si="887"/>
        <v>271</v>
      </c>
    </row>
    <row r="3865" spans="1:14" x14ac:dyDescent="0.2">
      <c r="A3865" t="s">
        <v>4651</v>
      </c>
      <c r="B3865" s="1" t="s">
        <v>4646</v>
      </c>
      <c r="C3865" t="s">
        <v>14</v>
      </c>
      <c r="D3865" t="s">
        <v>2063</v>
      </c>
      <c r="E3865">
        <v>19</v>
      </c>
      <c r="F3865" t="s">
        <v>4536</v>
      </c>
      <c r="G3865">
        <v>2023</v>
      </c>
      <c r="H3865" t="s">
        <v>4652</v>
      </c>
      <c r="I3865" t="s">
        <v>28</v>
      </c>
      <c r="J3865">
        <v>711</v>
      </c>
      <c r="K3865">
        <v>200</v>
      </c>
      <c r="L3865">
        <f t="shared" si="886"/>
        <v>511</v>
      </c>
      <c r="M3865">
        <v>240</v>
      </c>
      <c r="N3865">
        <f t="shared" si="887"/>
        <v>271</v>
      </c>
    </row>
    <row r="3866" spans="1:14" x14ac:dyDescent="0.2">
      <c r="A3866" t="s">
        <v>4654</v>
      </c>
      <c r="B3866" s="1" t="s">
        <v>4653</v>
      </c>
      <c r="C3866" t="s">
        <v>14</v>
      </c>
      <c r="D3866" t="s">
        <v>904</v>
      </c>
      <c r="E3866">
        <v>18</v>
      </c>
      <c r="F3866" t="s">
        <v>4536</v>
      </c>
      <c r="G3866">
        <v>2023</v>
      </c>
      <c r="H3866" t="s">
        <v>4655</v>
      </c>
      <c r="I3866" t="s">
        <v>85</v>
      </c>
      <c r="J3866">
        <v>711</v>
      </c>
      <c r="K3866">
        <v>200</v>
      </c>
      <c r="L3866">
        <f t="shared" si="886"/>
        <v>511</v>
      </c>
      <c r="M3866">
        <v>240</v>
      </c>
      <c r="N3866">
        <f t="shared" si="887"/>
        <v>271</v>
      </c>
    </row>
    <row r="3867" spans="1:14" x14ac:dyDescent="0.2">
      <c r="A3867" t="s">
        <v>4656</v>
      </c>
      <c r="B3867" s="1" t="s">
        <v>4653</v>
      </c>
      <c r="C3867" t="s">
        <v>14</v>
      </c>
      <c r="D3867" t="s">
        <v>448</v>
      </c>
      <c r="E3867">
        <v>18</v>
      </c>
      <c r="F3867" t="s">
        <v>4536</v>
      </c>
      <c r="G3867">
        <v>2023</v>
      </c>
      <c r="H3867" t="s">
        <v>4657</v>
      </c>
      <c r="I3867" t="s">
        <v>37</v>
      </c>
      <c r="J3867">
        <v>800</v>
      </c>
      <c r="K3867">
        <v>212</v>
      </c>
      <c r="L3867">
        <f t="shared" si="886"/>
        <v>588</v>
      </c>
      <c r="M3867">
        <v>240</v>
      </c>
      <c r="N3867">
        <f t="shared" si="887"/>
        <v>348</v>
      </c>
    </row>
    <row r="3868" spans="1:14" x14ac:dyDescent="0.2">
      <c r="A3868" t="s">
        <v>4658</v>
      </c>
      <c r="B3868" s="1" t="s">
        <v>4646</v>
      </c>
      <c r="C3868" t="s">
        <v>14</v>
      </c>
      <c r="D3868" t="s">
        <v>2785</v>
      </c>
      <c r="E3868">
        <v>19</v>
      </c>
      <c r="F3868" t="s">
        <v>4536</v>
      </c>
      <c r="G3868">
        <v>2023</v>
      </c>
      <c r="H3868" t="s">
        <v>612</v>
      </c>
      <c r="I3868" t="s">
        <v>58</v>
      </c>
      <c r="J3868">
        <v>756</v>
      </c>
      <c r="K3868">
        <v>201</v>
      </c>
      <c r="L3868">
        <f t="shared" si="886"/>
        <v>555</v>
      </c>
      <c r="M3868">
        <v>240</v>
      </c>
      <c r="N3868">
        <f t="shared" si="887"/>
        <v>315</v>
      </c>
    </row>
    <row r="3869" spans="1:14" x14ac:dyDescent="0.2">
      <c r="A3869" t="s">
        <v>4659</v>
      </c>
      <c r="B3869" s="1" t="s">
        <v>4646</v>
      </c>
      <c r="C3869" t="s">
        <v>14</v>
      </c>
      <c r="D3869" t="s">
        <v>1263</v>
      </c>
      <c r="E3869">
        <v>19</v>
      </c>
      <c r="F3869" t="s">
        <v>4536</v>
      </c>
      <c r="G3869">
        <v>2023</v>
      </c>
      <c r="H3869" t="s">
        <v>4660</v>
      </c>
      <c r="I3869" t="s">
        <v>97</v>
      </c>
      <c r="J3869">
        <v>756</v>
      </c>
      <c r="K3869">
        <v>201</v>
      </c>
      <c r="L3869">
        <f t="shared" si="886"/>
        <v>555</v>
      </c>
      <c r="M3869">
        <v>240</v>
      </c>
      <c r="N3869">
        <f t="shared" si="887"/>
        <v>315</v>
      </c>
    </row>
    <row r="3870" spans="1:14" x14ac:dyDescent="0.2">
      <c r="A3870" t="s">
        <v>4661</v>
      </c>
      <c r="B3870" s="1" t="s">
        <v>4653</v>
      </c>
      <c r="C3870" t="s">
        <v>14</v>
      </c>
      <c r="D3870" t="s">
        <v>445</v>
      </c>
      <c r="E3870">
        <v>18</v>
      </c>
      <c r="F3870" t="s">
        <v>4536</v>
      </c>
      <c r="G3870">
        <v>2023</v>
      </c>
      <c r="H3870" t="s">
        <v>567</v>
      </c>
      <c r="I3870" t="s">
        <v>23</v>
      </c>
      <c r="J3870">
        <v>800</v>
      </c>
      <c r="K3870">
        <v>212</v>
      </c>
      <c r="L3870">
        <f t="shared" si="886"/>
        <v>588</v>
      </c>
      <c r="M3870">
        <v>240</v>
      </c>
      <c r="N3870">
        <f t="shared" si="887"/>
        <v>348</v>
      </c>
    </row>
    <row r="3871" spans="1:14" x14ac:dyDescent="0.2">
      <c r="A3871" t="s">
        <v>4662</v>
      </c>
      <c r="B3871" s="1" t="s">
        <v>4646</v>
      </c>
      <c r="C3871" t="s">
        <v>14</v>
      </c>
      <c r="D3871" t="s">
        <v>4663</v>
      </c>
      <c r="E3871">
        <v>19</v>
      </c>
      <c r="F3871" t="s">
        <v>4536</v>
      </c>
      <c r="G3871">
        <v>2023</v>
      </c>
      <c r="H3871" t="s">
        <v>4664</v>
      </c>
      <c r="I3871" t="s">
        <v>19</v>
      </c>
      <c r="J3871">
        <v>711</v>
      </c>
      <c r="K3871">
        <v>200</v>
      </c>
      <c r="L3871">
        <f t="shared" si="886"/>
        <v>511</v>
      </c>
      <c r="M3871">
        <v>240</v>
      </c>
      <c r="N3871">
        <f t="shared" si="887"/>
        <v>271</v>
      </c>
    </row>
    <row r="3872" spans="1:14" x14ac:dyDescent="0.2">
      <c r="A3872" t="s">
        <v>4665</v>
      </c>
      <c r="B3872" s="1" t="s">
        <v>4646</v>
      </c>
      <c r="C3872" t="s">
        <v>14</v>
      </c>
      <c r="D3872" t="s">
        <v>1193</v>
      </c>
      <c r="E3872">
        <v>19</v>
      </c>
      <c r="F3872" t="s">
        <v>4536</v>
      </c>
      <c r="G3872">
        <v>2023</v>
      </c>
      <c r="H3872" t="s">
        <v>4666</v>
      </c>
      <c r="I3872" t="s">
        <v>2619</v>
      </c>
      <c r="J3872">
        <v>800</v>
      </c>
      <c r="K3872">
        <v>212</v>
      </c>
      <c r="L3872">
        <f t="shared" si="886"/>
        <v>588</v>
      </c>
      <c r="M3872">
        <v>240</v>
      </c>
      <c r="N3872">
        <f t="shared" si="887"/>
        <v>348</v>
      </c>
    </row>
    <row r="3873" spans="1:14" x14ac:dyDescent="0.2">
      <c r="A3873" t="s">
        <v>4667</v>
      </c>
      <c r="B3873" s="1" t="s">
        <v>4653</v>
      </c>
      <c r="C3873" t="s">
        <v>14</v>
      </c>
      <c r="D3873" t="s">
        <v>548</v>
      </c>
      <c r="E3873">
        <v>18</v>
      </c>
      <c r="F3873" t="s">
        <v>4536</v>
      </c>
      <c r="G3873">
        <v>2023</v>
      </c>
      <c r="H3873" t="s">
        <v>4668</v>
      </c>
      <c r="I3873" t="s">
        <v>1742</v>
      </c>
      <c r="J3873">
        <v>800</v>
      </c>
      <c r="K3873">
        <v>212</v>
      </c>
      <c r="L3873">
        <f t="shared" si="886"/>
        <v>588</v>
      </c>
      <c r="M3873">
        <v>240</v>
      </c>
      <c r="N3873">
        <f t="shared" si="887"/>
        <v>348</v>
      </c>
    </row>
    <row r="3874" spans="1:14" x14ac:dyDescent="0.2">
      <c r="A3874" t="s">
        <v>4669</v>
      </c>
      <c r="B3874" s="1" t="s">
        <v>4653</v>
      </c>
      <c r="C3874" t="s">
        <v>14</v>
      </c>
      <c r="D3874" t="s">
        <v>3953</v>
      </c>
      <c r="E3874">
        <v>18</v>
      </c>
      <c r="F3874" t="s">
        <v>4536</v>
      </c>
      <c r="G3874">
        <v>2023</v>
      </c>
      <c r="H3874" t="s">
        <v>84</v>
      </c>
      <c r="I3874" t="s">
        <v>85</v>
      </c>
      <c r="J3874">
        <v>756</v>
      </c>
      <c r="K3874">
        <v>201</v>
      </c>
      <c r="L3874">
        <f t="shared" si="886"/>
        <v>555</v>
      </c>
      <c r="M3874">
        <v>240</v>
      </c>
      <c r="N3874">
        <f t="shared" si="887"/>
        <v>315</v>
      </c>
    </row>
    <row r="3875" spans="1:14" x14ac:dyDescent="0.2">
      <c r="A3875" t="s">
        <v>4630</v>
      </c>
      <c r="B3875" s="1" t="s">
        <v>4608</v>
      </c>
      <c r="C3875" t="s">
        <v>106</v>
      </c>
      <c r="D3875" t="s">
        <v>490</v>
      </c>
      <c r="E3875">
        <v>16</v>
      </c>
      <c r="F3875" t="s">
        <v>4536</v>
      </c>
      <c r="G3875">
        <v>2023</v>
      </c>
      <c r="H3875" t="s">
        <v>2029</v>
      </c>
      <c r="I3875" t="s">
        <v>23</v>
      </c>
      <c r="J3875">
        <v>-800</v>
      </c>
      <c r="K3875">
        <v>345</v>
      </c>
      <c r="L3875">
        <f>J3875+K3875</f>
        <v>-455</v>
      </c>
      <c r="M3875">
        <v>240</v>
      </c>
      <c r="N3875">
        <f>L3875+M3875</f>
        <v>-215</v>
      </c>
    </row>
    <row r="3876" spans="1:14" x14ac:dyDescent="0.2">
      <c r="A3876" t="s">
        <v>4671</v>
      </c>
      <c r="B3876" s="1" t="s">
        <v>4670</v>
      </c>
      <c r="C3876" t="s">
        <v>43</v>
      </c>
      <c r="D3876" t="s">
        <v>242</v>
      </c>
      <c r="E3876">
        <v>20</v>
      </c>
      <c r="F3876" t="s">
        <v>4536</v>
      </c>
      <c r="G3876">
        <v>2023</v>
      </c>
      <c r="H3876" t="s">
        <v>929</v>
      </c>
      <c r="I3876" t="s">
        <v>144</v>
      </c>
      <c r="J3876">
        <v>0</v>
      </c>
      <c r="K3876">
        <v>0</v>
      </c>
      <c r="L3876">
        <v>0</v>
      </c>
      <c r="M3876">
        <v>0</v>
      </c>
      <c r="N3876">
        <v>0</v>
      </c>
    </row>
    <row r="3877" spans="1:14" x14ac:dyDescent="0.2">
      <c r="A3877" t="s">
        <v>4672</v>
      </c>
      <c r="B3877" s="1" t="s">
        <v>4646</v>
      </c>
      <c r="C3877" t="s">
        <v>14</v>
      </c>
      <c r="D3877" t="s">
        <v>840</v>
      </c>
      <c r="E3877">
        <v>19</v>
      </c>
      <c r="F3877" t="s">
        <v>4536</v>
      </c>
      <c r="G3877">
        <v>2023</v>
      </c>
      <c r="H3877" t="s">
        <v>260</v>
      </c>
      <c r="I3877" t="s">
        <v>28</v>
      </c>
      <c r="J3877">
        <v>1778</v>
      </c>
      <c r="K3877">
        <v>520</v>
      </c>
      <c r="L3877">
        <f t="shared" ref="L3877:L3880" si="888">J3877-K3877</f>
        <v>1258</v>
      </c>
      <c r="M3877">
        <v>240</v>
      </c>
      <c r="N3877">
        <f t="shared" ref="N3877:N3880" si="889">L3877-M3877</f>
        <v>1018</v>
      </c>
    </row>
    <row r="3878" spans="1:14" x14ac:dyDescent="0.2">
      <c r="A3878" t="s">
        <v>4673</v>
      </c>
      <c r="B3878" s="1" t="s">
        <v>4653</v>
      </c>
      <c r="C3878" t="s">
        <v>14</v>
      </c>
      <c r="D3878" t="s">
        <v>1089</v>
      </c>
      <c r="E3878">
        <v>18</v>
      </c>
      <c r="F3878" t="s">
        <v>4536</v>
      </c>
      <c r="G3878">
        <v>2023</v>
      </c>
      <c r="H3878" t="s">
        <v>185</v>
      </c>
      <c r="I3878" t="s">
        <v>62</v>
      </c>
      <c r="J3878">
        <v>711</v>
      </c>
      <c r="K3878">
        <v>200</v>
      </c>
      <c r="L3878">
        <f t="shared" si="888"/>
        <v>511</v>
      </c>
      <c r="M3878">
        <v>240</v>
      </c>
      <c r="N3878">
        <f t="shared" si="889"/>
        <v>271</v>
      </c>
    </row>
    <row r="3879" spans="1:14" x14ac:dyDescent="0.2">
      <c r="A3879" t="s">
        <v>4674</v>
      </c>
      <c r="B3879" s="1" t="s">
        <v>4646</v>
      </c>
      <c r="C3879" t="s">
        <v>14</v>
      </c>
      <c r="D3879" t="s">
        <v>2906</v>
      </c>
      <c r="E3879">
        <v>19</v>
      </c>
      <c r="F3879" t="s">
        <v>4536</v>
      </c>
      <c r="G3879">
        <v>2023</v>
      </c>
      <c r="H3879" t="s">
        <v>694</v>
      </c>
      <c r="I3879" t="s">
        <v>62</v>
      </c>
      <c r="J3879">
        <v>711</v>
      </c>
      <c r="K3879">
        <v>200</v>
      </c>
      <c r="L3879">
        <f t="shared" si="888"/>
        <v>511</v>
      </c>
      <c r="M3879">
        <v>240</v>
      </c>
      <c r="N3879">
        <f t="shared" si="889"/>
        <v>271</v>
      </c>
    </row>
    <row r="3880" spans="1:14" x14ac:dyDescent="0.2">
      <c r="A3880" t="s">
        <v>4675</v>
      </c>
      <c r="B3880" s="1" t="s">
        <v>4646</v>
      </c>
      <c r="C3880" t="s">
        <v>14</v>
      </c>
      <c r="D3880" t="s">
        <v>448</v>
      </c>
      <c r="E3880">
        <v>19</v>
      </c>
      <c r="F3880" t="s">
        <v>4536</v>
      </c>
      <c r="G3880">
        <v>2023</v>
      </c>
      <c r="H3880" t="s">
        <v>173</v>
      </c>
      <c r="I3880" t="s">
        <v>62</v>
      </c>
      <c r="J3880">
        <v>800</v>
      </c>
      <c r="K3880">
        <v>212</v>
      </c>
      <c r="L3880">
        <f t="shared" si="888"/>
        <v>588</v>
      </c>
      <c r="M3880">
        <v>240</v>
      </c>
      <c r="N3880">
        <f t="shared" si="889"/>
        <v>348</v>
      </c>
    </row>
    <row r="3881" spans="1:14" x14ac:dyDescent="0.2">
      <c r="A3881" t="s">
        <v>4636</v>
      </c>
      <c r="B3881" s="1" t="s">
        <v>4631</v>
      </c>
      <c r="C3881" t="s">
        <v>106</v>
      </c>
      <c r="D3881" t="s">
        <v>448</v>
      </c>
      <c r="E3881">
        <v>17</v>
      </c>
      <c r="F3881" t="s">
        <v>4536</v>
      </c>
      <c r="G3881">
        <v>2023</v>
      </c>
      <c r="H3881" t="s">
        <v>807</v>
      </c>
      <c r="I3881" t="s">
        <v>28</v>
      </c>
      <c r="J3881">
        <v>-800</v>
      </c>
      <c r="K3881">
        <v>345</v>
      </c>
      <c r="L3881">
        <f t="shared" ref="L3881:L3882" si="890">J3881+K3881</f>
        <v>-455</v>
      </c>
      <c r="M3881">
        <v>240</v>
      </c>
      <c r="N3881">
        <f t="shared" ref="N3881:N3882" si="891">L3881+M3881</f>
        <v>-215</v>
      </c>
    </row>
    <row r="3882" spans="1:14" x14ac:dyDescent="0.2">
      <c r="A3882" t="s">
        <v>4642</v>
      </c>
      <c r="B3882" s="1" t="s">
        <v>4631</v>
      </c>
      <c r="C3882" t="s">
        <v>106</v>
      </c>
      <c r="D3882" t="s">
        <v>1539</v>
      </c>
      <c r="E3882">
        <v>17</v>
      </c>
      <c r="F3882" t="s">
        <v>4536</v>
      </c>
      <c r="G3882">
        <v>2023</v>
      </c>
      <c r="H3882" t="s">
        <v>4643</v>
      </c>
      <c r="I3882" t="s">
        <v>62</v>
      </c>
      <c r="J3882">
        <v>-711</v>
      </c>
      <c r="K3882">
        <v>320</v>
      </c>
      <c r="L3882">
        <f t="shared" si="890"/>
        <v>-391</v>
      </c>
      <c r="M3882">
        <v>240</v>
      </c>
      <c r="N3882">
        <f t="shared" si="891"/>
        <v>-151</v>
      </c>
    </row>
    <row r="3883" spans="1:14" x14ac:dyDescent="0.2">
      <c r="A3883" t="s">
        <v>4676</v>
      </c>
      <c r="B3883" s="1" t="s">
        <v>4670</v>
      </c>
      <c r="C3883" t="s">
        <v>43</v>
      </c>
      <c r="D3883" t="s">
        <v>573</v>
      </c>
      <c r="E3883">
        <v>20</v>
      </c>
      <c r="F3883" t="s">
        <v>4536</v>
      </c>
      <c r="G3883">
        <v>2023</v>
      </c>
      <c r="H3883" t="s">
        <v>4677</v>
      </c>
      <c r="I3883" t="s">
        <v>28</v>
      </c>
      <c r="J3883">
        <v>0</v>
      </c>
      <c r="K3883">
        <v>0</v>
      </c>
      <c r="L3883">
        <v>0</v>
      </c>
      <c r="M3883">
        <v>0</v>
      </c>
      <c r="N3883">
        <v>0</v>
      </c>
    </row>
    <row r="3884" spans="1:14" x14ac:dyDescent="0.2">
      <c r="A3884" t="s">
        <v>4597</v>
      </c>
      <c r="B3884" s="1" t="s">
        <v>4594</v>
      </c>
      <c r="C3884" t="s">
        <v>106</v>
      </c>
      <c r="D3884" t="s">
        <v>1338</v>
      </c>
      <c r="E3884">
        <v>14</v>
      </c>
      <c r="F3884" t="s">
        <v>4536</v>
      </c>
      <c r="G3884">
        <v>2023</v>
      </c>
      <c r="H3884" t="s">
        <v>49</v>
      </c>
      <c r="I3884" t="s">
        <v>32</v>
      </c>
      <c r="J3884">
        <v>-799</v>
      </c>
      <c r="K3884">
        <v>320</v>
      </c>
      <c r="L3884">
        <f>J3884+K3884</f>
        <v>-479</v>
      </c>
      <c r="M3884">
        <v>240</v>
      </c>
      <c r="N3884">
        <f>L3884+M3884</f>
        <v>-239</v>
      </c>
    </row>
    <row r="3885" spans="1:14" x14ac:dyDescent="0.2">
      <c r="A3885" t="s">
        <v>4678</v>
      </c>
      <c r="B3885" s="1" t="s">
        <v>4670</v>
      </c>
      <c r="C3885" t="s">
        <v>14</v>
      </c>
      <c r="D3885" t="s">
        <v>448</v>
      </c>
      <c r="E3885">
        <v>20</v>
      </c>
      <c r="F3885" t="s">
        <v>4536</v>
      </c>
      <c r="G3885">
        <v>2023</v>
      </c>
      <c r="H3885" t="s">
        <v>246</v>
      </c>
      <c r="I3885" t="s">
        <v>58</v>
      </c>
      <c r="J3885">
        <v>800</v>
      </c>
      <c r="K3885">
        <v>212</v>
      </c>
      <c r="L3885">
        <f t="shared" ref="L3885:L3888" si="892">J3885-K3885</f>
        <v>588</v>
      </c>
      <c r="M3885">
        <v>240</v>
      </c>
      <c r="N3885">
        <f t="shared" ref="N3885:N3888" si="893">L3885-M3885</f>
        <v>348</v>
      </c>
    </row>
    <row r="3886" spans="1:14" x14ac:dyDescent="0.2">
      <c r="A3886" t="s">
        <v>4679</v>
      </c>
      <c r="B3886" s="1" t="s">
        <v>4670</v>
      </c>
      <c r="C3886" t="s">
        <v>14</v>
      </c>
      <c r="D3886" t="s">
        <v>1010</v>
      </c>
      <c r="E3886">
        <v>20</v>
      </c>
      <c r="F3886" t="s">
        <v>4536</v>
      </c>
      <c r="G3886">
        <v>2023</v>
      </c>
      <c r="H3886" t="s">
        <v>4680</v>
      </c>
      <c r="I3886" t="s">
        <v>62</v>
      </c>
      <c r="J3886">
        <v>711</v>
      </c>
      <c r="K3886">
        <v>200</v>
      </c>
      <c r="L3886">
        <f t="shared" si="892"/>
        <v>511</v>
      </c>
      <c r="M3886">
        <v>240</v>
      </c>
      <c r="N3886">
        <f t="shared" si="893"/>
        <v>271</v>
      </c>
    </row>
    <row r="3887" spans="1:14" x14ac:dyDescent="0.2">
      <c r="A3887" t="s">
        <v>4681</v>
      </c>
      <c r="B3887" s="1" t="s">
        <v>4670</v>
      </c>
      <c r="C3887" t="s">
        <v>14</v>
      </c>
      <c r="D3887" t="s">
        <v>490</v>
      </c>
      <c r="E3887">
        <v>20</v>
      </c>
      <c r="F3887" t="s">
        <v>4536</v>
      </c>
      <c r="G3887">
        <v>2023</v>
      </c>
      <c r="H3887" t="s">
        <v>272</v>
      </c>
      <c r="I3887" t="s">
        <v>23</v>
      </c>
      <c r="J3887">
        <v>800</v>
      </c>
      <c r="K3887">
        <v>212</v>
      </c>
      <c r="L3887">
        <f t="shared" si="892"/>
        <v>588</v>
      </c>
      <c r="M3887">
        <v>240</v>
      </c>
      <c r="N3887">
        <f t="shared" si="893"/>
        <v>348</v>
      </c>
    </row>
    <row r="3888" spans="1:14" x14ac:dyDescent="0.2">
      <c r="A3888" t="s">
        <v>4682</v>
      </c>
      <c r="B3888" s="1" t="s">
        <v>4670</v>
      </c>
      <c r="C3888" t="s">
        <v>14</v>
      </c>
      <c r="D3888" t="s">
        <v>548</v>
      </c>
      <c r="E3888">
        <v>20</v>
      </c>
      <c r="F3888" t="s">
        <v>4536</v>
      </c>
      <c r="G3888">
        <v>2023</v>
      </c>
      <c r="H3888" t="s">
        <v>246</v>
      </c>
      <c r="I3888" t="s">
        <v>58</v>
      </c>
      <c r="J3888">
        <v>800</v>
      </c>
      <c r="K3888">
        <v>212</v>
      </c>
      <c r="L3888">
        <f t="shared" si="892"/>
        <v>588</v>
      </c>
      <c r="M3888">
        <v>240</v>
      </c>
      <c r="N3888">
        <f t="shared" si="893"/>
        <v>348</v>
      </c>
    </row>
    <row r="3889" spans="1:14" x14ac:dyDescent="0.2">
      <c r="A3889" t="s">
        <v>4684</v>
      </c>
      <c r="B3889" s="1" t="s">
        <v>4683</v>
      </c>
      <c r="C3889" t="s">
        <v>43</v>
      </c>
      <c r="D3889" t="s">
        <v>242</v>
      </c>
      <c r="E3889">
        <v>21</v>
      </c>
      <c r="F3889" t="s">
        <v>4536</v>
      </c>
      <c r="G3889">
        <v>2023</v>
      </c>
      <c r="H3889" t="s">
        <v>4685</v>
      </c>
      <c r="I3889" t="s">
        <v>19</v>
      </c>
      <c r="J3889">
        <v>0</v>
      </c>
      <c r="K3889">
        <v>0</v>
      </c>
      <c r="L3889">
        <v>0</v>
      </c>
      <c r="M3889">
        <v>0</v>
      </c>
      <c r="N3889">
        <v>0</v>
      </c>
    </row>
    <row r="3890" spans="1:14" x14ac:dyDescent="0.2">
      <c r="A3890" t="s">
        <v>4686</v>
      </c>
      <c r="B3890" s="1" t="s">
        <v>4670</v>
      </c>
      <c r="C3890" t="s">
        <v>14</v>
      </c>
      <c r="D3890" t="s">
        <v>895</v>
      </c>
      <c r="E3890">
        <v>20</v>
      </c>
      <c r="F3890" t="s">
        <v>4536</v>
      </c>
      <c r="G3890">
        <v>2023</v>
      </c>
      <c r="H3890" t="s">
        <v>104</v>
      </c>
      <c r="I3890" t="s">
        <v>62</v>
      </c>
      <c r="J3890">
        <v>756</v>
      </c>
      <c r="K3890">
        <v>201</v>
      </c>
      <c r="L3890">
        <f>J3890-K3890</f>
        <v>555</v>
      </c>
      <c r="M3890">
        <v>240</v>
      </c>
      <c r="N3890">
        <f>L3890-M3890</f>
        <v>315</v>
      </c>
    </row>
    <row r="3891" spans="1:14" x14ac:dyDescent="0.2">
      <c r="A3891" t="s">
        <v>4588</v>
      </c>
      <c r="B3891" s="1" t="s">
        <v>4584</v>
      </c>
      <c r="C3891" t="s">
        <v>106</v>
      </c>
      <c r="D3891" t="s">
        <v>840</v>
      </c>
      <c r="E3891">
        <v>12</v>
      </c>
      <c r="F3891" t="s">
        <v>4536</v>
      </c>
      <c r="G3891">
        <v>2023</v>
      </c>
      <c r="H3891" t="s">
        <v>796</v>
      </c>
      <c r="I3891" t="s">
        <v>58</v>
      </c>
      <c r="J3891">
        <v>-999</v>
      </c>
      <c r="K3891">
        <v>395</v>
      </c>
      <c r="L3891">
        <f>J3891+K3891</f>
        <v>-604</v>
      </c>
      <c r="M3891">
        <v>240</v>
      </c>
      <c r="N3891">
        <f>L3891+M3891</f>
        <v>-364</v>
      </c>
    </row>
    <row r="3892" spans="1:14" x14ac:dyDescent="0.2">
      <c r="A3892" t="s">
        <v>4687</v>
      </c>
      <c r="B3892" s="1" t="s">
        <v>4683</v>
      </c>
      <c r="C3892" t="s">
        <v>20</v>
      </c>
      <c r="D3892" t="s">
        <v>3827</v>
      </c>
      <c r="E3892">
        <v>21</v>
      </c>
      <c r="F3892" t="s">
        <v>4536</v>
      </c>
      <c r="G3892">
        <v>2023</v>
      </c>
      <c r="H3892" t="s">
        <v>170</v>
      </c>
      <c r="I3892" t="s">
        <v>171</v>
      </c>
      <c r="J3892">
        <v>0</v>
      </c>
      <c r="K3892">
        <v>0</v>
      </c>
      <c r="L3892">
        <v>0</v>
      </c>
      <c r="M3892">
        <v>0</v>
      </c>
      <c r="N3892">
        <v>0</v>
      </c>
    </row>
    <row r="3893" spans="1:14" x14ac:dyDescent="0.2">
      <c r="A3893" t="s">
        <v>4688</v>
      </c>
      <c r="B3893" s="1" t="s">
        <v>4683</v>
      </c>
      <c r="C3893" t="s">
        <v>14</v>
      </c>
      <c r="D3893" t="s">
        <v>548</v>
      </c>
      <c r="E3893">
        <v>21</v>
      </c>
      <c r="F3893" t="s">
        <v>4536</v>
      </c>
      <c r="G3893">
        <v>2023</v>
      </c>
      <c r="H3893" t="s">
        <v>4689</v>
      </c>
      <c r="I3893" t="s">
        <v>85</v>
      </c>
      <c r="J3893">
        <v>800</v>
      </c>
      <c r="K3893">
        <v>212</v>
      </c>
      <c r="L3893">
        <f t="shared" ref="L3893:L3895" si="894">J3893-K3893</f>
        <v>588</v>
      </c>
      <c r="M3893">
        <v>240</v>
      </c>
      <c r="N3893">
        <f t="shared" ref="N3893:N3895" si="895">L3893-M3893</f>
        <v>348</v>
      </c>
    </row>
    <row r="3894" spans="1:14" x14ac:dyDescent="0.2">
      <c r="A3894" t="s">
        <v>4684</v>
      </c>
      <c r="B3894" s="1" t="s">
        <v>4683</v>
      </c>
      <c r="C3894" t="s">
        <v>14</v>
      </c>
      <c r="D3894" t="s">
        <v>242</v>
      </c>
      <c r="E3894">
        <v>21</v>
      </c>
      <c r="F3894" t="s">
        <v>4536</v>
      </c>
      <c r="G3894">
        <v>2023</v>
      </c>
      <c r="H3894" t="s">
        <v>4685</v>
      </c>
      <c r="I3894" t="s">
        <v>19</v>
      </c>
      <c r="J3894">
        <v>800</v>
      </c>
      <c r="K3894">
        <v>212</v>
      </c>
      <c r="L3894">
        <f t="shared" si="894"/>
        <v>588</v>
      </c>
      <c r="M3894">
        <v>240</v>
      </c>
      <c r="N3894">
        <f t="shared" si="895"/>
        <v>348</v>
      </c>
    </row>
    <row r="3895" spans="1:14" x14ac:dyDescent="0.2">
      <c r="A3895" t="s">
        <v>4690</v>
      </c>
      <c r="B3895" s="1" t="s">
        <v>4683</v>
      </c>
      <c r="C3895" t="s">
        <v>14</v>
      </c>
      <c r="D3895" t="s">
        <v>1015</v>
      </c>
      <c r="E3895">
        <v>21</v>
      </c>
      <c r="F3895" t="s">
        <v>4536</v>
      </c>
      <c r="G3895">
        <v>2023</v>
      </c>
      <c r="H3895" t="s">
        <v>157</v>
      </c>
      <c r="I3895" t="s">
        <v>97</v>
      </c>
      <c r="J3895">
        <v>756</v>
      </c>
      <c r="K3895">
        <v>201</v>
      </c>
      <c r="L3895">
        <f t="shared" si="894"/>
        <v>555</v>
      </c>
      <c r="M3895">
        <v>240</v>
      </c>
      <c r="N3895">
        <f t="shared" si="895"/>
        <v>315</v>
      </c>
    </row>
    <row r="3896" spans="1:14" x14ac:dyDescent="0.2">
      <c r="A3896" t="s">
        <v>4645</v>
      </c>
      <c r="B3896" s="1" t="s">
        <v>4631</v>
      </c>
      <c r="C3896" t="s">
        <v>106</v>
      </c>
      <c r="D3896" t="s">
        <v>4168</v>
      </c>
      <c r="E3896">
        <v>17</v>
      </c>
      <c r="F3896" t="s">
        <v>4536</v>
      </c>
      <c r="G3896">
        <v>2023</v>
      </c>
      <c r="H3896" t="s">
        <v>170</v>
      </c>
      <c r="I3896" t="s">
        <v>171</v>
      </c>
      <c r="J3896">
        <v>-711</v>
      </c>
      <c r="K3896">
        <v>320</v>
      </c>
      <c r="L3896">
        <f t="shared" ref="L3896:L3897" si="896">J3896+K3896</f>
        <v>-391</v>
      </c>
      <c r="M3896">
        <v>240</v>
      </c>
      <c r="N3896">
        <f t="shared" ref="N3896:N3897" si="897">L3896+M3896</f>
        <v>-151</v>
      </c>
    </row>
    <row r="3897" spans="1:14" x14ac:dyDescent="0.2">
      <c r="A3897" t="s">
        <v>4600</v>
      </c>
      <c r="B3897" s="1" t="s">
        <v>4594</v>
      </c>
      <c r="C3897" t="s">
        <v>106</v>
      </c>
      <c r="D3897" t="s">
        <v>792</v>
      </c>
      <c r="E3897">
        <v>14</v>
      </c>
      <c r="F3897" t="s">
        <v>4536</v>
      </c>
      <c r="G3897">
        <v>2023</v>
      </c>
      <c r="H3897" t="s">
        <v>1230</v>
      </c>
      <c r="I3897" t="s">
        <v>28</v>
      </c>
      <c r="J3897">
        <v>-849</v>
      </c>
      <c r="K3897">
        <v>345</v>
      </c>
      <c r="L3897">
        <f t="shared" si="896"/>
        <v>-504</v>
      </c>
      <c r="M3897">
        <v>240</v>
      </c>
      <c r="N3897">
        <f t="shared" si="897"/>
        <v>-264</v>
      </c>
    </row>
    <row r="3898" spans="1:14" x14ac:dyDescent="0.2">
      <c r="A3898" t="s">
        <v>4692</v>
      </c>
      <c r="B3898" s="1" t="s">
        <v>4691</v>
      </c>
      <c r="C3898" t="s">
        <v>43</v>
      </c>
      <c r="D3898" t="s">
        <v>975</v>
      </c>
      <c r="E3898">
        <v>22</v>
      </c>
      <c r="F3898" t="s">
        <v>4536</v>
      </c>
      <c r="G3898">
        <v>2023</v>
      </c>
      <c r="H3898" t="s">
        <v>3788</v>
      </c>
      <c r="I3898" t="s">
        <v>28</v>
      </c>
      <c r="J3898">
        <v>0</v>
      </c>
      <c r="K3898">
        <v>0</v>
      </c>
      <c r="L3898">
        <v>0</v>
      </c>
      <c r="M3898">
        <v>0</v>
      </c>
      <c r="N3898">
        <v>0</v>
      </c>
    </row>
    <row r="3899" spans="1:14" x14ac:dyDescent="0.2">
      <c r="A3899" t="s">
        <v>4590</v>
      </c>
      <c r="B3899" s="1" t="s">
        <v>4584</v>
      </c>
      <c r="C3899" t="s">
        <v>106</v>
      </c>
      <c r="D3899" t="s">
        <v>1010</v>
      </c>
      <c r="E3899">
        <v>12</v>
      </c>
      <c r="F3899" t="s">
        <v>4536</v>
      </c>
      <c r="G3899">
        <v>2023</v>
      </c>
      <c r="H3899" t="s">
        <v>745</v>
      </c>
      <c r="I3899" t="s">
        <v>62</v>
      </c>
      <c r="J3899">
        <v>-799</v>
      </c>
      <c r="K3899">
        <v>320</v>
      </c>
      <c r="L3899">
        <f>J3899+K3899</f>
        <v>-479</v>
      </c>
      <c r="M3899">
        <v>240</v>
      </c>
      <c r="N3899">
        <f>L3899+M3899</f>
        <v>-239</v>
      </c>
    </row>
    <row r="3900" spans="1:14" x14ac:dyDescent="0.2">
      <c r="A3900" t="s">
        <v>4693</v>
      </c>
      <c r="B3900" s="1" t="s">
        <v>4691</v>
      </c>
      <c r="C3900" t="s">
        <v>43</v>
      </c>
      <c r="D3900" t="s">
        <v>308</v>
      </c>
      <c r="E3900">
        <v>22</v>
      </c>
      <c r="F3900" t="s">
        <v>4536</v>
      </c>
      <c r="G3900">
        <v>2023</v>
      </c>
      <c r="H3900" t="s">
        <v>22</v>
      </c>
      <c r="I3900" t="s">
        <v>23</v>
      </c>
      <c r="J3900">
        <v>0</v>
      </c>
      <c r="K3900">
        <v>0</v>
      </c>
      <c r="L3900">
        <v>0</v>
      </c>
      <c r="M3900">
        <v>0</v>
      </c>
      <c r="N3900">
        <v>0</v>
      </c>
    </row>
    <row r="3901" spans="1:14" x14ac:dyDescent="0.2">
      <c r="A3901" t="s">
        <v>4694</v>
      </c>
      <c r="B3901" s="1" t="s">
        <v>4691</v>
      </c>
      <c r="C3901" t="s">
        <v>14</v>
      </c>
      <c r="D3901" t="s">
        <v>975</v>
      </c>
      <c r="E3901">
        <v>22</v>
      </c>
      <c r="F3901" t="s">
        <v>4536</v>
      </c>
      <c r="G3901">
        <v>2023</v>
      </c>
      <c r="H3901" t="s">
        <v>4082</v>
      </c>
      <c r="I3901" t="s">
        <v>122</v>
      </c>
      <c r="J3901">
        <v>711</v>
      </c>
      <c r="K3901">
        <v>200</v>
      </c>
      <c r="L3901">
        <f t="shared" ref="L3901:L3911" si="898">J3901-K3901</f>
        <v>511</v>
      </c>
      <c r="M3901">
        <v>240</v>
      </c>
      <c r="N3901">
        <f t="shared" ref="N3901:N3911" si="899">L3901-M3901</f>
        <v>271</v>
      </c>
    </row>
    <row r="3902" spans="1:14" x14ac:dyDescent="0.2">
      <c r="A3902" t="s">
        <v>4695</v>
      </c>
      <c r="B3902" s="1" t="s">
        <v>4691</v>
      </c>
      <c r="C3902" t="s">
        <v>14</v>
      </c>
      <c r="D3902" t="s">
        <v>1486</v>
      </c>
      <c r="E3902">
        <v>22</v>
      </c>
      <c r="F3902" t="s">
        <v>4536</v>
      </c>
      <c r="G3902">
        <v>2023</v>
      </c>
      <c r="H3902" t="s">
        <v>84</v>
      </c>
      <c r="I3902" t="s">
        <v>85</v>
      </c>
      <c r="J3902">
        <v>889</v>
      </c>
      <c r="K3902">
        <v>290</v>
      </c>
      <c r="L3902">
        <f t="shared" si="898"/>
        <v>599</v>
      </c>
      <c r="M3902">
        <v>240</v>
      </c>
      <c r="N3902">
        <f t="shared" si="899"/>
        <v>359</v>
      </c>
    </row>
    <row r="3903" spans="1:14" x14ac:dyDescent="0.2">
      <c r="A3903" t="s">
        <v>4696</v>
      </c>
      <c r="B3903" s="1" t="s">
        <v>4691</v>
      </c>
      <c r="C3903" t="s">
        <v>14</v>
      </c>
      <c r="D3903" t="s">
        <v>242</v>
      </c>
      <c r="E3903">
        <v>22</v>
      </c>
      <c r="F3903" t="s">
        <v>4536</v>
      </c>
      <c r="G3903">
        <v>2023</v>
      </c>
      <c r="H3903" t="s">
        <v>4697</v>
      </c>
      <c r="I3903" t="s">
        <v>122</v>
      </c>
      <c r="J3903">
        <v>800</v>
      </c>
      <c r="K3903">
        <v>212</v>
      </c>
      <c r="L3903">
        <f t="shared" si="898"/>
        <v>588</v>
      </c>
      <c r="M3903">
        <v>240</v>
      </c>
      <c r="N3903">
        <f t="shared" si="899"/>
        <v>348</v>
      </c>
    </row>
    <row r="3904" spans="1:14" x14ac:dyDescent="0.2">
      <c r="A3904" t="s">
        <v>4698</v>
      </c>
      <c r="B3904" s="1" t="s">
        <v>4691</v>
      </c>
      <c r="C3904" t="s">
        <v>14</v>
      </c>
      <c r="D3904" t="s">
        <v>448</v>
      </c>
      <c r="E3904">
        <v>22</v>
      </c>
      <c r="F3904" t="s">
        <v>4536</v>
      </c>
      <c r="G3904">
        <v>2023</v>
      </c>
      <c r="H3904" t="s">
        <v>359</v>
      </c>
      <c r="I3904" t="s">
        <v>85</v>
      </c>
      <c r="J3904">
        <v>800</v>
      </c>
      <c r="K3904">
        <v>212</v>
      </c>
      <c r="L3904">
        <f t="shared" si="898"/>
        <v>588</v>
      </c>
      <c r="M3904">
        <v>240</v>
      </c>
      <c r="N3904">
        <f t="shared" si="899"/>
        <v>348</v>
      </c>
    </row>
    <row r="3905" spans="1:14" x14ac:dyDescent="0.2">
      <c r="A3905" t="s">
        <v>4699</v>
      </c>
      <c r="B3905" s="1" t="s">
        <v>4691</v>
      </c>
      <c r="C3905" t="s">
        <v>14</v>
      </c>
      <c r="D3905" t="s">
        <v>573</v>
      </c>
      <c r="E3905">
        <v>22</v>
      </c>
      <c r="F3905" t="s">
        <v>4536</v>
      </c>
      <c r="G3905">
        <v>2023</v>
      </c>
      <c r="H3905" t="s">
        <v>4700</v>
      </c>
      <c r="I3905" t="s">
        <v>62</v>
      </c>
      <c r="J3905">
        <v>800</v>
      </c>
      <c r="K3905">
        <v>212</v>
      </c>
      <c r="L3905">
        <f t="shared" si="898"/>
        <v>588</v>
      </c>
      <c r="M3905">
        <v>240</v>
      </c>
      <c r="N3905">
        <f t="shared" si="899"/>
        <v>348</v>
      </c>
    </row>
    <row r="3906" spans="1:14" x14ac:dyDescent="0.2">
      <c r="A3906" t="s">
        <v>4701</v>
      </c>
      <c r="B3906" s="1" t="s">
        <v>4691</v>
      </c>
      <c r="C3906" t="s">
        <v>14</v>
      </c>
      <c r="D3906" t="s">
        <v>4168</v>
      </c>
      <c r="E3906">
        <v>22</v>
      </c>
      <c r="F3906" t="s">
        <v>4536</v>
      </c>
      <c r="G3906">
        <v>2023</v>
      </c>
      <c r="H3906" t="s">
        <v>170</v>
      </c>
      <c r="I3906" t="s">
        <v>171</v>
      </c>
      <c r="J3906">
        <v>711</v>
      </c>
      <c r="K3906">
        <v>200</v>
      </c>
      <c r="L3906">
        <f t="shared" si="898"/>
        <v>511</v>
      </c>
      <c r="M3906">
        <v>240</v>
      </c>
      <c r="N3906">
        <f t="shared" si="899"/>
        <v>271</v>
      </c>
    </row>
    <row r="3907" spans="1:14" x14ac:dyDescent="0.2">
      <c r="A3907" t="s">
        <v>4702</v>
      </c>
      <c r="B3907" s="1" t="s">
        <v>4691</v>
      </c>
      <c r="C3907" t="s">
        <v>14</v>
      </c>
      <c r="D3907" t="s">
        <v>242</v>
      </c>
      <c r="E3907">
        <v>22</v>
      </c>
      <c r="F3907" t="s">
        <v>4536</v>
      </c>
      <c r="G3907">
        <v>2023</v>
      </c>
      <c r="H3907" t="s">
        <v>1084</v>
      </c>
      <c r="I3907" t="s">
        <v>32</v>
      </c>
      <c r="J3907">
        <v>800</v>
      </c>
      <c r="K3907">
        <v>212</v>
      </c>
      <c r="L3907">
        <f t="shared" si="898"/>
        <v>588</v>
      </c>
      <c r="M3907">
        <v>240</v>
      </c>
      <c r="N3907">
        <f t="shared" si="899"/>
        <v>348</v>
      </c>
    </row>
    <row r="3908" spans="1:14" x14ac:dyDescent="0.2">
      <c r="A3908" t="s">
        <v>4703</v>
      </c>
      <c r="B3908" s="1" t="s">
        <v>4691</v>
      </c>
      <c r="C3908" t="s">
        <v>14</v>
      </c>
      <c r="D3908" t="s">
        <v>4704</v>
      </c>
      <c r="E3908">
        <v>22</v>
      </c>
      <c r="F3908" t="s">
        <v>4536</v>
      </c>
      <c r="G3908">
        <v>2023</v>
      </c>
      <c r="H3908" t="s">
        <v>3715</v>
      </c>
      <c r="I3908" t="s">
        <v>62</v>
      </c>
      <c r="J3908">
        <v>711</v>
      </c>
      <c r="K3908">
        <v>200</v>
      </c>
      <c r="L3908">
        <f t="shared" si="898"/>
        <v>511</v>
      </c>
      <c r="M3908">
        <v>240</v>
      </c>
      <c r="N3908">
        <f t="shared" si="899"/>
        <v>271</v>
      </c>
    </row>
    <row r="3909" spans="1:14" x14ac:dyDescent="0.2">
      <c r="A3909" t="s">
        <v>4703</v>
      </c>
      <c r="B3909" s="1" t="s">
        <v>4691</v>
      </c>
      <c r="C3909" t="s">
        <v>14</v>
      </c>
      <c r="D3909" t="s">
        <v>4705</v>
      </c>
      <c r="E3909">
        <v>22</v>
      </c>
      <c r="F3909" t="s">
        <v>4536</v>
      </c>
      <c r="G3909">
        <v>2023</v>
      </c>
      <c r="H3909" t="s">
        <v>3715</v>
      </c>
      <c r="I3909" t="s">
        <v>62</v>
      </c>
      <c r="J3909">
        <v>756</v>
      </c>
      <c r="K3909">
        <v>201</v>
      </c>
      <c r="L3909">
        <f t="shared" si="898"/>
        <v>555</v>
      </c>
      <c r="M3909">
        <v>240</v>
      </c>
      <c r="N3909">
        <f t="shared" si="899"/>
        <v>315</v>
      </c>
    </row>
    <row r="3910" spans="1:14" x14ac:dyDescent="0.2">
      <c r="A3910" t="s">
        <v>4706</v>
      </c>
      <c r="B3910" s="1" t="s">
        <v>4691</v>
      </c>
      <c r="C3910" t="s">
        <v>14</v>
      </c>
      <c r="D3910" t="s">
        <v>923</v>
      </c>
      <c r="E3910">
        <v>22</v>
      </c>
      <c r="F3910" t="s">
        <v>4536</v>
      </c>
      <c r="G3910">
        <v>2023</v>
      </c>
      <c r="H3910" t="s">
        <v>246</v>
      </c>
      <c r="I3910" t="s">
        <v>58</v>
      </c>
      <c r="J3910">
        <v>756</v>
      </c>
      <c r="K3910">
        <v>201</v>
      </c>
      <c r="L3910">
        <f t="shared" si="898"/>
        <v>555</v>
      </c>
      <c r="M3910">
        <v>240</v>
      </c>
      <c r="N3910">
        <f t="shared" si="899"/>
        <v>315</v>
      </c>
    </row>
    <row r="3911" spans="1:14" x14ac:dyDescent="0.2">
      <c r="A3911" t="s">
        <v>4692</v>
      </c>
      <c r="B3911" s="1" t="s">
        <v>4691</v>
      </c>
      <c r="C3911" t="s">
        <v>14</v>
      </c>
      <c r="D3911" t="s">
        <v>975</v>
      </c>
      <c r="E3911">
        <v>22</v>
      </c>
      <c r="F3911" t="s">
        <v>4536</v>
      </c>
      <c r="G3911">
        <v>2023</v>
      </c>
      <c r="H3911" t="s">
        <v>3788</v>
      </c>
      <c r="I3911" t="s">
        <v>28</v>
      </c>
      <c r="J3911">
        <v>711</v>
      </c>
      <c r="K3911">
        <v>200</v>
      </c>
      <c r="L3911">
        <f t="shared" si="898"/>
        <v>511</v>
      </c>
      <c r="M3911">
        <v>240</v>
      </c>
      <c r="N3911">
        <f t="shared" si="899"/>
        <v>271</v>
      </c>
    </row>
    <row r="3912" spans="1:14" x14ac:dyDescent="0.2">
      <c r="A3912" t="s">
        <v>4708</v>
      </c>
      <c r="B3912" s="1" t="s">
        <v>4707</v>
      </c>
      <c r="C3912" t="s">
        <v>43</v>
      </c>
      <c r="D3912" t="s">
        <v>4626</v>
      </c>
      <c r="E3912">
        <v>23</v>
      </c>
      <c r="F3912" t="s">
        <v>4536</v>
      </c>
      <c r="G3912">
        <v>2023</v>
      </c>
      <c r="H3912" t="s">
        <v>170</v>
      </c>
      <c r="I3912" t="s">
        <v>171</v>
      </c>
      <c r="J3912">
        <v>0</v>
      </c>
      <c r="K3912">
        <v>0</v>
      </c>
      <c r="L3912">
        <v>0</v>
      </c>
      <c r="M3912">
        <v>0</v>
      </c>
      <c r="N3912">
        <v>0</v>
      </c>
    </row>
    <row r="3913" spans="1:14" x14ac:dyDescent="0.2">
      <c r="A3913" t="s">
        <v>4603</v>
      </c>
      <c r="B3913" s="1" t="s">
        <v>4594</v>
      </c>
      <c r="C3913" t="s">
        <v>106</v>
      </c>
      <c r="D3913" t="s">
        <v>895</v>
      </c>
      <c r="E3913">
        <v>14</v>
      </c>
      <c r="F3913" t="s">
        <v>4536</v>
      </c>
      <c r="G3913">
        <v>2023</v>
      </c>
      <c r="H3913" t="s">
        <v>796</v>
      </c>
      <c r="I3913" t="s">
        <v>58</v>
      </c>
      <c r="J3913">
        <v>-849</v>
      </c>
      <c r="K3913">
        <v>345</v>
      </c>
      <c r="L3913">
        <f>J3913+K3913</f>
        <v>-504</v>
      </c>
      <c r="M3913">
        <v>240</v>
      </c>
      <c r="N3913">
        <f>L3913+M3913</f>
        <v>-264</v>
      </c>
    </row>
    <row r="3914" spans="1:14" x14ac:dyDescent="0.2">
      <c r="A3914" t="s">
        <v>4710</v>
      </c>
      <c r="B3914" s="1" t="s">
        <v>4709</v>
      </c>
      <c r="C3914" t="s">
        <v>43</v>
      </c>
      <c r="D3914" t="s">
        <v>3953</v>
      </c>
      <c r="E3914">
        <v>24</v>
      </c>
      <c r="F3914" t="s">
        <v>4536</v>
      </c>
      <c r="G3914">
        <v>2023</v>
      </c>
      <c r="H3914" t="s">
        <v>4711</v>
      </c>
      <c r="I3914" t="s">
        <v>122</v>
      </c>
      <c r="J3914">
        <v>0</v>
      </c>
      <c r="K3914">
        <v>0</v>
      </c>
      <c r="L3914">
        <v>0</v>
      </c>
      <c r="M3914">
        <v>0</v>
      </c>
      <c r="N3914">
        <v>0</v>
      </c>
    </row>
    <row r="3915" spans="1:14" x14ac:dyDescent="0.2">
      <c r="A3915" t="s">
        <v>4681</v>
      </c>
      <c r="B3915" s="1" t="s">
        <v>4670</v>
      </c>
      <c r="C3915" t="s">
        <v>106</v>
      </c>
      <c r="D3915" t="s">
        <v>490</v>
      </c>
      <c r="E3915">
        <v>20</v>
      </c>
      <c r="F3915" t="s">
        <v>4536</v>
      </c>
      <c r="G3915">
        <v>2023</v>
      </c>
      <c r="H3915" t="s">
        <v>272</v>
      </c>
      <c r="I3915" t="s">
        <v>23</v>
      </c>
      <c r="J3915">
        <v>-800</v>
      </c>
      <c r="K3915">
        <v>345</v>
      </c>
      <c r="L3915">
        <f>J3915+K3915</f>
        <v>-455</v>
      </c>
      <c r="M3915">
        <v>240</v>
      </c>
      <c r="N3915">
        <f>L3915+M3915</f>
        <v>-215</v>
      </c>
    </row>
    <row r="3916" spans="1:14" x14ac:dyDescent="0.2">
      <c r="A3916" t="s">
        <v>4712</v>
      </c>
      <c r="B3916" s="1" t="s">
        <v>4707</v>
      </c>
      <c r="C3916" t="s">
        <v>14</v>
      </c>
      <c r="D3916" t="s">
        <v>1015</v>
      </c>
      <c r="E3916">
        <v>23</v>
      </c>
      <c r="F3916" t="s">
        <v>4536</v>
      </c>
      <c r="G3916">
        <v>2023</v>
      </c>
      <c r="H3916" t="s">
        <v>22</v>
      </c>
      <c r="I3916" t="s">
        <v>23</v>
      </c>
      <c r="J3916">
        <v>756</v>
      </c>
      <c r="K3916">
        <v>201</v>
      </c>
      <c r="L3916">
        <f>J3916-K3916</f>
        <v>555</v>
      </c>
      <c r="M3916">
        <v>240</v>
      </c>
      <c r="N3916">
        <f>L3916-M3916</f>
        <v>315</v>
      </c>
    </row>
    <row r="3917" spans="1:14" x14ac:dyDescent="0.2">
      <c r="A3917" t="s">
        <v>4713</v>
      </c>
      <c r="B3917" s="1" t="s">
        <v>4707</v>
      </c>
      <c r="C3917" t="s">
        <v>20</v>
      </c>
      <c r="D3917" t="s">
        <v>308</v>
      </c>
      <c r="E3917">
        <v>23</v>
      </c>
      <c r="F3917" t="s">
        <v>4536</v>
      </c>
      <c r="G3917">
        <v>2023</v>
      </c>
      <c r="H3917" t="s">
        <v>4641</v>
      </c>
      <c r="I3917" t="s">
        <v>502</v>
      </c>
      <c r="J3917">
        <v>0</v>
      </c>
      <c r="K3917">
        <v>0</v>
      </c>
      <c r="L3917">
        <v>0</v>
      </c>
      <c r="M3917">
        <v>0</v>
      </c>
      <c r="N3917">
        <v>0</v>
      </c>
    </row>
    <row r="3918" spans="1:14" x14ac:dyDescent="0.2">
      <c r="A3918" t="s">
        <v>4714</v>
      </c>
      <c r="B3918" s="1" t="s">
        <v>4707</v>
      </c>
      <c r="C3918" t="s">
        <v>14</v>
      </c>
      <c r="D3918" t="s">
        <v>573</v>
      </c>
      <c r="E3918">
        <v>23</v>
      </c>
      <c r="F3918" t="s">
        <v>4536</v>
      </c>
      <c r="G3918">
        <v>2023</v>
      </c>
      <c r="H3918" t="s">
        <v>22</v>
      </c>
      <c r="I3918" t="s">
        <v>23</v>
      </c>
      <c r="J3918">
        <v>800</v>
      </c>
      <c r="K3918">
        <v>212</v>
      </c>
      <c r="L3918">
        <f t="shared" ref="L3918:L3921" si="900">J3918-K3918</f>
        <v>588</v>
      </c>
      <c r="M3918">
        <v>240</v>
      </c>
      <c r="N3918">
        <f t="shared" ref="N3918:N3921" si="901">L3918-M3918</f>
        <v>348</v>
      </c>
    </row>
    <row r="3919" spans="1:14" x14ac:dyDescent="0.2">
      <c r="A3919" t="s">
        <v>4714</v>
      </c>
      <c r="B3919" s="1" t="s">
        <v>4707</v>
      </c>
      <c r="C3919" t="s">
        <v>14</v>
      </c>
      <c r="D3919" t="s">
        <v>1141</v>
      </c>
      <c r="E3919">
        <v>23</v>
      </c>
      <c r="F3919" t="s">
        <v>4536</v>
      </c>
      <c r="G3919">
        <v>2023</v>
      </c>
      <c r="H3919" t="s">
        <v>22</v>
      </c>
      <c r="I3919" t="s">
        <v>23</v>
      </c>
      <c r="J3919">
        <v>711</v>
      </c>
      <c r="K3919">
        <v>200</v>
      </c>
      <c r="L3919">
        <f t="shared" si="900"/>
        <v>511</v>
      </c>
      <c r="M3919">
        <v>240</v>
      </c>
      <c r="N3919">
        <f t="shared" si="901"/>
        <v>271</v>
      </c>
    </row>
    <row r="3920" spans="1:14" x14ac:dyDescent="0.2">
      <c r="A3920" t="s">
        <v>4715</v>
      </c>
      <c r="B3920" s="1" t="s">
        <v>4707</v>
      </c>
      <c r="C3920" t="s">
        <v>14</v>
      </c>
      <c r="D3920" t="s">
        <v>4716</v>
      </c>
      <c r="E3920">
        <v>23</v>
      </c>
      <c r="F3920" t="s">
        <v>4536</v>
      </c>
      <c r="G3920">
        <v>2023</v>
      </c>
      <c r="H3920" t="s">
        <v>84</v>
      </c>
      <c r="I3920" t="s">
        <v>85</v>
      </c>
      <c r="J3920">
        <v>711</v>
      </c>
      <c r="K3920">
        <v>200</v>
      </c>
      <c r="L3920">
        <f t="shared" si="900"/>
        <v>511</v>
      </c>
      <c r="M3920">
        <v>240</v>
      </c>
      <c r="N3920">
        <f t="shared" si="901"/>
        <v>271</v>
      </c>
    </row>
    <row r="3921" spans="1:14" x14ac:dyDescent="0.2">
      <c r="A3921" t="s">
        <v>4708</v>
      </c>
      <c r="B3921" s="1" t="s">
        <v>4707</v>
      </c>
      <c r="C3921" t="s">
        <v>14</v>
      </c>
      <c r="D3921" t="s">
        <v>4626</v>
      </c>
      <c r="E3921">
        <v>23</v>
      </c>
      <c r="F3921" t="s">
        <v>4536</v>
      </c>
      <c r="G3921">
        <v>2023</v>
      </c>
      <c r="H3921" t="s">
        <v>170</v>
      </c>
      <c r="I3921" t="s">
        <v>171</v>
      </c>
      <c r="J3921">
        <v>711</v>
      </c>
      <c r="K3921">
        <v>200</v>
      </c>
      <c r="L3921">
        <f t="shared" si="900"/>
        <v>511</v>
      </c>
      <c r="M3921">
        <v>240</v>
      </c>
      <c r="N3921">
        <f t="shared" si="901"/>
        <v>271</v>
      </c>
    </row>
    <row r="3922" spans="1:14" x14ac:dyDescent="0.2">
      <c r="A3922" t="s">
        <v>4717</v>
      </c>
      <c r="B3922" s="1" t="s">
        <v>4709</v>
      </c>
      <c r="C3922" t="s">
        <v>43</v>
      </c>
      <c r="D3922" t="s">
        <v>1141</v>
      </c>
      <c r="E3922">
        <v>24</v>
      </c>
      <c r="F3922" t="s">
        <v>4536</v>
      </c>
      <c r="G3922">
        <v>2023</v>
      </c>
      <c r="H3922" t="s">
        <v>965</v>
      </c>
      <c r="I3922" t="s">
        <v>122</v>
      </c>
      <c r="J3922">
        <v>0</v>
      </c>
      <c r="K3922">
        <v>0</v>
      </c>
      <c r="L3922">
        <v>0</v>
      </c>
      <c r="M3922">
        <v>0</v>
      </c>
      <c r="N3922">
        <v>0</v>
      </c>
    </row>
    <row r="3923" spans="1:14" x14ac:dyDescent="0.2">
      <c r="A3923" t="s">
        <v>4623</v>
      </c>
      <c r="B3923" s="1" t="s">
        <v>4608</v>
      </c>
      <c r="C3923" t="s">
        <v>106</v>
      </c>
      <c r="D3923" t="s">
        <v>2906</v>
      </c>
      <c r="E3923">
        <v>16</v>
      </c>
      <c r="F3923" t="s">
        <v>4536</v>
      </c>
      <c r="G3923">
        <v>2023</v>
      </c>
      <c r="H3923" t="s">
        <v>4624</v>
      </c>
      <c r="I3923" t="s">
        <v>85</v>
      </c>
      <c r="J3923">
        <v>-711</v>
      </c>
      <c r="K3923">
        <v>320</v>
      </c>
      <c r="L3923">
        <f>J3923+K3923</f>
        <v>-391</v>
      </c>
      <c r="M3923">
        <v>240</v>
      </c>
      <c r="N3923">
        <f>L3923+M3923</f>
        <v>-151</v>
      </c>
    </row>
    <row r="3924" spans="1:14" x14ac:dyDescent="0.2">
      <c r="A3924" t="s">
        <v>4718</v>
      </c>
      <c r="B3924" s="1" t="s">
        <v>4709</v>
      </c>
      <c r="C3924" t="s">
        <v>43</v>
      </c>
      <c r="D3924" t="s">
        <v>840</v>
      </c>
      <c r="E3924">
        <v>24</v>
      </c>
      <c r="F3924" t="s">
        <v>4536</v>
      </c>
      <c r="G3924">
        <v>2023</v>
      </c>
      <c r="H3924" t="s">
        <v>215</v>
      </c>
      <c r="I3924" t="s">
        <v>135</v>
      </c>
      <c r="J3924">
        <v>0</v>
      </c>
      <c r="K3924">
        <v>0</v>
      </c>
      <c r="L3924">
        <v>0</v>
      </c>
      <c r="M3924">
        <v>0</v>
      </c>
      <c r="N3924">
        <v>0</v>
      </c>
    </row>
    <row r="3925" spans="1:14" x14ac:dyDescent="0.2">
      <c r="A3925" t="s">
        <v>4719</v>
      </c>
      <c r="B3925" s="1" t="s">
        <v>4709</v>
      </c>
      <c r="C3925" t="s">
        <v>43</v>
      </c>
      <c r="D3925" t="s">
        <v>840</v>
      </c>
      <c r="E3925">
        <v>24</v>
      </c>
      <c r="F3925" t="s">
        <v>4536</v>
      </c>
      <c r="G3925">
        <v>2023</v>
      </c>
      <c r="H3925" t="s">
        <v>296</v>
      </c>
      <c r="I3925" t="s">
        <v>85</v>
      </c>
      <c r="J3925">
        <v>0</v>
      </c>
      <c r="K3925">
        <v>0</v>
      </c>
      <c r="L3925">
        <v>0</v>
      </c>
      <c r="M3925">
        <v>0</v>
      </c>
      <c r="N3925">
        <v>0</v>
      </c>
    </row>
    <row r="3926" spans="1:14" x14ac:dyDescent="0.2">
      <c r="A3926" t="s">
        <v>4720</v>
      </c>
      <c r="B3926" s="1" t="s">
        <v>4709</v>
      </c>
      <c r="C3926" t="s">
        <v>14</v>
      </c>
      <c r="D3926" t="s">
        <v>548</v>
      </c>
      <c r="E3926">
        <v>24</v>
      </c>
      <c r="F3926" t="s">
        <v>4536</v>
      </c>
      <c r="G3926">
        <v>2023</v>
      </c>
      <c r="H3926" t="s">
        <v>4721</v>
      </c>
      <c r="I3926" t="s">
        <v>62</v>
      </c>
      <c r="J3926">
        <v>800</v>
      </c>
      <c r="K3926">
        <v>212</v>
      </c>
      <c r="L3926">
        <f t="shared" ref="L3926:L3932" si="902">J3926-K3926</f>
        <v>588</v>
      </c>
      <c r="M3926">
        <v>240</v>
      </c>
      <c r="N3926">
        <f t="shared" ref="N3926:N3932" si="903">L3926-M3926</f>
        <v>348</v>
      </c>
    </row>
    <row r="3927" spans="1:14" x14ac:dyDescent="0.2">
      <c r="A3927" t="s">
        <v>4719</v>
      </c>
      <c r="B3927" s="1" t="s">
        <v>4709</v>
      </c>
      <c r="C3927" t="s">
        <v>14</v>
      </c>
      <c r="D3927" t="s">
        <v>840</v>
      </c>
      <c r="E3927">
        <v>24</v>
      </c>
      <c r="F3927" t="s">
        <v>4536</v>
      </c>
      <c r="G3927">
        <v>2023</v>
      </c>
      <c r="H3927" t="s">
        <v>296</v>
      </c>
      <c r="I3927" t="s">
        <v>85</v>
      </c>
      <c r="J3927">
        <v>889</v>
      </c>
      <c r="K3927">
        <v>290</v>
      </c>
      <c r="L3927">
        <f t="shared" si="902"/>
        <v>599</v>
      </c>
      <c r="M3927">
        <v>240</v>
      </c>
      <c r="N3927">
        <f t="shared" si="903"/>
        <v>359</v>
      </c>
    </row>
    <row r="3928" spans="1:14" x14ac:dyDescent="0.2">
      <c r="A3928" t="s">
        <v>4722</v>
      </c>
      <c r="B3928" s="1" t="s">
        <v>4709</v>
      </c>
      <c r="C3928" t="s">
        <v>14</v>
      </c>
      <c r="D3928" t="s">
        <v>445</v>
      </c>
      <c r="E3928">
        <v>24</v>
      </c>
      <c r="F3928" t="s">
        <v>4536</v>
      </c>
      <c r="G3928">
        <v>2023</v>
      </c>
      <c r="H3928" t="s">
        <v>246</v>
      </c>
      <c r="I3928" t="s">
        <v>58</v>
      </c>
      <c r="J3928">
        <v>800</v>
      </c>
      <c r="K3928">
        <v>212</v>
      </c>
      <c r="L3928">
        <f t="shared" si="902"/>
        <v>588</v>
      </c>
      <c r="M3928">
        <v>240</v>
      </c>
      <c r="N3928">
        <f t="shared" si="903"/>
        <v>348</v>
      </c>
    </row>
    <row r="3929" spans="1:14" x14ac:dyDescent="0.2">
      <c r="A3929" t="s">
        <v>4710</v>
      </c>
      <c r="B3929" s="1" t="s">
        <v>4709</v>
      </c>
      <c r="C3929" t="s">
        <v>14</v>
      </c>
      <c r="D3929" t="s">
        <v>3953</v>
      </c>
      <c r="E3929">
        <v>24</v>
      </c>
      <c r="F3929" t="s">
        <v>4536</v>
      </c>
      <c r="G3929">
        <v>2023</v>
      </c>
      <c r="H3929" t="s">
        <v>4711</v>
      </c>
      <c r="I3929" t="s">
        <v>122</v>
      </c>
      <c r="J3929">
        <v>756</v>
      </c>
      <c r="K3929">
        <v>201</v>
      </c>
      <c r="L3929">
        <f t="shared" si="902"/>
        <v>555</v>
      </c>
      <c r="M3929">
        <v>240</v>
      </c>
      <c r="N3929">
        <f t="shared" si="903"/>
        <v>315</v>
      </c>
    </row>
    <row r="3930" spans="1:14" x14ac:dyDescent="0.2">
      <c r="A3930" t="s">
        <v>4723</v>
      </c>
      <c r="B3930" s="1" t="s">
        <v>4709</v>
      </c>
      <c r="C3930" t="s">
        <v>14</v>
      </c>
      <c r="D3930" t="s">
        <v>1233</v>
      </c>
      <c r="E3930">
        <v>24</v>
      </c>
      <c r="F3930" t="s">
        <v>4536</v>
      </c>
      <c r="G3930">
        <v>2023</v>
      </c>
      <c r="H3930" t="s">
        <v>4724</v>
      </c>
      <c r="I3930" t="s">
        <v>122</v>
      </c>
      <c r="J3930">
        <v>711</v>
      </c>
      <c r="K3930">
        <v>200</v>
      </c>
      <c r="L3930">
        <f t="shared" si="902"/>
        <v>511</v>
      </c>
      <c r="M3930">
        <v>240</v>
      </c>
      <c r="N3930">
        <f t="shared" si="903"/>
        <v>271</v>
      </c>
    </row>
    <row r="3931" spans="1:14" x14ac:dyDescent="0.2">
      <c r="A3931" t="s">
        <v>4725</v>
      </c>
      <c r="B3931" s="1" t="s">
        <v>4709</v>
      </c>
      <c r="C3931" t="s">
        <v>14</v>
      </c>
      <c r="D3931" t="s">
        <v>893</v>
      </c>
      <c r="E3931">
        <v>24</v>
      </c>
      <c r="F3931" t="s">
        <v>4536</v>
      </c>
      <c r="G3931">
        <v>2023</v>
      </c>
      <c r="H3931" t="s">
        <v>101</v>
      </c>
      <c r="I3931" t="s">
        <v>62</v>
      </c>
      <c r="J3931">
        <v>756</v>
      </c>
      <c r="K3931">
        <v>201</v>
      </c>
      <c r="L3931">
        <f t="shared" si="902"/>
        <v>555</v>
      </c>
      <c r="M3931">
        <v>240</v>
      </c>
      <c r="N3931">
        <f t="shared" si="903"/>
        <v>315</v>
      </c>
    </row>
    <row r="3932" spans="1:14" x14ac:dyDescent="0.2">
      <c r="A3932" t="s">
        <v>4726</v>
      </c>
      <c r="B3932" s="1" t="s">
        <v>4709</v>
      </c>
      <c r="C3932" t="s">
        <v>14</v>
      </c>
      <c r="D3932" t="s">
        <v>792</v>
      </c>
      <c r="E3932">
        <v>24</v>
      </c>
      <c r="F3932" t="s">
        <v>4536</v>
      </c>
      <c r="G3932">
        <v>2023</v>
      </c>
      <c r="H3932" t="s">
        <v>84</v>
      </c>
      <c r="I3932" t="s">
        <v>85</v>
      </c>
      <c r="J3932">
        <v>756</v>
      </c>
      <c r="K3932">
        <v>201</v>
      </c>
      <c r="L3932">
        <f t="shared" si="902"/>
        <v>555</v>
      </c>
      <c r="M3932">
        <v>240</v>
      </c>
      <c r="N3932">
        <f t="shared" si="903"/>
        <v>315</v>
      </c>
    </row>
    <row r="3933" spans="1:14" x14ac:dyDescent="0.2">
      <c r="A3933" t="s">
        <v>4727</v>
      </c>
      <c r="B3933" s="1" t="s">
        <v>4709</v>
      </c>
      <c r="C3933" t="s">
        <v>20</v>
      </c>
      <c r="D3933" t="s">
        <v>792</v>
      </c>
      <c r="E3933">
        <v>24</v>
      </c>
      <c r="F3933" t="s">
        <v>4536</v>
      </c>
      <c r="G3933">
        <v>2023</v>
      </c>
      <c r="H3933" t="s">
        <v>4660</v>
      </c>
      <c r="I3933" t="s">
        <v>97</v>
      </c>
      <c r="J3933">
        <v>0</v>
      </c>
      <c r="K3933">
        <v>0</v>
      </c>
      <c r="L3933">
        <v>0</v>
      </c>
      <c r="M3933">
        <v>0</v>
      </c>
      <c r="N3933">
        <v>0</v>
      </c>
    </row>
    <row r="3934" spans="1:14" x14ac:dyDescent="0.2">
      <c r="A3934" t="s">
        <v>4728</v>
      </c>
      <c r="B3934" s="1" t="s">
        <v>4709</v>
      </c>
      <c r="C3934" t="s">
        <v>14</v>
      </c>
      <c r="D3934" t="s">
        <v>1010</v>
      </c>
      <c r="E3934">
        <v>24</v>
      </c>
      <c r="F3934" t="s">
        <v>4536</v>
      </c>
      <c r="G3934">
        <v>2023</v>
      </c>
      <c r="H3934" t="s">
        <v>4729</v>
      </c>
      <c r="I3934" t="s">
        <v>19</v>
      </c>
      <c r="J3934">
        <v>711</v>
      </c>
      <c r="K3934">
        <v>200</v>
      </c>
      <c r="L3934">
        <f t="shared" ref="L3934:L3937" si="904">J3934-K3934</f>
        <v>511</v>
      </c>
      <c r="M3934">
        <v>240</v>
      </c>
      <c r="N3934">
        <f t="shared" ref="N3934:N3937" si="905">L3934-M3934</f>
        <v>271</v>
      </c>
    </row>
    <row r="3935" spans="1:14" x14ac:dyDescent="0.2">
      <c r="A3935" t="s">
        <v>4730</v>
      </c>
      <c r="B3935" s="1" t="s">
        <v>4709</v>
      </c>
      <c r="C3935" t="s">
        <v>14</v>
      </c>
      <c r="D3935" t="s">
        <v>490</v>
      </c>
      <c r="E3935">
        <v>24</v>
      </c>
      <c r="F3935" t="s">
        <v>4536</v>
      </c>
      <c r="G3935">
        <v>2023</v>
      </c>
      <c r="H3935" t="s">
        <v>775</v>
      </c>
      <c r="I3935" t="s">
        <v>502</v>
      </c>
      <c r="J3935">
        <v>800</v>
      </c>
      <c r="K3935">
        <v>212</v>
      </c>
      <c r="L3935">
        <f t="shared" si="904"/>
        <v>588</v>
      </c>
      <c r="M3935">
        <v>240</v>
      </c>
      <c r="N3935">
        <f t="shared" si="905"/>
        <v>348</v>
      </c>
    </row>
    <row r="3936" spans="1:14" x14ac:dyDescent="0.2">
      <c r="A3936" t="s">
        <v>4731</v>
      </c>
      <c r="B3936" s="1" t="s">
        <v>4709</v>
      </c>
      <c r="C3936" t="s">
        <v>14</v>
      </c>
      <c r="D3936" t="s">
        <v>891</v>
      </c>
      <c r="E3936">
        <v>24</v>
      </c>
      <c r="F3936" t="s">
        <v>4536</v>
      </c>
      <c r="G3936">
        <v>2023</v>
      </c>
      <c r="H3936" t="s">
        <v>4732</v>
      </c>
      <c r="I3936" t="s">
        <v>32</v>
      </c>
      <c r="J3936">
        <v>756</v>
      </c>
      <c r="K3936">
        <v>201</v>
      </c>
      <c r="L3936">
        <f t="shared" si="904"/>
        <v>555</v>
      </c>
      <c r="M3936">
        <v>240</v>
      </c>
      <c r="N3936">
        <f t="shared" si="905"/>
        <v>315</v>
      </c>
    </row>
    <row r="3937" spans="1:14" x14ac:dyDescent="0.2">
      <c r="A3937" t="s">
        <v>4717</v>
      </c>
      <c r="B3937" s="1" t="s">
        <v>4709</v>
      </c>
      <c r="C3937" t="s">
        <v>14</v>
      </c>
      <c r="D3937" t="s">
        <v>1141</v>
      </c>
      <c r="E3937">
        <v>24</v>
      </c>
      <c r="F3937" t="s">
        <v>4536</v>
      </c>
      <c r="G3937">
        <v>2023</v>
      </c>
      <c r="H3937" t="s">
        <v>965</v>
      </c>
      <c r="I3937" t="s">
        <v>122</v>
      </c>
      <c r="J3937">
        <v>711</v>
      </c>
      <c r="K3937">
        <v>200</v>
      </c>
      <c r="L3937">
        <f t="shared" si="904"/>
        <v>511</v>
      </c>
      <c r="M3937">
        <v>240</v>
      </c>
      <c r="N3937">
        <f t="shared" si="905"/>
        <v>271</v>
      </c>
    </row>
    <row r="3938" spans="1:14" x14ac:dyDescent="0.2">
      <c r="A3938" t="s">
        <v>4734</v>
      </c>
      <c r="B3938" s="1" t="s">
        <v>4733</v>
      </c>
      <c r="C3938" t="s">
        <v>43</v>
      </c>
      <c r="D3938" t="s">
        <v>1556</v>
      </c>
      <c r="E3938">
        <v>25</v>
      </c>
      <c r="F3938" t="s">
        <v>4536</v>
      </c>
      <c r="G3938">
        <v>2023</v>
      </c>
      <c r="H3938" t="s">
        <v>104</v>
      </c>
      <c r="I3938" t="s">
        <v>62</v>
      </c>
      <c r="J3938">
        <v>0</v>
      </c>
      <c r="K3938">
        <v>0</v>
      </c>
      <c r="L3938">
        <v>0</v>
      </c>
      <c r="M3938">
        <v>0</v>
      </c>
      <c r="N3938">
        <v>0</v>
      </c>
    </row>
    <row r="3939" spans="1:14" x14ac:dyDescent="0.2">
      <c r="A3939" t="s">
        <v>4672</v>
      </c>
      <c r="B3939" s="1" t="s">
        <v>4646</v>
      </c>
      <c r="C3939" t="s">
        <v>106</v>
      </c>
      <c r="D3939" t="s">
        <v>840</v>
      </c>
      <c r="E3939">
        <v>19</v>
      </c>
      <c r="F3939" t="s">
        <v>4536</v>
      </c>
      <c r="G3939">
        <v>2023</v>
      </c>
      <c r="H3939" t="s">
        <v>260</v>
      </c>
      <c r="I3939" t="s">
        <v>28</v>
      </c>
      <c r="J3939">
        <v>-1778</v>
      </c>
      <c r="K3939">
        <v>500</v>
      </c>
      <c r="L3939">
        <f t="shared" ref="L3939:L3940" si="906">J3939+K3939</f>
        <v>-1278</v>
      </c>
      <c r="M3939">
        <v>240</v>
      </c>
      <c r="N3939">
        <f t="shared" ref="N3939:N3940" si="907">L3939+M3939</f>
        <v>-1038</v>
      </c>
    </row>
    <row r="3940" spans="1:14" x14ac:dyDescent="0.2">
      <c r="A3940" t="s">
        <v>4701</v>
      </c>
      <c r="B3940" s="1" t="s">
        <v>4691</v>
      </c>
      <c r="C3940" t="s">
        <v>106</v>
      </c>
      <c r="D3940" t="s">
        <v>4168</v>
      </c>
      <c r="E3940">
        <v>22</v>
      </c>
      <c r="F3940" t="s">
        <v>4536</v>
      </c>
      <c r="G3940">
        <v>2023</v>
      </c>
      <c r="H3940" t="s">
        <v>170</v>
      </c>
      <c r="I3940" t="s">
        <v>171</v>
      </c>
      <c r="J3940">
        <v>-711</v>
      </c>
      <c r="K3940">
        <v>320</v>
      </c>
      <c r="L3940">
        <f t="shared" si="906"/>
        <v>-391</v>
      </c>
      <c r="M3940">
        <v>240</v>
      </c>
      <c r="N3940">
        <f t="shared" si="907"/>
        <v>-151</v>
      </c>
    </row>
    <row r="3941" spans="1:14" x14ac:dyDescent="0.2">
      <c r="A3941" t="s">
        <v>4618</v>
      </c>
      <c r="B3941" s="1" t="s">
        <v>4608</v>
      </c>
      <c r="C3941" t="s">
        <v>43</v>
      </c>
      <c r="D3941" t="s">
        <v>1015</v>
      </c>
      <c r="E3941">
        <v>16</v>
      </c>
      <c r="F3941" t="s">
        <v>4536</v>
      </c>
      <c r="G3941">
        <v>2023</v>
      </c>
      <c r="H3941" t="s">
        <v>4619</v>
      </c>
      <c r="I3941" t="s">
        <v>62</v>
      </c>
      <c r="J3941">
        <v>0</v>
      </c>
      <c r="K3941">
        <v>0</v>
      </c>
      <c r="L3941">
        <v>0</v>
      </c>
      <c r="M3941">
        <v>0</v>
      </c>
      <c r="N3941">
        <v>0</v>
      </c>
    </row>
    <row r="3942" spans="1:14" x14ac:dyDescent="0.2">
      <c r="A3942" t="s">
        <v>4736</v>
      </c>
      <c r="B3942" s="1" t="s">
        <v>4735</v>
      </c>
      <c r="C3942" t="s">
        <v>43</v>
      </c>
      <c r="D3942" t="s">
        <v>1354</v>
      </c>
      <c r="E3942">
        <v>26</v>
      </c>
      <c r="F3942" t="s">
        <v>4536</v>
      </c>
      <c r="G3942">
        <v>2023</v>
      </c>
      <c r="H3942" t="s">
        <v>2502</v>
      </c>
      <c r="I3942" t="s">
        <v>23</v>
      </c>
      <c r="J3942">
        <v>0</v>
      </c>
      <c r="K3942">
        <v>0</v>
      </c>
      <c r="L3942">
        <v>0</v>
      </c>
      <c r="M3942">
        <v>0</v>
      </c>
      <c r="N3942">
        <v>0</v>
      </c>
    </row>
    <row r="3943" spans="1:14" x14ac:dyDescent="0.2">
      <c r="A3943" t="s">
        <v>4618</v>
      </c>
      <c r="B3943" s="1" t="s">
        <v>4608</v>
      </c>
      <c r="C3943" t="s">
        <v>106</v>
      </c>
      <c r="D3943" t="s">
        <v>1015</v>
      </c>
      <c r="E3943">
        <v>16</v>
      </c>
      <c r="F3943" t="s">
        <v>4536</v>
      </c>
      <c r="G3943">
        <v>2023</v>
      </c>
      <c r="H3943" t="s">
        <v>4619</v>
      </c>
      <c r="I3943" t="s">
        <v>62</v>
      </c>
      <c r="J3943">
        <v>-756</v>
      </c>
      <c r="K3943">
        <v>320</v>
      </c>
      <c r="L3943">
        <f>J3943+K3943</f>
        <v>-436</v>
      </c>
      <c r="M3943">
        <v>240</v>
      </c>
      <c r="N3943">
        <f>L3943+M3943</f>
        <v>-196</v>
      </c>
    </row>
    <row r="3944" spans="1:14" x14ac:dyDescent="0.2">
      <c r="A3944" t="s">
        <v>4737</v>
      </c>
      <c r="B3944" s="1" t="s">
        <v>4735</v>
      </c>
      <c r="C3944" t="s">
        <v>43</v>
      </c>
      <c r="D3944" t="s">
        <v>1539</v>
      </c>
      <c r="E3944">
        <v>26</v>
      </c>
      <c r="F3944" t="s">
        <v>4536</v>
      </c>
      <c r="G3944">
        <v>2023</v>
      </c>
      <c r="H3944" t="s">
        <v>31</v>
      </c>
      <c r="I3944" t="s">
        <v>32</v>
      </c>
      <c r="J3944">
        <v>0</v>
      </c>
      <c r="K3944">
        <v>0</v>
      </c>
      <c r="L3944">
        <v>0</v>
      </c>
      <c r="M3944">
        <v>0</v>
      </c>
      <c r="N3944">
        <v>0</v>
      </c>
    </row>
    <row r="3945" spans="1:14" x14ac:dyDescent="0.2">
      <c r="A3945" t="s">
        <v>4738</v>
      </c>
      <c r="B3945" s="1" t="s">
        <v>4735</v>
      </c>
      <c r="C3945" t="s">
        <v>43</v>
      </c>
      <c r="D3945" t="s">
        <v>895</v>
      </c>
      <c r="E3945">
        <v>26</v>
      </c>
      <c r="F3945" t="s">
        <v>4536</v>
      </c>
      <c r="G3945">
        <v>2023</v>
      </c>
      <c r="H3945" t="s">
        <v>1952</v>
      </c>
      <c r="I3945" t="s">
        <v>212</v>
      </c>
      <c r="J3945">
        <v>0</v>
      </c>
      <c r="K3945">
        <v>0</v>
      </c>
      <c r="L3945">
        <v>0</v>
      </c>
      <c r="M3945">
        <v>0</v>
      </c>
      <c r="N3945">
        <v>0</v>
      </c>
    </row>
    <row r="3946" spans="1:14" x14ac:dyDescent="0.2">
      <c r="A3946" t="s">
        <v>4739</v>
      </c>
      <c r="B3946" s="1" t="s">
        <v>4735</v>
      </c>
      <c r="C3946" t="s">
        <v>14</v>
      </c>
      <c r="D3946" t="s">
        <v>4740</v>
      </c>
      <c r="E3946">
        <v>26</v>
      </c>
      <c r="F3946" t="s">
        <v>4536</v>
      </c>
      <c r="G3946">
        <v>2023</v>
      </c>
      <c r="H3946" t="s">
        <v>4741</v>
      </c>
      <c r="I3946" t="s">
        <v>376</v>
      </c>
      <c r="J3946">
        <v>711</v>
      </c>
      <c r="K3946">
        <v>200</v>
      </c>
      <c r="L3946">
        <f t="shared" ref="L3946:L3963" si="908">J3946-K3946</f>
        <v>511</v>
      </c>
      <c r="M3946">
        <v>240</v>
      </c>
      <c r="N3946">
        <f t="shared" ref="N3946:N3963" si="909">L3946-M3946</f>
        <v>271</v>
      </c>
    </row>
    <row r="3947" spans="1:14" x14ac:dyDescent="0.2">
      <c r="A3947" t="s">
        <v>4742</v>
      </c>
      <c r="B3947" s="1" t="s">
        <v>4735</v>
      </c>
      <c r="C3947" t="s">
        <v>14</v>
      </c>
      <c r="D3947" t="s">
        <v>895</v>
      </c>
      <c r="E3947">
        <v>26</v>
      </c>
      <c r="F3947" t="s">
        <v>4536</v>
      </c>
      <c r="G3947">
        <v>2023</v>
      </c>
      <c r="H3947" t="s">
        <v>246</v>
      </c>
      <c r="I3947" t="s">
        <v>58</v>
      </c>
      <c r="J3947">
        <v>756</v>
      </c>
      <c r="K3947">
        <v>201</v>
      </c>
      <c r="L3947">
        <f t="shared" si="908"/>
        <v>555</v>
      </c>
      <c r="M3947">
        <v>240</v>
      </c>
      <c r="N3947">
        <f t="shared" si="909"/>
        <v>315</v>
      </c>
    </row>
    <row r="3948" spans="1:14" x14ac:dyDescent="0.2">
      <c r="A3948" t="s">
        <v>4743</v>
      </c>
      <c r="B3948" s="1" t="s">
        <v>4735</v>
      </c>
      <c r="C3948" t="s">
        <v>14</v>
      </c>
      <c r="D3948" t="s">
        <v>792</v>
      </c>
      <c r="E3948">
        <v>26</v>
      </c>
      <c r="F3948" t="s">
        <v>4536</v>
      </c>
      <c r="G3948">
        <v>2023</v>
      </c>
      <c r="H3948" t="s">
        <v>246</v>
      </c>
      <c r="I3948" t="s">
        <v>58</v>
      </c>
      <c r="J3948">
        <v>756</v>
      </c>
      <c r="K3948">
        <v>201</v>
      </c>
      <c r="L3948">
        <f t="shared" si="908"/>
        <v>555</v>
      </c>
      <c r="M3948">
        <v>240</v>
      </c>
      <c r="N3948">
        <f t="shared" si="909"/>
        <v>315</v>
      </c>
    </row>
    <row r="3949" spans="1:14" x14ac:dyDescent="0.2">
      <c r="A3949" t="s">
        <v>4744</v>
      </c>
      <c r="B3949" s="1" t="s">
        <v>4735</v>
      </c>
      <c r="C3949" t="s">
        <v>14</v>
      </c>
      <c r="D3949" t="s">
        <v>242</v>
      </c>
      <c r="E3949">
        <v>26</v>
      </c>
      <c r="F3949" t="s">
        <v>4536</v>
      </c>
      <c r="G3949">
        <v>2023</v>
      </c>
      <c r="H3949" t="s">
        <v>246</v>
      </c>
      <c r="I3949" t="s">
        <v>58</v>
      </c>
      <c r="J3949">
        <v>800</v>
      </c>
      <c r="K3949">
        <v>212</v>
      </c>
      <c r="L3949">
        <f t="shared" si="908"/>
        <v>588</v>
      </c>
      <c r="M3949">
        <v>240</v>
      </c>
      <c r="N3949">
        <f t="shared" si="909"/>
        <v>348</v>
      </c>
    </row>
    <row r="3950" spans="1:14" x14ac:dyDescent="0.2">
      <c r="A3950" t="s">
        <v>4737</v>
      </c>
      <c r="B3950" s="1" t="s">
        <v>4735</v>
      </c>
      <c r="C3950" t="s">
        <v>14</v>
      </c>
      <c r="D3950" t="s">
        <v>1539</v>
      </c>
      <c r="E3950">
        <v>26</v>
      </c>
      <c r="F3950" t="s">
        <v>4536</v>
      </c>
      <c r="G3950">
        <v>2023</v>
      </c>
      <c r="H3950" t="s">
        <v>31</v>
      </c>
      <c r="I3950" t="s">
        <v>32</v>
      </c>
      <c r="J3950">
        <v>711</v>
      </c>
      <c r="K3950">
        <v>200</v>
      </c>
      <c r="L3950">
        <f t="shared" si="908"/>
        <v>511</v>
      </c>
      <c r="M3950">
        <v>240</v>
      </c>
      <c r="N3950">
        <f t="shared" si="909"/>
        <v>271</v>
      </c>
    </row>
    <row r="3951" spans="1:14" x14ac:dyDescent="0.2">
      <c r="A3951" t="s">
        <v>4745</v>
      </c>
      <c r="B3951" s="1" t="s">
        <v>4735</v>
      </c>
      <c r="C3951" t="s">
        <v>14</v>
      </c>
      <c r="D3951" t="s">
        <v>893</v>
      </c>
      <c r="E3951">
        <v>26</v>
      </c>
      <c r="F3951" t="s">
        <v>4536</v>
      </c>
      <c r="G3951">
        <v>2023</v>
      </c>
      <c r="H3951" t="s">
        <v>246</v>
      </c>
      <c r="I3951" t="s">
        <v>58</v>
      </c>
      <c r="J3951">
        <v>756</v>
      </c>
      <c r="K3951">
        <v>201</v>
      </c>
      <c r="L3951">
        <f t="shared" si="908"/>
        <v>555</v>
      </c>
      <c r="M3951">
        <v>240</v>
      </c>
      <c r="N3951">
        <f t="shared" si="909"/>
        <v>315</v>
      </c>
    </row>
    <row r="3952" spans="1:14" x14ac:dyDescent="0.2">
      <c r="A3952" t="s">
        <v>4746</v>
      </c>
      <c r="B3952" s="1" t="s">
        <v>4735</v>
      </c>
      <c r="C3952" t="s">
        <v>14</v>
      </c>
      <c r="D3952" t="s">
        <v>242</v>
      </c>
      <c r="E3952">
        <v>26</v>
      </c>
      <c r="F3952" t="s">
        <v>4536</v>
      </c>
      <c r="G3952">
        <v>2023</v>
      </c>
      <c r="H3952" t="s">
        <v>3125</v>
      </c>
      <c r="I3952" t="s">
        <v>163</v>
      </c>
      <c r="J3952">
        <v>800</v>
      </c>
      <c r="K3952">
        <v>212</v>
      </c>
      <c r="L3952">
        <f t="shared" si="908"/>
        <v>588</v>
      </c>
      <c r="M3952">
        <v>240</v>
      </c>
      <c r="N3952">
        <f t="shared" si="909"/>
        <v>348</v>
      </c>
    </row>
    <row r="3953" spans="1:14" x14ac:dyDescent="0.2">
      <c r="A3953" t="s">
        <v>4747</v>
      </c>
      <c r="B3953" s="1" t="s">
        <v>4735</v>
      </c>
      <c r="C3953" t="s">
        <v>14</v>
      </c>
      <c r="D3953" t="s">
        <v>4497</v>
      </c>
      <c r="E3953">
        <v>26</v>
      </c>
      <c r="F3953" t="s">
        <v>4536</v>
      </c>
      <c r="G3953">
        <v>2023</v>
      </c>
      <c r="H3953" t="s">
        <v>779</v>
      </c>
      <c r="I3953" t="s">
        <v>58</v>
      </c>
      <c r="J3953">
        <v>756</v>
      </c>
      <c r="K3953">
        <v>201</v>
      </c>
      <c r="L3953">
        <f t="shared" si="908"/>
        <v>555</v>
      </c>
      <c r="M3953">
        <v>240</v>
      </c>
      <c r="N3953">
        <f t="shared" si="909"/>
        <v>315</v>
      </c>
    </row>
    <row r="3954" spans="1:14" x14ac:dyDescent="0.2">
      <c r="A3954" t="s">
        <v>4748</v>
      </c>
      <c r="B3954" s="1" t="s">
        <v>4691</v>
      </c>
      <c r="C3954" t="s">
        <v>14</v>
      </c>
      <c r="D3954" t="s">
        <v>1015</v>
      </c>
      <c r="E3954">
        <v>22</v>
      </c>
      <c r="F3954" t="s">
        <v>4536</v>
      </c>
      <c r="G3954">
        <v>2023</v>
      </c>
      <c r="H3954" t="s">
        <v>4749</v>
      </c>
      <c r="I3954" t="s">
        <v>502</v>
      </c>
      <c r="J3954">
        <v>756</v>
      </c>
      <c r="K3954">
        <v>201</v>
      </c>
      <c r="L3954">
        <f t="shared" si="908"/>
        <v>555</v>
      </c>
      <c r="M3954">
        <v>240</v>
      </c>
      <c r="N3954">
        <f t="shared" si="909"/>
        <v>315</v>
      </c>
    </row>
    <row r="3955" spans="1:14" x14ac:dyDescent="0.2">
      <c r="A3955" t="s">
        <v>4750</v>
      </c>
      <c r="B3955" s="1" t="s">
        <v>4733</v>
      </c>
      <c r="C3955" t="s">
        <v>14</v>
      </c>
      <c r="D3955" t="s">
        <v>1303</v>
      </c>
      <c r="E3955">
        <v>25</v>
      </c>
      <c r="F3955" t="s">
        <v>4536</v>
      </c>
      <c r="G3955">
        <v>2023</v>
      </c>
      <c r="H3955" t="s">
        <v>49</v>
      </c>
      <c r="I3955" t="s">
        <v>32</v>
      </c>
      <c r="J3955">
        <v>756</v>
      </c>
      <c r="K3955">
        <v>201</v>
      </c>
      <c r="L3955">
        <f t="shared" si="908"/>
        <v>555</v>
      </c>
      <c r="M3955">
        <v>240</v>
      </c>
      <c r="N3955">
        <f t="shared" si="909"/>
        <v>315</v>
      </c>
    </row>
    <row r="3956" spans="1:14" x14ac:dyDescent="0.2">
      <c r="A3956" t="s">
        <v>4751</v>
      </c>
      <c r="B3956" s="1" t="s">
        <v>4735</v>
      </c>
      <c r="C3956" t="s">
        <v>14</v>
      </c>
      <c r="D3956" t="s">
        <v>308</v>
      </c>
      <c r="E3956">
        <v>26</v>
      </c>
      <c r="F3956" t="s">
        <v>4536</v>
      </c>
      <c r="G3956">
        <v>2023</v>
      </c>
      <c r="H3956" t="s">
        <v>2289</v>
      </c>
      <c r="I3956" t="s">
        <v>32</v>
      </c>
      <c r="J3956">
        <v>800</v>
      </c>
      <c r="K3956">
        <v>212</v>
      </c>
      <c r="L3956">
        <f t="shared" si="908"/>
        <v>588</v>
      </c>
      <c r="M3956">
        <v>240</v>
      </c>
      <c r="N3956">
        <f t="shared" si="909"/>
        <v>348</v>
      </c>
    </row>
    <row r="3957" spans="1:14" x14ac:dyDescent="0.2">
      <c r="A3957" t="s">
        <v>4752</v>
      </c>
      <c r="B3957" s="1" t="s">
        <v>4735</v>
      </c>
      <c r="C3957" t="s">
        <v>14</v>
      </c>
      <c r="D3957" t="s">
        <v>242</v>
      </c>
      <c r="E3957">
        <v>26</v>
      </c>
      <c r="F3957" t="s">
        <v>4536</v>
      </c>
      <c r="G3957">
        <v>2023</v>
      </c>
      <c r="H3957" t="s">
        <v>157</v>
      </c>
      <c r="I3957" t="s">
        <v>97</v>
      </c>
      <c r="J3957">
        <v>800</v>
      </c>
      <c r="K3957">
        <v>212</v>
      </c>
      <c r="L3957">
        <f t="shared" si="908"/>
        <v>588</v>
      </c>
      <c r="M3957">
        <v>240</v>
      </c>
      <c r="N3957">
        <f t="shared" si="909"/>
        <v>348</v>
      </c>
    </row>
    <row r="3958" spans="1:14" x14ac:dyDescent="0.2">
      <c r="A3958" t="s">
        <v>4753</v>
      </c>
      <c r="B3958" s="1" t="s">
        <v>4735</v>
      </c>
      <c r="C3958" t="s">
        <v>14</v>
      </c>
      <c r="D3958" t="s">
        <v>2142</v>
      </c>
      <c r="E3958">
        <v>26</v>
      </c>
      <c r="F3958" t="s">
        <v>4536</v>
      </c>
      <c r="G3958">
        <v>2023</v>
      </c>
      <c r="H3958" t="s">
        <v>1351</v>
      </c>
      <c r="I3958" t="s">
        <v>85</v>
      </c>
      <c r="J3958">
        <v>756</v>
      </c>
      <c r="K3958">
        <v>201</v>
      </c>
      <c r="L3958">
        <f t="shared" si="908"/>
        <v>555</v>
      </c>
      <c r="M3958">
        <v>240</v>
      </c>
      <c r="N3958">
        <f t="shared" si="909"/>
        <v>315</v>
      </c>
    </row>
    <row r="3959" spans="1:14" x14ac:dyDescent="0.2">
      <c r="A3959" t="s">
        <v>4754</v>
      </c>
      <c r="B3959" s="1" t="s">
        <v>4735</v>
      </c>
      <c r="C3959" t="s">
        <v>14</v>
      </c>
      <c r="D3959" t="s">
        <v>70</v>
      </c>
      <c r="E3959">
        <v>26</v>
      </c>
      <c r="F3959" t="s">
        <v>4536</v>
      </c>
      <c r="G3959">
        <v>2023</v>
      </c>
      <c r="H3959" t="s">
        <v>84</v>
      </c>
      <c r="I3959" t="s">
        <v>85</v>
      </c>
      <c r="J3959">
        <v>756</v>
      </c>
      <c r="K3959">
        <v>201</v>
      </c>
      <c r="L3959">
        <f t="shared" si="908"/>
        <v>555</v>
      </c>
      <c r="M3959">
        <v>240</v>
      </c>
      <c r="N3959">
        <f t="shared" si="909"/>
        <v>315</v>
      </c>
    </row>
    <row r="3960" spans="1:14" x14ac:dyDescent="0.2">
      <c r="A3960" t="s">
        <v>4756</v>
      </c>
      <c r="B3960" s="1" t="s">
        <v>4755</v>
      </c>
      <c r="C3960" t="s">
        <v>14</v>
      </c>
      <c r="D3960" t="s">
        <v>308</v>
      </c>
      <c r="E3960">
        <v>27</v>
      </c>
      <c r="F3960" t="s">
        <v>4536</v>
      </c>
      <c r="G3960">
        <v>2023</v>
      </c>
      <c r="H3960" t="s">
        <v>84</v>
      </c>
      <c r="I3960" t="s">
        <v>85</v>
      </c>
      <c r="J3960">
        <v>800</v>
      </c>
      <c r="K3960">
        <v>212</v>
      </c>
      <c r="L3960">
        <f t="shared" si="908"/>
        <v>588</v>
      </c>
      <c r="M3960">
        <v>240</v>
      </c>
      <c r="N3960">
        <f t="shared" si="909"/>
        <v>348</v>
      </c>
    </row>
    <row r="3961" spans="1:14" x14ac:dyDescent="0.2">
      <c r="A3961" t="s">
        <v>4757</v>
      </c>
      <c r="B3961" s="1" t="s">
        <v>4733</v>
      </c>
      <c r="C3961" t="s">
        <v>14</v>
      </c>
      <c r="D3961" t="s">
        <v>840</v>
      </c>
      <c r="E3961">
        <v>25</v>
      </c>
      <c r="F3961" t="s">
        <v>4536</v>
      </c>
      <c r="G3961">
        <v>2023</v>
      </c>
      <c r="H3961" t="s">
        <v>185</v>
      </c>
      <c r="I3961" t="s">
        <v>62</v>
      </c>
      <c r="J3961">
        <v>889</v>
      </c>
      <c r="K3961">
        <v>290</v>
      </c>
      <c r="L3961">
        <f t="shared" si="908"/>
        <v>599</v>
      </c>
      <c r="M3961">
        <v>240</v>
      </c>
      <c r="N3961">
        <f t="shared" si="909"/>
        <v>359</v>
      </c>
    </row>
    <row r="3962" spans="1:14" x14ac:dyDescent="0.2">
      <c r="A3962" t="s">
        <v>4758</v>
      </c>
      <c r="B3962" s="1" t="s">
        <v>4735</v>
      </c>
      <c r="C3962" t="s">
        <v>14</v>
      </c>
      <c r="D3962" t="s">
        <v>1015</v>
      </c>
      <c r="E3962">
        <v>26</v>
      </c>
      <c r="F3962" t="s">
        <v>4536</v>
      </c>
      <c r="G3962">
        <v>2023</v>
      </c>
      <c r="H3962" t="s">
        <v>4619</v>
      </c>
      <c r="I3962" t="s">
        <v>62</v>
      </c>
      <c r="J3962">
        <v>756</v>
      </c>
      <c r="K3962">
        <v>201</v>
      </c>
      <c r="L3962">
        <f t="shared" si="908"/>
        <v>555</v>
      </c>
      <c r="M3962">
        <v>240</v>
      </c>
      <c r="N3962">
        <f t="shared" si="909"/>
        <v>315</v>
      </c>
    </row>
    <row r="3963" spans="1:14" x14ac:dyDescent="0.2">
      <c r="A3963" t="s">
        <v>4759</v>
      </c>
      <c r="B3963" s="1" t="s">
        <v>4733</v>
      </c>
      <c r="C3963" t="s">
        <v>14</v>
      </c>
      <c r="D3963" t="s">
        <v>1089</v>
      </c>
      <c r="E3963">
        <v>25</v>
      </c>
      <c r="F3963" t="s">
        <v>4536</v>
      </c>
      <c r="G3963">
        <v>2023</v>
      </c>
      <c r="H3963" t="s">
        <v>2284</v>
      </c>
      <c r="I3963" t="s">
        <v>85</v>
      </c>
      <c r="J3963">
        <v>711</v>
      </c>
      <c r="K3963">
        <v>200</v>
      </c>
      <c r="L3963">
        <f t="shared" si="908"/>
        <v>511</v>
      </c>
      <c r="M3963">
        <v>240</v>
      </c>
      <c r="N3963">
        <f t="shared" si="909"/>
        <v>271</v>
      </c>
    </row>
    <row r="3964" spans="1:14" x14ac:dyDescent="0.2">
      <c r="A3964" t="s">
        <v>4748</v>
      </c>
      <c r="B3964" s="1" t="s">
        <v>4691</v>
      </c>
      <c r="C3964" t="s">
        <v>106</v>
      </c>
      <c r="D3964" t="s">
        <v>1015</v>
      </c>
      <c r="E3964">
        <v>22</v>
      </c>
      <c r="F3964" t="s">
        <v>4536</v>
      </c>
      <c r="G3964">
        <v>2023</v>
      </c>
      <c r="H3964" t="s">
        <v>4749</v>
      </c>
      <c r="I3964" t="s">
        <v>502</v>
      </c>
      <c r="J3964">
        <v>-756</v>
      </c>
      <c r="K3964">
        <v>320</v>
      </c>
      <c r="L3964">
        <f>J3964+K3964</f>
        <v>-436</v>
      </c>
      <c r="M3964">
        <v>240</v>
      </c>
      <c r="N3964">
        <f>L3964+M3964</f>
        <v>-196</v>
      </c>
    </row>
    <row r="3965" spans="1:14" x14ac:dyDescent="0.2">
      <c r="A3965" t="s">
        <v>4760</v>
      </c>
      <c r="B3965" s="1" t="s">
        <v>4755</v>
      </c>
      <c r="C3965" t="s">
        <v>43</v>
      </c>
      <c r="D3965" t="s">
        <v>993</v>
      </c>
      <c r="E3965">
        <v>27</v>
      </c>
      <c r="F3965" t="s">
        <v>4536</v>
      </c>
      <c r="G3965">
        <v>2023</v>
      </c>
      <c r="H3965" t="s">
        <v>4761</v>
      </c>
      <c r="I3965" t="s">
        <v>250</v>
      </c>
      <c r="J3965">
        <v>0</v>
      </c>
      <c r="K3965">
        <v>0</v>
      </c>
      <c r="L3965">
        <v>0</v>
      </c>
      <c r="M3965">
        <v>0</v>
      </c>
      <c r="N3965">
        <v>0</v>
      </c>
    </row>
    <row r="3966" spans="1:14" x14ac:dyDescent="0.2">
      <c r="A3966" t="s">
        <v>4762</v>
      </c>
      <c r="B3966" s="1" t="s">
        <v>4755</v>
      </c>
      <c r="C3966" t="s">
        <v>14</v>
      </c>
      <c r="D3966" t="s">
        <v>801</v>
      </c>
      <c r="E3966">
        <v>27</v>
      </c>
      <c r="F3966" t="s">
        <v>4536</v>
      </c>
      <c r="G3966">
        <v>2023</v>
      </c>
      <c r="H3966" t="s">
        <v>4763</v>
      </c>
      <c r="I3966" t="s">
        <v>62</v>
      </c>
      <c r="J3966">
        <v>756</v>
      </c>
      <c r="K3966">
        <v>201</v>
      </c>
      <c r="L3966">
        <f t="shared" ref="L3966:L3973" si="910">J3966-K3966</f>
        <v>555</v>
      </c>
      <c r="M3966">
        <v>240</v>
      </c>
      <c r="N3966">
        <f t="shared" ref="N3966:N3973" si="911">L3966-M3966</f>
        <v>315</v>
      </c>
    </row>
    <row r="3967" spans="1:14" x14ac:dyDescent="0.2">
      <c r="A3967" t="s">
        <v>4764</v>
      </c>
      <c r="B3967" s="1" t="s">
        <v>4755</v>
      </c>
      <c r="C3967" t="s">
        <v>14</v>
      </c>
      <c r="D3967" t="s">
        <v>4765</v>
      </c>
      <c r="E3967">
        <v>27</v>
      </c>
      <c r="F3967" t="s">
        <v>4536</v>
      </c>
      <c r="G3967">
        <v>2023</v>
      </c>
      <c r="H3967" t="s">
        <v>104</v>
      </c>
      <c r="I3967" t="s">
        <v>62</v>
      </c>
      <c r="J3967">
        <v>711</v>
      </c>
      <c r="K3967">
        <v>200</v>
      </c>
      <c r="L3967">
        <f t="shared" si="910"/>
        <v>511</v>
      </c>
      <c r="M3967">
        <v>240</v>
      </c>
      <c r="N3967">
        <f t="shared" si="911"/>
        <v>271</v>
      </c>
    </row>
    <row r="3968" spans="1:14" x14ac:dyDescent="0.2">
      <c r="A3968" t="s">
        <v>4766</v>
      </c>
      <c r="B3968" s="1" t="s">
        <v>4755</v>
      </c>
      <c r="C3968" t="s">
        <v>14</v>
      </c>
      <c r="D3968" t="s">
        <v>1386</v>
      </c>
      <c r="E3968">
        <v>27</v>
      </c>
      <c r="F3968" t="s">
        <v>4536</v>
      </c>
      <c r="G3968">
        <v>2023</v>
      </c>
      <c r="H3968" t="s">
        <v>4767</v>
      </c>
      <c r="I3968" t="s">
        <v>135</v>
      </c>
      <c r="J3968">
        <v>711</v>
      </c>
      <c r="K3968">
        <v>200</v>
      </c>
      <c r="L3968">
        <f t="shared" si="910"/>
        <v>511</v>
      </c>
      <c r="M3968">
        <v>240</v>
      </c>
      <c r="N3968">
        <f t="shared" si="911"/>
        <v>271</v>
      </c>
    </row>
    <row r="3969" spans="1:14" x14ac:dyDescent="0.2">
      <c r="A3969" t="s">
        <v>4768</v>
      </c>
      <c r="B3969" s="1" t="s">
        <v>4755</v>
      </c>
      <c r="C3969" t="s">
        <v>14</v>
      </c>
      <c r="D3969" t="s">
        <v>3489</v>
      </c>
      <c r="E3969">
        <v>27</v>
      </c>
      <c r="F3969" t="s">
        <v>4536</v>
      </c>
      <c r="G3969">
        <v>2023</v>
      </c>
      <c r="H3969" t="s">
        <v>4769</v>
      </c>
      <c r="I3969" t="s">
        <v>135</v>
      </c>
      <c r="J3969">
        <v>711</v>
      </c>
      <c r="K3969">
        <v>200</v>
      </c>
      <c r="L3969">
        <f t="shared" si="910"/>
        <v>511</v>
      </c>
      <c r="M3969">
        <v>240</v>
      </c>
      <c r="N3969">
        <f t="shared" si="911"/>
        <v>271</v>
      </c>
    </row>
    <row r="3970" spans="1:14" x14ac:dyDescent="0.2">
      <c r="A3970" t="s">
        <v>4770</v>
      </c>
      <c r="B3970" s="1" t="s">
        <v>4755</v>
      </c>
      <c r="C3970" t="s">
        <v>14</v>
      </c>
      <c r="D3970" t="s">
        <v>792</v>
      </c>
      <c r="E3970">
        <v>27</v>
      </c>
      <c r="F3970" t="s">
        <v>4536</v>
      </c>
      <c r="G3970">
        <v>2023</v>
      </c>
      <c r="H3970" t="s">
        <v>104</v>
      </c>
      <c r="I3970" t="s">
        <v>62</v>
      </c>
      <c r="J3970">
        <v>756</v>
      </c>
      <c r="K3970">
        <v>201</v>
      </c>
      <c r="L3970">
        <f t="shared" si="910"/>
        <v>555</v>
      </c>
      <c r="M3970">
        <v>240</v>
      </c>
      <c r="N3970">
        <f t="shared" si="911"/>
        <v>315</v>
      </c>
    </row>
    <row r="3971" spans="1:14" x14ac:dyDescent="0.2">
      <c r="A3971" t="s">
        <v>4771</v>
      </c>
      <c r="B3971" s="1" t="s">
        <v>4755</v>
      </c>
      <c r="C3971" t="s">
        <v>14</v>
      </c>
      <c r="D3971" t="s">
        <v>1076</v>
      </c>
      <c r="E3971">
        <v>27</v>
      </c>
      <c r="F3971" t="s">
        <v>4536</v>
      </c>
      <c r="G3971">
        <v>2023</v>
      </c>
      <c r="H3971" t="s">
        <v>4772</v>
      </c>
      <c r="I3971" t="s">
        <v>85</v>
      </c>
      <c r="J3971">
        <v>756</v>
      </c>
      <c r="K3971">
        <v>201</v>
      </c>
      <c r="L3971">
        <f t="shared" si="910"/>
        <v>555</v>
      </c>
      <c r="M3971">
        <v>240</v>
      </c>
      <c r="N3971">
        <f t="shared" si="911"/>
        <v>315</v>
      </c>
    </row>
    <row r="3972" spans="1:14" x14ac:dyDescent="0.2">
      <c r="A3972" t="s">
        <v>4773</v>
      </c>
      <c r="B3972" s="1" t="s">
        <v>4755</v>
      </c>
      <c r="C3972" t="s">
        <v>14</v>
      </c>
      <c r="D3972" t="s">
        <v>2906</v>
      </c>
      <c r="E3972">
        <v>27</v>
      </c>
      <c r="F3972" t="s">
        <v>4536</v>
      </c>
      <c r="G3972">
        <v>2023</v>
      </c>
      <c r="H3972" t="s">
        <v>4624</v>
      </c>
      <c r="I3972" t="s">
        <v>85</v>
      </c>
      <c r="J3972">
        <v>711</v>
      </c>
      <c r="K3972">
        <v>200</v>
      </c>
      <c r="L3972">
        <f t="shared" si="910"/>
        <v>511</v>
      </c>
      <c r="M3972">
        <v>240</v>
      </c>
      <c r="N3972">
        <f t="shared" si="911"/>
        <v>271</v>
      </c>
    </row>
    <row r="3973" spans="1:14" x14ac:dyDescent="0.2">
      <c r="A3973" t="s">
        <v>4774</v>
      </c>
      <c r="B3973" s="1" t="s">
        <v>4755</v>
      </c>
      <c r="C3973" t="s">
        <v>14</v>
      </c>
      <c r="D3973" t="s">
        <v>840</v>
      </c>
      <c r="E3973">
        <v>27</v>
      </c>
      <c r="F3973" t="s">
        <v>4536</v>
      </c>
      <c r="G3973">
        <v>2023</v>
      </c>
      <c r="H3973" t="s">
        <v>260</v>
      </c>
      <c r="I3973" t="s">
        <v>28</v>
      </c>
      <c r="J3973">
        <v>1778</v>
      </c>
      <c r="K3973">
        <v>520</v>
      </c>
      <c r="L3973">
        <f t="shared" si="910"/>
        <v>1258</v>
      </c>
      <c r="M3973">
        <v>240</v>
      </c>
      <c r="N3973">
        <f t="shared" si="911"/>
        <v>1018</v>
      </c>
    </row>
    <row r="3974" spans="1:14" x14ac:dyDescent="0.2">
      <c r="A3974" t="s">
        <v>4601</v>
      </c>
      <c r="B3974" s="1" t="s">
        <v>4594</v>
      </c>
      <c r="C3974" t="s">
        <v>106</v>
      </c>
      <c r="D3974" t="s">
        <v>1218</v>
      </c>
      <c r="E3974">
        <v>14</v>
      </c>
      <c r="F3974" t="s">
        <v>4536</v>
      </c>
      <c r="G3974">
        <v>2023</v>
      </c>
      <c r="H3974" t="s">
        <v>4602</v>
      </c>
      <c r="I3974" t="s">
        <v>58</v>
      </c>
      <c r="J3974">
        <v>-799</v>
      </c>
      <c r="K3974">
        <v>320</v>
      </c>
      <c r="L3974">
        <f t="shared" ref="L3974:L3975" si="912">J3974+K3974</f>
        <v>-479</v>
      </c>
      <c r="M3974">
        <v>240</v>
      </c>
      <c r="N3974">
        <f t="shared" ref="N3974:N3975" si="913">L3974+M3974</f>
        <v>-239</v>
      </c>
    </row>
    <row r="3975" spans="1:14" x14ac:dyDescent="0.2">
      <c r="A3975" t="s">
        <v>4708</v>
      </c>
      <c r="B3975" s="1" t="s">
        <v>4707</v>
      </c>
      <c r="C3975" t="s">
        <v>106</v>
      </c>
      <c r="D3975" t="s">
        <v>4626</v>
      </c>
      <c r="E3975">
        <v>23</v>
      </c>
      <c r="F3975" t="s">
        <v>4536</v>
      </c>
      <c r="G3975">
        <v>2023</v>
      </c>
      <c r="H3975" t="s">
        <v>170</v>
      </c>
      <c r="I3975" t="s">
        <v>171</v>
      </c>
      <c r="J3975">
        <v>-711</v>
      </c>
      <c r="K3975">
        <v>320</v>
      </c>
      <c r="L3975">
        <f t="shared" si="912"/>
        <v>-391</v>
      </c>
      <c r="M3975">
        <v>240</v>
      </c>
      <c r="N3975">
        <f t="shared" si="913"/>
        <v>-151</v>
      </c>
    </row>
    <row r="3976" spans="1:14" x14ac:dyDescent="0.2">
      <c r="A3976" t="s">
        <v>4776</v>
      </c>
      <c r="B3976" s="1" t="s">
        <v>4775</v>
      </c>
      <c r="C3976" t="s">
        <v>43</v>
      </c>
      <c r="D3976" t="s">
        <v>1354</v>
      </c>
      <c r="E3976">
        <v>29</v>
      </c>
      <c r="F3976" t="s">
        <v>4536</v>
      </c>
      <c r="G3976">
        <v>2023</v>
      </c>
      <c r="H3976" t="s">
        <v>2618</v>
      </c>
      <c r="I3976" t="s">
        <v>2619</v>
      </c>
      <c r="J3976">
        <v>0</v>
      </c>
      <c r="K3976">
        <v>0</v>
      </c>
      <c r="L3976">
        <v>0</v>
      </c>
      <c r="M3976">
        <v>0</v>
      </c>
      <c r="N3976">
        <v>0</v>
      </c>
    </row>
    <row r="3977" spans="1:14" x14ac:dyDescent="0.2">
      <c r="A3977" t="s">
        <v>4776</v>
      </c>
      <c r="B3977" s="1" t="s">
        <v>4775</v>
      </c>
      <c r="C3977" t="s">
        <v>43</v>
      </c>
      <c r="D3977" t="s">
        <v>284</v>
      </c>
      <c r="E3977">
        <v>29</v>
      </c>
      <c r="F3977" t="s">
        <v>4536</v>
      </c>
      <c r="G3977">
        <v>2023</v>
      </c>
      <c r="H3977" t="s">
        <v>2618</v>
      </c>
      <c r="I3977" t="s">
        <v>2619</v>
      </c>
      <c r="J3977">
        <v>0</v>
      </c>
      <c r="K3977">
        <v>0</v>
      </c>
      <c r="L3977">
        <v>0</v>
      </c>
      <c r="M3977">
        <v>0</v>
      </c>
      <c r="N3977">
        <v>0</v>
      </c>
    </row>
    <row r="3978" spans="1:14" x14ac:dyDescent="0.2">
      <c r="A3978" t="s">
        <v>4778</v>
      </c>
      <c r="B3978" s="1" t="s">
        <v>4777</v>
      </c>
      <c r="C3978" t="s">
        <v>14</v>
      </c>
      <c r="D3978" t="s">
        <v>1985</v>
      </c>
      <c r="E3978">
        <v>28</v>
      </c>
      <c r="F3978" t="s">
        <v>4536</v>
      </c>
      <c r="G3978">
        <v>2023</v>
      </c>
      <c r="H3978" t="s">
        <v>84</v>
      </c>
      <c r="I3978" t="s">
        <v>85</v>
      </c>
      <c r="J3978">
        <v>756</v>
      </c>
      <c r="K3978">
        <v>201</v>
      </c>
      <c r="L3978">
        <f t="shared" ref="L3978:L3985" si="914">J3978-K3978</f>
        <v>555</v>
      </c>
      <c r="M3978">
        <v>240</v>
      </c>
      <c r="N3978">
        <f t="shared" ref="N3978:N3985" si="915">L3978-M3978</f>
        <v>315</v>
      </c>
    </row>
    <row r="3979" spans="1:14" x14ac:dyDescent="0.2">
      <c r="A3979" t="s">
        <v>4779</v>
      </c>
      <c r="B3979" s="1" t="s">
        <v>4777</v>
      </c>
      <c r="C3979" t="s">
        <v>14</v>
      </c>
      <c r="D3979" t="s">
        <v>45</v>
      </c>
      <c r="E3979">
        <v>28</v>
      </c>
      <c r="F3979" t="s">
        <v>4536</v>
      </c>
      <c r="G3979">
        <v>2023</v>
      </c>
      <c r="H3979" t="s">
        <v>4780</v>
      </c>
      <c r="I3979" t="s">
        <v>2020</v>
      </c>
      <c r="J3979">
        <v>800</v>
      </c>
      <c r="K3979">
        <v>212</v>
      </c>
      <c r="L3979">
        <f t="shared" si="914"/>
        <v>588</v>
      </c>
      <c r="M3979">
        <v>240</v>
      </c>
      <c r="N3979">
        <f t="shared" si="915"/>
        <v>348</v>
      </c>
    </row>
    <row r="3980" spans="1:14" x14ac:dyDescent="0.2">
      <c r="A3980" t="s">
        <v>4781</v>
      </c>
      <c r="B3980" s="1" t="s">
        <v>4777</v>
      </c>
      <c r="C3980" t="s">
        <v>14</v>
      </c>
      <c r="D3980" t="s">
        <v>573</v>
      </c>
      <c r="E3980">
        <v>28</v>
      </c>
      <c r="F3980" t="s">
        <v>4536</v>
      </c>
      <c r="G3980">
        <v>2023</v>
      </c>
      <c r="H3980" t="s">
        <v>157</v>
      </c>
      <c r="I3980" t="s">
        <v>97</v>
      </c>
      <c r="J3980">
        <v>800</v>
      </c>
      <c r="K3980">
        <v>212</v>
      </c>
      <c r="L3980">
        <f t="shared" si="914"/>
        <v>588</v>
      </c>
      <c r="M3980">
        <v>240</v>
      </c>
      <c r="N3980">
        <f t="shared" si="915"/>
        <v>348</v>
      </c>
    </row>
    <row r="3981" spans="1:14" x14ac:dyDescent="0.2">
      <c r="A3981" t="s">
        <v>4782</v>
      </c>
      <c r="B3981" s="1" t="s">
        <v>4777</v>
      </c>
      <c r="C3981" t="s">
        <v>14</v>
      </c>
      <c r="D3981" t="s">
        <v>548</v>
      </c>
      <c r="E3981">
        <v>28</v>
      </c>
      <c r="F3981" t="s">
        <v>4536</v>
      </c>
      <c r="G3981">
        <v>2023</v>
      </c>
      <c r="H3981" t="s">
        <v>4783</v>
      </c>
      <c r="I3981" t="s">
        <v>502</v>
      </c>
      <c r="J3981">
        <v>800</v>
      </c>
      <c r="K3981">
        <v>212</v>
      </c>
      <c r="L3981">
        <f t="shared" si="914"/>
        <v>588</v>
      </c>
      <c r="M3981">
        <v>240</v>
      </c>
      <c r="N3981">
        <f t="shared" si="915"/>
        <v>348</v>
      </c>
    </row>
    <row r="3982" spans="1:14" x14ac:dyDescent="0.2">
      <c r="A3982" t="s">
        <v>4784</v>
      </c>
      <c r="B3982" s="1" t="s">
        <v>4777</v>
      </c>
      <c r="C3982" t="s">
        <v>14</v>
      </c>
      <c r="D3982" t="s">
        <v>420</v>
      </c>
      <c r="E3982">
        <v>28</v>
      </c>
      <c r="F3982" t="s">
        <v>4536</v>
      </c>
      <c r="G3982">
        <v>2023</v>
      </c>
      <c r="H3982" t="s">
        <v>4453</v>
      </c>
      <c r="I3982" t="s">
        <v>257</v>
      </c>
      <c r="J3982">
        <v>800</v>
      </c>
      <c r="K3982">
        <v>212</v>
      </c>
      <c r="L3982">
        <f t="shared" si="914"/>
        <v>588</v>
      </c>
      <c r="M3982">
        <v>240</v>
      </c>
      <c r="N3982">
        <f t="shared" si="915"/>
        <v>348</v>
      </c>
    </row>
    <row r="3983" spans="1:14" x14ac:dyDescent="0.2">
      <c r="A3983" t="s">
        <v>4785</v>
      </c>
      <c r="B3983" s="1" t="s">
        <v>4777</v>
      </c>
      <c r="C3983" t="s">
        <v>14</v>
      </c>
      <c r="D3983" t="s">
        <v>893</v>
      </c>
      <c r="E3983">
        <v>28</v>
      </c>
      <c r="F3983" t="s">
        <v>4536</v>
      </c>
      <c r="G3983">
        <v>2023</v>
      </c>
      <c r="H3983" t="s">
        <v>104</v>
      </c>
      <c r="I3983" t="s">
        <v>62</v>
      </c>
      <c r="J3983">
        <v>756</v>
      </c>
      <c r="K3983">
        <v>201</v>
      </c>
      <c r="L3983">
        <f t="shared" si="914"/>
        <v>555</v>
      </c>
      <c r="M3983">
        <v>240</v>
      </c>
      <c r="N3983">
        <f t="shared" si="915"/>
        <v>315</v>
      </c>
    </row>
    <row r="3984" spans="1:14" x14ac:dyDescent="0.2">
      <c r="A3984" t="s">
        <v>4786</v>
      </c>
      <c r="B3984" s="1" t="s">
        <v>4777</v>
      </c>
      <c r="C3984" t="s">
        <v>14</v>
      </c>
      <c r="D3984" t="s">
        <v>448</v>
      </c>
      <c r="E3984">
        <v>28</v>
      </c>
      <c r="F3984" t="s">
        <v>4536</v>
      </c>
      <c r="G3984">
        <v>2023</v>
      </c>
      <c r="H3984" t="s">
        <v>104</v>
      </c>
      <c r="I3984" t="s">
        <v>62</v>
      </c>
      <c r="J3984">
        <v>800</v>
      </c>
      <c r="K3984">
        <v>212</v>
      </c>
      <c r="L3984">
        <f t="shared" si="914"/>
        <v>588</v>
      </c>
      <c r="M3984">
        <v>240</v>
      </c>
      <c r="N3984">
        <f t="shared" si="915"/>
        <v>348</v>
      </c>
    </row>
    <row r="3985" spans="1:14" x14ac:dyDescent="0.2">
      <c r="A3985" t="s">
        <v>4787</v>
      </c>
      <c r="B3985" s="1" t="s">
        <v>4777</v>
      </c>
      <c r="C3985" t="s">
        <v>14</v>
      </c>
      <c r="D3985" t="s">
        <v>2310</v>
      </c>
      <c r="E3985">
        <v>28</v>
      </c>
      <c r="F3985" t="s">
        <v>4536</v>
      </c>
      <c r="G3985">
        <v>2023</v>
      </c>
      <c r="H3985" t="s">
        <v>929</v>
      </c>
      <c r="I3985" t="s">
        <v>144</v>
      </c>
      <c r="J3985">
        <v>711</v>
      </c>
      <c r="K3985">
        <v>200</v>
      </c>
      <c r="L3985">
        <f t="shared" si="914"/>
        <v>511</v>
      </c>
      <c r="M3985">
        <v>240</v>
      </c>
      <c r="N3985">
        <f t="shared" si="915"/>
        <v>271</v>
      </c>
    </row>
    <row r="3986" spans="1:14" x14ac:dyDescent="0.2">
      <c r="A3986" t="s">
        <v>4695</v>
      </c>
      <c r="B3986" s="1" t="s">
        <v>4691</v>
      </c>
      <c r="C3986" t="s">
        <v>106</v>
      </c>
      <c r="D3986" t="s">
        <v>1486</v>
      </c>
      <c r="E3986">
        <v>22</v>
      </c>
      <c r="F3986" t="s">
        <v>4536</v>
      </c>
      <c r="G3986">
        <v>2023</v>
      </c>
      <c r="H3986" t="s">
        <v>84</v>
      </c>
      <c r="I3986" t="s">
        <v>85</v>
      </c>
      <c r="J3986">
        <v>-889</v>
      </c>
      <c r="K3986">
        <v>375</v>
      </c>
      <c r="L3986">
        <f>J3986+K3986</f>
        <v>-514</v>
      </c>
      <c r="M3986">
        <v>240</v>
      </c>
      <c r="N3986">
        <f>L3986+M3986</f>
        <v>-274</v>
      </c>
    </row>
    <row r="3987" spans="1:14" x14ac:dyDescent="0.2">
      <c r="A3987" t="s">
        <v>4789</v>
      </c>
      <c r="B3987" s="1" t="s">
        <v>4788</v>
      </c>
      <c r="C3987" t="s">
        <v>43</v>
      </c>
      <c r="D3987" t="s">
        <v>893</v>
      </c>
      <c r="E3987">
        <v>30</v>
      </c>
      <c r="F3987" t="s">
        <v>4536</v>
      </c>
      <c r="G3987">
        <v>2023</v>
      </c>
      <c r="H3987" t="s">
        <v>223</v>
      </c>
      <c r="I3987" t="s">
        <v>32</v>
      </c>
      <c r="J3987">
        <v>0</v>
      </c>
      <c r="K3987">
        <v>0</v>
      </c>
      <c r="L3987">
        <v>0</v>
      </c>
      <c r="M3987">
        <v>0</v>
      </c>
      <c r="N3987">
        <v>0</v>
      </c>
    </row>
    <row r="3988" spans="1:14" x14ac:dyDescent="0.2">
      <c r="A3988" t="s">
        <v>4725</v>
      </c>
      <c r="B3988" s="1" t="s">
        <v>4709</v>
      </c>
      <c r="C3988" t="s">
        <v>106</v>
      </c>
      <c r="D3988" t="s">
        <v>893</v>
      </c>
      <c r="E3988">
        <v>24</v>
      </c>
      <c r="F3988" t="s">
        <v>4536</v>
      </c>
      <c r="G3988">
        <v>2023</v>
      </c>
      <c r="H3988" t="s">
        <v>101</v>
      </c>
      <c r="I3988" t="s">
        <v>62</v>
      </c>
      <c r="J3988">
        <v>-756</v>
      </c>
      <c r="K3988">
        <v>320</v>
      </c>
      <c r="L3988">
        <f>J3988+K3988</f>
        <v>-436</v>
      </c>
      <c r="M3988">
        <v>240</v>
      </c>
      <c r="N3988">
        <f>L3988+M3988</f>
        <v>-196</v>
      </c>
    </row>
    <row r="3989" spans="1:14" x14ac:dyDescent="0.2">
      <c r="A3989" t="s">
        <v>4790</v>
      </c>
      <c r="B3989" s="1" t="s">
        <v>4788</v>
      </c>
      <c r="C3989" t="s">
        <v>43</v>
      </c>
      <c r="D3989" t="s">
        <v>1303</v>
      </c>
      <c r="E3989">
        <v>30</v>
      </c>
      <c r="F3989" t="s">
        <v>4536</v>
      </c>
      <c r="G3989">
        <v>2023</v>
      </c>
      <c r="H3989" t="s">
        <v>104</v>
      </c>
      <c r="I3989" t="s">
        <v>62</v>
      </c>
      <c r="J3989">
        <v>0</v>
      </c>
      <c r="K3989">
        <v>0</v>
      </c>
      <c r="L3989">
        <v>0</v>
      </c>
      <c r="M3989">
        <v>0</v>
      </c>
      <c r="N3989">
        <v>0</v>
      </c>
    </row>
    <row r="3990" spans="1:14" x14ac:dyDescent="0.2">
      <c r="A3990" t="s">
        <v>4791</v>
      </c>
      <c r="B3990" s="1" t="s">
        <v>4775</v>
      </c>
      <c r="C3990" t="s">
        <v>20</v>
      </c>
      <c r="D3990" t="s">
        <v>242</v>
      </c>
      <c r="E3990">
        <v>29</v>
      </c>
      <c r="F3990" t="s">
        <v>4536</v>
      </c>
      <c r="G3990">
        <v>2023</v>
      </c>
      <c r="H3990" t="s">
        <v>3125</v>
      </c>
      <c r="I3990" t="s">
        <v>163</v>
      </c>
      <c r="J3990">
        <v>0</v>
      </c>
      <c r="K3990">
        <v>0</v>
      </c>
      <c r="L3990">
        <v>0</v>
      </c>
      <c r="M3990">
        <v>0</v>
      </c>
      <c r="N3990">
        <v>0</v>
      </c>
    </row>
    <row r="3991" spans="1:14" x14ac:dyDescent="0.2">
      <c r="A3991" t="s">
        <v>4792</v>
      </c>
      <c r="B3991" s="1" t="s">
        <v>4775</v>
      </c>
      <c r="C3991" t="s">
        <v>14</v>
      </c>
      <c r="D3991" t="s">
        <v>2310</v>
      </c>
      <c r="E3991">
        <v>29</v>
      </c>
      <c r="F3991" t="s">
        <v>4536</v>
      </c>
      <c r="G3991">
        <v>2023</v>
      </c>
      <c r="H3991" t="s">
        <v>2081</v>
      </c>
      <c r="I3991" t="s">
        <v>85</v>
      </c>
      <c r="J3991">
        <v>711</v>
      </c>
      <c r="K3991">
        <v>200</v>
      </c>
      <c r="L3991">
        <f t="shared" ref="L3991:L4001" si="916">J3991-K3991</f>
        <v>511</v>
      </c>
      <c r="M3991">
        <v>240</v>
      </c>
      <c r="N3991">
        <f t="shared" ref="N3991:N4001" si="917">L3991-M3991</f>
        <v>271</v>
      </c>
    </row>
    <row r="3992" spans="1:14" x14ac:dyDescent="0.2">
      <c r="A3992" t="s">
        <v>4793</v>
      </c>
      <c r="B3992" s="1" t="s">
        <v>4775</v>
      </c>
      <c r="C3992" t="s">
        <v>14</v>
      </c>
      <c r="D3992" t="s">
        <v>890</v>
      </c>
      <c r="E3992">
        <v>29</v>
      </c>
      <c r="F3992" t="s">
        <v>4536</v>
      </c>
      <c r="G3992">
        <v>2023</v>
      </c>
      <c r="H3992" t="s">
        <v>4794</v>
      </c>
      <c r="I3992" t="s">
        <v>58</v>
      </c>
      <c r="J3992">
        <v>756</v>
      </c>
      <c r="K3992">
        <v>201</v>
      </c>
      <c r="L3992">
        <f t="shared" si="916"/>
        <v>555</v>
      </c>
      <c r="M3992">
        <v>240</v>
      </c>
      <c r="N3992">
        <f t="shared" si="917"/>
        <v>315</v>
      </c>
    </row>
    <row r="3993" spans="1:14" x14ac:dyDescent="0.2">
      <c r="A3993" t="s">
        <v>4795</v>
      </c>
      <c r="B3993" s="1" t="s">
        <v>4775</v>
      </c>
      <c r="C3993" t="s">
        <v>14</v>
      </c>
      <c r="D3993" t="s">
        <v>993</v>
      </c>
      <c r="E3993">
        <v>29</v>
      </c>
      <c r="F3993" t="s">
        <v>4536</v>
      </c>
      <c r="G3993">
        <v>2023</v>
      </c>
      <c r="H3993" t="s">
        <v>4796</v>
      </c>
      <c r="I3993" t="s">
        <v>502</v>
      </c>
      <c r="J3993">
        <v>711</v>
      </c>
      <c r="K3993">
        <v>200</v>
      </c>
      <c r="L3993">
        <f t="shared" si="916"/>
        <v>511</v>
      </c>
      <c r="M3993">
        <v>240</v>
      </c>
      <c r="N3993">
        <f t="shared" si="917"/>
        <v>271</v>
      </c>
    </row>
    <row r="3994" spans="1:14" x14ac:dyDescent="0.2">
      <c r="A3994" t="s">
        <v>4797</v>
      </c>
      <c r="B3994" s="1" t="s">
        <v>4775</v>
      </c>
      <c r="C3994" t="s">
        <v>14</v>
      </c>
      <c r="D3994" t="s">
        <v>993</v>
      </c>
      <c r="E3994">
        <v>29</v>
      </c>
      <c r="F3994" t="s">
        <v>4536</v>
      </c>
      <c r="G3994">
        <v>2023</v>
      </c>
      <c r="H3994" t="s">
        <v>65</v>
      </c>
      <c r="I3994" t="s">
        <v>37</v>
      </c>
      <c r="J3994">
        <v>711</v>
      </c>
      <c r="K3994">
        <v>200</v>
      </c>
      <c r="L3994">
        <f t="shared" si="916"/>
        <v>511</v>
      </c>
      <c r="M3994">
        <v>240</v>
      </c>
      <c r="N3994">
        <f t="shared" si="917"/>
        <v>271</v>
      </c>
    </row>
    <row r="3995" spans="1:14" x14ac:dyDescent="0.2">
      <c r="A3995" t="s">
        <v>4798</v>
      </c>
      <c r="B3995" s="1" t="s">
        <v>4775</v>
      </c>
      <c r="C3995" t="s">
        <v>14</v>
      </c>
      <c r="D3995" t="s">
        <v>425</v>
      </c>
      <c r="E3995">
        <v>29</v>
      </c>
      <c r="F3995" t="s">
        <v>4536</v>
      </c>
      <c r="G3995">
        <v>2023</v>
      </c>
      <c r="H3995" t="s">
        <v>235</v>
      </c>
      <c r="I3995" t="s">
        <v>62</v>
      </c>
      <c r="J3995">
        <v>711</v>
      </c>
      <c r="K3995">
        <v>200</v>
      </c>
      <c r="L3995">
        <f t="shared" si="916"/>
        <v>511</v>
      </c>
      <c r="M3995">
        <v>240</v>
      </c>
      <c r="N3995">
        <f t="shared" si="917"/>
        <v>271</v>
      </c>
    </row>
    <row r="3996" spans="1:14" x14ac:dyDescent="0.2">
      <c r="A3996" t="s">
        <v>4799</v>
      </c>
      <c r="B3996" s="1" t="s">
        <v>4775</v>
      </c>
      <c r="C3996" t="s">
        <v>14</v>
      </c>
      <c r="D3996" t="s">
        <v>490</v>
      </c>
      <c r="E3996">
        <v>29</v>
      </c>
      <c r="F3996" t="s">
        <v>4536</v>
      </c>
      <c r="G3996">
        <v>2023</v>
      </c>
      <c r="H3996" t="s">
        <v>84</v>
      </c>
      <c r="I3996" t="s">
        <v>85</v>
      </c>
      <c r="J3996">
        <v>800</v>
      </c>
      <c r="K3996">
        <v>212</v>
      </c>
      <c r="L3996">
        <f t="shared" si="916"/>
        <v>588</v>
      </c>
      <c r="M3996">
        <v>240</v>
      </c>
      <c r="N3996">
        <f t="shared" si="917"/>
        <v>348</v>
      </c>
    </row>
    <row r="3997" spans="1:14" x14ac:dyDescent="0.2">
      <c r="A3997" t="s">
        <v>4800</v>
      </c>
      <c r="B3997" s="1" t="s">
        <v>4775</v>
      </c>
      <c r="C3997" t="s">
        <v>14</v>
      </c>
      <c r="D3997" t="s">
        <v>1089</v>
      </c>
      <c r="E3997">
        <v>29</v>
      </c>
      <c r="F3997" t="s">
        <v>4536</v>
      </c>
      <c r="G3997">
        <v>2023</v>
      </c>
      <c r="H3997" t="s">
        <v>4801</v>
      </c>
      <c r="I3997" t="s">
        <v>122</v>
      </c>
      <c r="J3997">
        <v>711</v>
      </c>
      <c r="K3997">
        <v>200</v>
      </c>
      <c r="L3997">
        <f t="shared" si="916"/>
        <v>511</v>
      </c>
      <c r="M3997">
        <v>240</v>
      </c>
      <c r="N3997">
        <f t="shared" si="917"/>
        <v>271</v>
      </c>
    </row>
    <row r="3998" spans="1:14" x14ac:dyDescent="0.2">
      <c r="A3998" t="s">
        <v>4802</v>
      </c>
      <c r="B3998" s="1" t="s">
        <v>4775</v>
      </c>
      <c r="C3998" t="s">
        <v>14</v>
      </c>
      <c r="D3998" t="s">
        <v>1448</v>
      </c>
      <c r="E3998">
        <v>29</v>
      </c>
      <c r="F3998" t="s">
        <v>4536</v>
      </c>
      <c r="G3998">
        <v>2023</v>
      </c>
      <c r="H3998" t="s">
        <v>84</v>
      </c>
      <c r="I3998" t="s">
        <v>85</v>
      </c>
      <c r="J3998">
        <v>756</v>
      </c>
      <c r="K3998">
        <v>201</v>
      </c>
      <c r="L3998">
        <f t="shared" si="916"/>
        <v>555</v>
      </c>
      <c r="M3998">
        <v>240</v>
      </c>
      <c r="N3998">
        <f t="shared" si="917"/>
        <v>315</v>
      </c>
    </row>
    <row r="3999" spans="1:14" x14ac:dyDescent="0.2">
      <c r="A3999" t="s">
        <v>4803</v>
      </c>
      <c r="B3999" s="1" t="s">
        <v>4775</v>
      </c>
      <c r="C3999" t="s">
        <v>14</v>
      </c>
      <c r="D3999" t="s">
        <v>242</v>
      </c>
      <c r="E3999">
        <v>29</v>
      </c>
      <c r="F3999" t="s">
        <v>4536</v>
      </c>
      <c r="G3999">
        <v>2023</v>
      </c>
      <c r="H3999" t="s">
        <v>4018</v>
      </c>
      <c r="I3999" t="s">
        <v>85</v>
      </c>
      <c r="J3999">
        <v>800</v>
      </c>
      <c r="K3999">
        <v>212</v>
      </c>
      <c r="L3999">
        <f t="shared" si="916"/>
        <v>588</v>
      </c>
      <c r="M3999">
        <v>240</v>
      </c>
      <c r="N3999">
        <f t="shared" si="917"/>
        <v>348</v>
      </c>
    </row>
    <row r="4000" spans="1:14" x14ac:dyDescent="0.2">
      <c r="A4000" t="s">
        <v>4776</v>
      </c>
      <c r="B4000" s="1" t="s">
        <v>4775</v>
      </c>
      <c r="C4000" t="s">
        <v>14</v>
      </c>
      <c r="D4000" t="s">
        <v>1354</v>
      </c>
      <c r="E4000">
        <v>29</v>
      </c>
      <c r="F4000" t="s">
        <v>4536</v>
      </c>
      <c r="G4000">
        <v>2023</v>
      </c>
      <c r="H4000" t="s">
        <v>2618</v>
      </c>
      <c r="I4000" t="s">
        <v>2619</v>
      </c>
      <c r="J4000">
        <v>711</v>
      </c>
      <c r="K4000">
        <v>200</v>
      </c>
      <c r="L4000">
        <f t="shared" si="916"/>
        <v>511</v>
      </c>
      <c r="M4000">
        <v>240</v>
      </c>
      <c r="N4000">
        <f t="shared" si="917"/>
        <v>271</v>
      </c>
    </row>
    <row r="4001" spans="1:14" x14ac:dyDescent="0.2">
      <c r="A4001" t="s">
        <v>4776</v>
      </c>
      <c r="B4001" s="1" t="s">
        <v>4775</v>
      </c>
      <c r="C4001" t="s">
        <v>14</v>
      </c>
      <c r="D4001" t="s">
        <v>284</v>
      </c>
      <c r="E4001">
        <v>29</v>
      </c>
      <c r="F4001" t="s">
        <v>4536</v>
      </c>
      <c r="G4001">
        <v>2023</v>
      </c>
      <c r="H4001" t="s">
        <v>2618</v>
      </c>
      <c r="I4001" t="s">
        <v>2619</v>
      </c>
      <c r="J4001">
        <v>800</v>
      </c>
      <c r="K4001">
        <v>212</v>
      </c>
      <c r="L4001">
        <f t="shared" si="916"/>
        <v>588</v>
      </c>
      <c r="M4001">
        <v>240</v>
      </c>
      <c r="N4001">
        <f t="shared" si="917"/>
        <v>348</v>
      </c>
    </row>
    <row r="4002" spans="1:14" x14ac:dyDescent="0.2">
      <c r="A4002" t="s">
        <v>4686</v>
      </c>
      <c r="B4002" s="1" t="s">
        <v>4670</v>
      </c>
      <c r="C4002" t="s">
        <v>106</v>
      </c>
      <c r="D4002" t="s">
        <v>895</v>
      </c>
      <c r="E4002">
        <v>20</v>
      </c>
      <c r="F4002" t="s">
        <v>4536</v>
      </c>
      <c r="G4002">
        <v>2023</v>
      </c>
      <c r="H4002" t="s">
        <v>104</v>
      </c>
      <c r="I4002" t="s">
        <v>62</v>
      </c>
      <c r="J4002">
        <v>-756</v>
      </c>
      <c r="K4002">
        <v>320</v>
      </c>
      <c r="L4002">
        <f>J4002+K4002</f>
        <v>-436</v>
      </c>
      <c r="M4002">
        <v>240</v>
      </c>
      <c r="N4002">
        <f>L4002+M4002</f>
        <v>-196</v>
      </c>
    </row>
    <row r="4003" spans="1:14" x14ac:dyDescent="0.2">
      <c r="A4003" t="s">
        <v>4804</v>
      </c>
      <c r="B4003" s="1" t="s">
        <v>4775</v>
      </c>
      <c r="C4003" t="s">
        <v>14</v>
      </c>
      <c r="D4003" t="s">
        <v>895</v>
      </c>
      <c r="E4003">
        <v>29</v>
      </c>
      <c r="F4003" t="s">
        <v>4536</v>
      </c>
      <c r="G4003">
        <v>2023</v>
      </c>
      <c r="H4003" t="s">
        <v>31</v>
      </c>
      <c r="I4003" t="s">
        <v>32</v>
      </c>
      <c r="J4003">
        <v>756</v>
      </c>
      <c r="K4003">
        <v>201</v>
      </c>
      <c r="L4003">
        <f t="shared" ref="L4003:L4006" si="918">J4003-K4003</f>
        <v>555</v>
      </c>
      <c r="M4003">
        <v>240</v>
      </c>
      <c r="N4003">
        <f t="shared" ref="N4003:N4006" si="919">L4003-M4003</f>
        <v>315</v>
      </c>
    </row>
    <row r="4004" spans="1:14" x14ac:dyDescent="0.2">
      <c r="A4004" t="s">
        <v>4805</v>
      </c>
      <c r="B4004" s="1" t="s">
        <v>4775</v>
      </c>
      <c r="C4004" t="s">
        <v>14</v>
      </c>
      <c r="D4004" t="s">
        <v>1178</v>
      </c>
      <c r="E4004">
        <v>29</v>
      </c>
      <c r="F4004" t="s">
        <v>4536</v>
      </c>
      <c r="G4004">
        <v>2023</v>
      </c>
      <c r="H4004" t="s">
        <v>2487</v>
      </c>
      <c r="I4004" t="s">
        <v>135</v>
      </c>
      <c r="J4004">
        <v>711</v>
      </c>
      <c r="K4004">
        <v>200</v>
      </c>
      <c r="L4004">
        <f t="shared" si="918"/>
        <v>511</v>
      </c>
      <c r="M4004">
        <v>240</v>
      </c>
      <c r="N4004">
        <f t="shared" si="919"/>
        <v>271</v>
      </c>
    </row>
    <row r="4005" spans="1:14" x14ac:dyDescent="0.2">
      <c r="A4005" t="s">
        <v>4806</v>
      </c>
      <c r="B4005" s="1" t="s">
        <v>4775</v>
      </c>
      <c r="C4005" t="s">
        <v>14</v>
      </c>
      <c r="D4005" t="s">
        <v>2555</v>
      </c>
      <c r="E4005">
        <v>29</v>
      </c>
      <c r="F4005" t="s">
        <v>4536</v>
      </c>
      <c r="G4005">
        <v>2023</v>
      </c>
      <c r="H4005" t="s">
        <v>3653</v>
      </c>
      <c r="I4005" t="s">
        <v>171</v>
      </c>
      <c r="J4005">
        <v>889</v>
      </c>
      <c r="K4005">
        <v>290</v>
      </c>
      <c r="L4005">
        <f t="shared" si="918"/>
        <v>599</v>
      </c>
      <c r="M4005">
        <v>240</v>
      </c>
      <c r="N4005">
        <f t="shared" si="919"/>
        <v>359</v>
      </c>
    </row>
    <row r="4006" spans="1:14" x14ac:dyDescent="0.2">
      <c r="A4006" t="s">
        <v>4807</v>
      </c>
      <c r="B4006" s="1" t="s">
        <v>4775</v>
      </c>
      <c r="C4006" t="s">
        <v>14</v>
      </c>
      <c r="D4006" t="s">
        <v>895</v>
      </c>
      <c r="E4006">
        <v>29</v>
      </c>
      <c r="F4006" t="s">
        <v>4536</v>
      </c>
      <c r="G4006">
        <v>2023</v>
      </c>
      <c r="H4006" t="s">
        <v>1807</v>
      </c>
      <c r="I4006" t="s">
        <v>160</v>
      </c>
      <c r="J4006">
        <v>756</v>
      </c>
      <c r="K4006">
        <v>201</v>
      </c>
      <c r="L4006">
        <f t="shared" si="918"/>
        <v>555</v>
      </c>
      <c r="M4006">
        <v>240</v>
      </c>
      <c r="N4006">
        <f t="shared" si="919"/>
        <v>315</v>
      </c>
    </row>
    <row r="4007" spans="1:14" x14ac:dyDescent="0.2">
      <c r="A4007" t="s">
        <v>4731</v>
      </c>
      <c r="B4007" s="1" t="s">
        <v>4709</v>
      </c>
      <c r="C4007" t="s">
        <v>106</v>
      </c>
      <c r="D4007" t="s">
        <v>891</v>
      </c>
      <c r="E4007">
        <v>24</v>
      </c>
      <c r="F4007" t="s">
        <v>4536</v>
      </c>
      <c r="G4007">
        <v>2023</v>
      </c>
      <c r="H4007" t="s">
        <v>4732</v>
      </c>
      <c r="I4007" t="s">
        <v>32</v>
      </c>
      <c r="J4007">
        <v>-756</v>
      </c>
      <c r="K4007">
        <v>320</v>
      </c>
      <c r="L4007">
        <f t="shared" ref="L4007:L4008" si="920">J4007+K4007</f>
        <v>-436</v>
      </c>
      <c r="M4007">
        <v>240</v>
      </c>
      <c r="N4007">
        <f t="shared" ref="N4007:N4008" si="921">L4007+M4007</f>
        <v>-196</v>
      </c>
    </row>
    <row r="4008" spans="1:14" x14ac:dyDescent="0.2">
      <c r="A4008" t="s">
        <v>4690</v>
      </c>
      <c r="B4008" s="1" t="s">
        <v>4683</v>
      </c>
      <c r="C4008" t="s">
        <v>106</v>
      </c>
      <c r="D4008" t="s">
        <v>1015</v>
      </c>
      <c r="E4008">
        <v>21</v>
      </c>
      <c r="F4008" t="s">
        <v>4536</v>
      </c>
      <c r="G4008">
        <v>2023</v>
      </c>
      <c r="H4008" t="s">
        <v>157</v>
      </c>
      <c r="I4008" t="s">
        <v>97</v>
      </c>
      <c r="J4008">
        <v>-756</v>
      </c>
      <c r="K4008">
        <v>320</v>
      </c>
      <c r="L4008">
        <f t="shared" si="920"/>
        <v>-436</v>
      </c>
      <c r="M4008">
        <v>240</v>
      </c>
      <c r="N4008">
        <f t="shared" si="921"/>
        <v>-196</v>
      </c>
    </row>
    <row r="4009" spans="1:14" x14ac:dyDescent="0.2">
      <c r="A4009" t="s">
        <v>4809</v>
      </c>
      <c r="B4009" s="1" t="s">
        <v>4808</v>
      </c>
      <c r="C4009" t="s">
        <v>43</v>
      </c>
      <c r="D4009" t="s">
        <v>242</v>
      </c>
      <c r="E4009">
        <v>31</v>
      </c>
      <c r="F4009" t="s">
        <v>4536</v>
      </c>
      <c r="G4009">
        <v>2023</v>
      </c>
      <c r="H4009" t="s">
        <v>157</v>
      </c>
      <c r="I4009" t="s">
        <v>97</v>
      </c>
      <c r="J4009">
        <v>0</v>
      </c>
      <c r="K4009">
        <v>0</v>
      </c>
      <c r="L4009">
        <v>0</v>
      </c>
      <c r="M4009">
        <v>0</v>
      </c>
      <c r="N4009">
        <v>0</v>
      </c>
    </row>
    <row r="4010" spans="1:14" x14ac:dyDescent="0.2">
      <c r="A4010" t="s">
        <v>4810</v>
      </c>
      <c r="B4010" s="1" t="s">
        <v>4788</v>
      </c>
      <c r="C4010" t="s">
        <v>14</v>
      </c>
      <c r="D4010" t="s">
        <v>4626</v>
      </c>
      <c r="E4010">
        <v>30</v>
      </c>
      <c r="F4010" t="s">
        <v>4536</v>
      </c>
      <c r="G4010">
        <v>2023</v>
      </c>
      <c r="H4010" t="s">
        <v>2922</v>
      </c>
      <c r="I4010" t="s">
        <v>23</v>
      </c>
      <c r="J4010">
        <v>711</v>
      </c>
      <c r="K4010">
        <v>200</v>
      </c>
      <c r="L4010">
        <f t="shared" ref="L4010:L4012" si="922">J4010-K4010</f>
        <v>511</v>
      </c>
      <c r="M4010">
        <v>240</v>
      </c>
      <c r="N4010">
        <f t="shared" ref="N4010:N4012" si="923">L4010-M4010</f>
        <v>271</v>
      </c>
    </row>
    <row r="4011" spans="1:14" x14ac:dyDescent="0.2">
      <c r="A4011" t="s">
        <v>4789</v>
      </c>
      <c r="B4011" s="1" t="s">
        <v>4788</v>
      </c>
      <c r="C4011" t="s">
        <v>14</v>
      </c>
      <c r="D4011" t="s">
        <v>893</v>
      </c>
      <c r="E4011">
        <v>30</v>
      </c>
      <c r="F4011" t="s">
        <v>4536</v>
      </c>
      <c r="G4011">
        <v>2023</v>
      </c>
      <c r="H4011" t="s">
        <v>223</v>
      </c>
      <c r="I4011" t="s">
        <v>32</v>
      </c>
      <c r="J4011">
        <v>756</v>
      </c>
      <c r="K4011">
        <v>201</v>
      </c>
      <c r="L4011">
        <f t="shared" si="922"/>
        <v>555</v>
      </c>
      <c r="M4011">
        <v>240</v>
      </c>
      <c r="N4011">
        <f t="shared" si="923"/>
        <v>315</v>
      </c>
    </row>
    <row r="4012" spans="1:14" x14ac:dyDescent="0.2">
      <c r="A4012" t="s">
        <v>4811</v>
      </c>
      <c r="B4012" s="1" t="s">
        <v>4788</v>
      </c>
      <c r="C4012" t="s">
        <v>14</v>
      </c>
      <c r="D4012" t="s">
        <v>890</v>
      </c>
      <c r="E4012">
        <v>30</v>
      </c>
      <c r="F4012" t="s">
        <v>4536</v>
      </c>
      <c r="G4012">
        <v>2023</v>
      </c>
      <c r="H4012" t="s">
        <v>157</v>
      </c>
      <c r="I4012" t="s">
        <v>97</v>
      </c>
      <c r="J4012">
        <v>756</v>
      </c>
      <c r="K4012">
        <v>201</v>
      </c>
      <c r="L4012">
        <f t="shared" si="922"/>
        <v>555</v>
      </c>
      <c r="M4012">
        <v>240</v>
      </c>
      <c r="N4012">
        <f t="shared" si="923"/>
        <v>315</v>
      </c>
    </row>
    <row r="4013" spans="1:14" x14ac:dyDescent="0.2">
      <c r="A4013" t="s">
        <v>4812</v>
      </c>
      <c r="B4013" s="1" t="s">
        <v>4788</v>
      </c>
      <c r="C4013" t="s">
        <v>20</v>
      </c>
      <c r="D4013" t="s">
        <v>786</v>
      </c>
      <c r="E4013">
        <v>30</v>
      </c>
      <c r="F4013" t="s">
        <v>4536</v>
      </c>
      <c r="G4013">
        <v>2023</v>
      </c>
      <c r="H4013" t="s">
        <v>31</v>
      </c>
      <c r="I4013" t="s">
        <v>32</v>
      </c>
      <c r="J4013">
        <v>0</v>
      </c>
      <c r="K4013">
        <v>0</v>
      </c>
      <c r="L4013">
        <v>0</v>
      </c>
      <c r="M4013">
        <v>0</v>
      </c>
      <c r="N4013">
        <v>0</v>
      </c>
    </row>
    <row r="4014" spans="1:14" x14ac:dyDescent="0.2">
      <c r="A4014" t="s">
        <v>4813</v>
      </c>
      <c r="B4014" s="1" t="s">
        <v>4788</v>
      </c>
      <c r="C4014" t="s">
        <v>14</v>
      </c>
      <c r="D4014" t="s">
        <v>863</v>
      </c>
      <c r="E4014">
        <v>30</v>
      </c>
      <c r="F4014" t="s">
        <v>4536</v>
      </c>
      <c r="G4014">
        <v>2023</v>
      </c>
      <c r="H4014" t="s">
        <v>246</v>
      </c>
      <c r="I4014" t="s">
        <v>58</v>
      </c>
      <c r="J4014">
        <v>711</v>
      </c>
      <c r="K4014">
        <v>200</v>
      </c>
      <c r="L4014">
        <f t="shared" ref="L4014:L4037" si="924">J4014-K4014</f>
        <v>511</v>
      </c>
      <c r="M4014">
        <v>240</v>
      </c>
      <c r="N4014">
        <f t="shared" ref="N4014:N4037" si="925">L4014-M4014</f>
        <v>271</v>
      </c>
    </row>
    <row r="4015" spans="1:14" x14ac:dyDescent="0.2">
      <c r="A4015" t="s">
        <v>4814</v>
      </c>
      <c r="B4015" s="1" t="s">
        <v>4788</v>
      </c>
      <c r="C4015" t="s">
        <v>14</v>
      </c>
      <c r="D4015" t="s">
        <v>308</v>
      </c>
      <c r="E4015">
        <v>30</v>
      </c>
      <c r="F4015" t="s">
        <v>4536</v>
      </c>
      <c r="G4015">
        <v>2023</v>
      </c>
      <c r="H4015" t="s">
        <v>246</v>
      </c>
      <c r="I4015" t="s">
        <v>58</v>
      </c>
      <c r="J4015">
        <v>800</v>
      </c>
      <c r="K4015">
        <v>212</v>
      </c>
      <c r="L4015">
        <f t="shared" si="924"/>
        <v>588</v>
      </c>
      <c r="M4015">
        <v>240</v>
      </c>
      <c r="N4015">
        <f t="shared" si="925"/>
        <v>348</v>
      </c>
    </row>
    <row r="4016" spans="1:14" x14ac:dyDescent="0.2">
      <c r="A4016" t="s">
        <v>4815</v>
      </c>
      <c r="B4016" s="1" t="s">
        <v>4788</v>
      </c>
      <c r="C4016" t="s">
        <v>14</v>
      </c>
      <c r="D4016" t="s">
        <v>1486</v>
      </c>
      <c r="E4016">
        <v>30</v>
      </c>
      <c r="F4016" t="s">
        <v>4536</v>
      </c>
      <c r="G4016">
        <v>2023</v>
      </c>
      <c r="H4016" t="s">
        <v>272</v>
      </c>
      <c r="I4016" t="s">
        <v>23</v>
      </c>
      <c r="J4016">
        <v>889</v>
      </c>
      <c r="K4016">
        <v>290</v>
      </c>
      <c r="L4016">
        <f t="shared" si="924"/>
        <v>599</v>
      </c>
      <c r="M4016">
        <v>240</v>
      </c>
      <c r="N4016">
        <f t="shared" si="925"/>
        <v>359</v>
      </c>
    </row>
    <row r="4017" spans="1:14" x14ac:dyDescent="0.2">
      <c r="A4017" t="s">
        <v>4790</v>
      </c>
      <c r="B4017" s="1" t="s">
        <v>4788</v>
      </c>
      <c r="C4017" t="s">
        <v>14</v>
      </c>
      <c r="D4017" t="s">
        <v>1303</v>
      </c>
      <c r="E4017">
        <v>30</v>
      </c>
      <c r="F4017" t="s">
        <v>4536</v>
      </c>
      <c r="G4017">
        <v>2023</v>
      </c>
      <c r="H4017" t="s">
        <v>104</v>
      </c>
      <c r="I4017" t="s">
        <v>62</v>
      </c>
      <c r="J4017">
        <v>756</v>
      </c>
      <c r="K4017">
        <v>201</v>
      </c>
      <c r="L4017">
        <f t="shared" si="924"/>
        <v>555</v>
      </c>
      <c r="M4017">
        <v>240</v>
      </c>
      <c r="N4017">
        <f t="shared" si="925"/>
        <v>315</v>
      </c>
    </row>
    <row r="4018" spans="1:14" x14ac:dyDescent="0.2">
      <c r="A4018" t="s">
        <v>4816</v>
      </c>
      <c r="B4018" s="1" t="s">
        <v>4788</v>
      </c>
      <c r="C4018" t="s">
        <v>14</v>
      </c>
      <c r="D4018" t="s">
        <v>3489</v>
      </c>
      <c r="E4018">
        <v>30</v>
      </c>
      <c r="F4018" t="s">
        <v>4536</v>
      </c>
      <c r="G4018">
        <v>2023</v>
      </c>
      <c r="H4018" t="s">
        <v>4817</v>
      </c>
      <c r="I4018" t="s">
        <v>23</v>
      </c>
      <c r="J4018">
        <v>711</v>
      </c>
      <c r="K4018">
        <v>200</v>
      </c>
      <c r="L4018">
        <f t="shared" si="924"/>
        <v>511</v>
      </c>
      <c r="M4018">
        <v>240</v>
      </c>
      <c r="N4018">
        <f t="shared" si="925"/>
        <v>271</v>
      </c>
    </row>
    <row r="4019" spans="1:14" x14ac:dyDescent="0.2">
      <c r="A4019" t="s">
        <v>4818</v>
      </c>
      <c r="B4019" s="1" t="s">
        <v>4788</v>
      </c>
      <c r="C4019" t="s">
        <v>14</v>
      </c>
      <c r="D4019" t="s">
        <v>1015</v>
      </c>
      <c r="E4019">
        <v>30</v>
      </c>
      <c r="F4019" t="s">
        <v>4536</v>
      </c>
      <c r="G4019">
        <v>2023</v>
      </c>
      <c r="H4019" t="s">
        <v>1496</v>
      </c>
      <c r="I4019" t="s">
        <v>97</v>
      </c>
      <c r="J4019">
        <v>756</v>
      </c>
      <c r="K4019">
        <v>201</v>
      </c>
      <c r="L4019">
        <f t="shared" si="924"/>
        <v>555</v>
      </c>
      <c r="M4019">
        <v>240</v>
      </c>
      <c r="N4019">
        <f t="shared" si="925"/>
        <v>315</v>
      </c>
    </row>
    <row r="4020" spans="1:14" x14ac:dyDescent="0.2">
      <c r="A4020" t="s">
        <v>4819</v>
      </c>
      <c r="B4020" s="1" t="s">
        <v>4788</v>
      </c>
      <c r="C4020" t="s">
        <v>14</v>
      </c>
      <c r="D4020" t="s">
        <v>954</v>
      </c>
      <c r="E4020">
        <v>30</v>
      </c>
      <c r="F4020" t="s">
        <v>4536</v>
      </c>
      <c r="G4020">
        <v>2023</v>
      </c>
      <c r="H4020" t="s">
        <v>157</v>
      </c>
      <c r="I4020" t="s">
        <v>97</v>
      </c>
      <c r="J4020">
        <v>711</v>
      </c>
      <c r="K4020">
        <v>200</v>
      </c>
      <c r="L4020">
        <f t="shared" si="924"/>
        <v>511</v>
      </c>
      <c r="M4020">
        <v>240</v>
      </c>
      <c r="N4020">
        <f t="shared" si="925"/>
        <v>271</v>
      </c>
    </row>
    <row r="4021" spans="1:14" x14ac:dyDescent="0.2">
      <c r="A4021" t="s">
        <v>4820</v>
      </c>
      <c r="B4021" s="1" t="s">
        <v>4788</v>
      </c>
      <c r="C4021" t="s">
        <v>14</v>
      </c>
      <c r="D4021" t="s">
        <v>1539</v>
      </c>
      <c r="E4021">
        <v>30</v>
      </c>
      <c r="F4021" t="s">
        <v>4536</v>
      </c>
      <c r="G4021">
        <v>2023</v>
      </c>
      <c r="H4021" t="s">
        <v>4821</v>
      </c>
      <c r="I4021" t="s">
        <v>2020</v>
      </c>
      <c r="J4021">
        <v>711</v>
      </c>
      <c r="K4021">
        <v>200</v>
      </c>
      <c r="L4021">
        <f t="shared" si="924"/>
        <v>511</v>
      </c>
      <c r="M4021">
        <v>240</v>
      </c>
      <c r="N4021">
        <f t="shared" si="925"/>
        <v>271</v>
      </c>
    </row>
    <row r="4022" spans="1:14" x14ac:dyDescent="0.2">
      <c r="A4022" t="s">
        <v>4822</v>
      </c>
      <c r="B4022" s="1" t="s">
        <v>4788</v>
      </c>
      <c r="C4022" t="s">
        <v>14</v>
      </c>
      <c r="D4022" t="s">
        <v>954</v>
      </c>
      <c r="E4022">
        <v>30</v>
      </c>
      <c r="F4022" t="s">
        <v>4536</v>
      </c>
      <c r="G4022">
        <v>2023</v>
      </c>
      <c r="H4022" t="s">
        <v>170</v>
      </c>
      <c r="I4022" t="s">
        <v>171</v>
      </c>
      <c r="J4022">
        <v>711</v>
      </c>
      <c r="K4022">
        <v>200</v>
      </c>
      <c r="L4022">
        <f t="shared" si="924"/>
        <v>511</v>
      </c>
      <c r="M4022">
        <v>240</v>
      </c>
      <c r="N4022">
        <f t="shared" si="925"/>
        <v>271</v>
      </c>
    </row>
    <row r="4023" spans="1:14" x14ac:dyDescent="0.2">
      <c r="A4023" t="s">
        <v>4823</v>
      </c>
      <c r="B4023" s="1" t="s">
        <v>4808</v>
      </c>
      <c r="C4023" t="s">
        <v>14</v>
      </c>
      <c r="D4023" t="s">
        <v>548</v>
      </c>
      <c r="E4023">
        <v>31</v>
      </c>
      <c r="F4023" t="s">
        <v>4536</v>
      </c>
      <c r="G4023">
        <v>2023</v>
      </c>
      <c r="H4023" t="s">
        <v>910</v>
      </c>
      <c r="I4023" t="s">
        <v>122</v>
      </c>
      <c r="J4023">
        <v>800</v>
      </c>
      <c r="K4023">
        <v>212</v>
      </c>
      <c r="L4023">
        <f t="shared" si="924"/>
        <v>588</v>
      </c>
      <c r="M4023">
        <v>240</v>
      </c>
      <c r="N4023">
        <f t="shared" si="925"/>
        <v>348</v>
      </c>
    </row>
    <row r="4024" spans="1:14" x14ac:dyDescent="0.2">
      <c r="A4024" t="s">
        <v>4824</v>
      </c>
      <c r="B4024" s="1" t="s">
        <v>4808</v>
      </c>
      <c r="C4024" t="s">
        <v>14</v>
      </c>
      <c r="D4024" t="s">
        <v>70</v>
      </c>
      <c r="E4024">
        <v>31</v>
      </c>
      <c r="F4024" t="s">
        <v>4536</v>
      </c>
      <c r="G4024">
        <v>2023</v>
      </c>
      <c r="H4024" t="s">
        <v>4825</v>
      </c>
      <c r="I4024" t="s">
        <v>122</v>
      </c>
      <c r="J4024">
        <v>756</v>
      </c>
      <c r="K4024">
        <v>201</v>
      </c>
      <c r="L4024">
        <f t="shared" si="924"/>
        <v>555</v>
      </c>
      <c r="M4024">
        <v>240</v>
      </c>
      <c r="N4024">
        <f t="shared" si="925"/>
        <v>315</v>
      </c>
    </row>
    <row r="4025" spans="1:14" x14ac:dyDescent="0.2">
      <c r="A4025" t="s">
        <v>4826</v>
      </c>
      <c r="B4025" s="1" t="s">
        <v>4808</v>
      </c>
      <c r="C4025" t="s">
        <v>14</v>
      </c>
      <c r="D4025" t="s">
        <v>448</v>
      </c>
      <c r="E4025">
        <v>31</v>
      </c>
      <c r="F4025" t="s">
        <v>4536</v>
      </c>
      <c r="G4025">
        <v>2023</v>
      </c>
      <c r="H4025" t="s">
        <v>246</v>
      </c>
      <c r="I4025" t="s">
        <v>58</v>
      </c>
      <c r="J4025">
        <v>800</v>
      </c>
      <c r="K4025">
        <v>212</v>
      </c>
      <c r="L4025">
        <f t="shared" si="924"/>
        <v>588</v>
      </c>
      <c r="M4025">
        <v>240</v>
      </c>
      <c r="N4025">
        <f t="shared" si="925"/>
        <v>348</v>
      </c>
    </row>
    <row r="4026" spans="1:14" x14ac:dyDescent="0.2">
      <c r="A4026" t="s">
        <v>4827</v>
      </c>
      <c r="B4026" s="1" t="s">
        <v>4808</v>
      </c>
      <c r="C4026" t="s">
        <v>14</v>
      </c>
      <c r="D4026" t="s">
        <v>890</v>
      </c>
      <c r="E4026">
        <v>31</v>
      </c>
      <c r="F4026" t="s">
        <v>4536</v>
      </c>
      <c r="G4026">
        <v>2023</v>
      </c>
      <c r="H4026" t="s">
        <v>4828</v>
      </c>
      <c r="I4026" t="s">
        <v>58</v>
      </c>
      <c r="J4026">
        <v>756</v>
      </c>
      <c r="K4026">
        <v>201</v>
      </c>
      <c r="L4026">
        <f t="shared" si="924"/>
        <v>555</v>
      </c>
      <c r="M4026">
        <v>240</v>
      </c>
      <c r="N4026">
        <f t="shared" si="925"/>
        <v>315</v>
      </c>
    </row>
    <row r="4027" spans="1:14" x14ac:dyDescent="0.2">
      <c r="A4027" t="s">
        <v>4829</v>
      </c>
      <c r="B4027" s="1" t="s">
        <v>4808</v>
      </c>
      <c r="C4027" t="s">
        <v>14</v>
      </c>
      <c r="D4027" t="s">
        <v>1089</v>
      </c>
      <c r="E4027">
        <v>31</v>
      </c>
      <c r="F4027" t="s">
        <v>4536</v>
      </c>
      <c r="G4027">
        <v>2023</v>
      </c>
      <c r="H4027" t="s">
        <v>104</v>
      </c>
      <c r="I4027" t="s">
        <v>62</v>
      </c>
      <c r="J4027">
        <v>711</v>
      </c>
      <c r="K4027">
        <v>200</v>
      </c>
      <c r="L4027">
        <f t="shared" si="924"/>
        <v>511</v>
      </c>
      <c r="M4027">
        <v>240</v>
      </c>
      <c r="N4027">
        <f t="shared" si="925"/>
        <v>271</v>
      </c>
    </row>
    <row r="4028" spans="1:14" x14ac:dyDescent="0.2">
      <c r="A4028" t="s">
        <v>4830</v>
      </c>
      <c r="B4028" s="1" t="s">
        <v>4808</v>
      </c>
      <c r="C4028" t="s">
        <v>14</v>
      </c>
      <c r="D4028" t="s">
        <v>3378</v>
      </c>
      <c r="E4028">
        <v>31</v>
      </c>
      <c r="F4028" t="s">
        <v>4536</v>
      </c>
      <c r="G4028">
        <v>2023</v>
      </c>
      <c r="H4028" t="s">
        <v>567</v>
      </c>
      <c r="I4028" t="s">
        <v>23</v>
      </c>
      <c r="J4028">
        <v>711</v>
      </c>
      <c r="K4028">
        <v>200</v>
      </c>
      <c r="L4028">
        <f t="shared" si="924"/>
        <v>511</v>
      </c>
      <c r="M4028">
        <v>240</v>
      </c>
      <c r="N4028">
        <f t="shared" si="925"/>
        <v>271</v>
      </c>
    </row>
    <row r="4029" spans="1:14" x14ac:dyDescent="0.2">
      <c r="A4029" t="s">
        <v>4831</v>
      </c>
      <c r="B4029" s="1" t="s">
        <v>4808</v>
      </c>
      <c r="C4029" t="s">
        <v>14</v>
      </c>
      <c r="D4029" t="s">
        <v>890</v>
      </c>
      <c r="E4029">
        <v>31</v>
      </c>
      <c r="F4029" t="s">
        <v>4536</v>
      </c>
      <c r="G4029">
        <v>2023</v>
      </c>
      <c r="H4029" t="s">
        <v>84</v>
      </c>
      <c r="I4029" t="s">
        <v>85</v>
      </c>
      <c r="J4029">
        <v>756</v>
      </c>
      <c r="K4029">
        <v>201</v>
      </c>
      <c r="L4029">
        <f t="shared" si="924"/>
        <v>555</v>
      </c>
      <c r="M4029">
        <v>240</v>
      </c>
      <c r="N4029">
        <f t="shared" si="925"/>
        <v>315</v>
      </c>
    </row>
    <row r="4030" spans="1:14" x14ac:dyDescent="0.2">
      <c r="A4030" t="s">
        <v>4832</v>
      </c>
      <c r="B4030" s="1" t="s">
        <v>4808</v>
      </c>
      <c r="C4030" t="s">
        <v>14</v>
      </c>
      <c r="D4030" t="s">
        <v>607</v>
      </c>
      <c r="E4030">
        <v>31</v>
      </c>
      <c r="F4030" t="s">
        <v>4536</v>
      </c>
      <c r="G4030">
        <v>2023</v>
      </c>
      <c r="H4030" t="s">
        <v>157</v>
      </c>
      <c r="I4030" t="s">
        <v>97</v>
      </c>
      <c r="J4030">
        <v>711</v>
      </c>
      <c r="K4030">
        <v>200</v>
      </c>
      <c r="L4030">
        <f t="shared" si="924"/>
        <v>511</v>
      </c>
      <c r="M4030">
        <v>240</v>
      </c>
      <c r="N4030">
        <f t="shared" si="925"/>
        <v>271</v>
      </c>
    </row>
    <row r="4031" spans="1:14" x14ac:dyDescent="0.2">
      <c r="A4031" t="s">
        <v>4833</v>
      </c>
      <c r="B4031" s="1" t="s">
        <v>4808</v>
      </c>
      <c r="C4031" t="s">
        <v>14</v>
      </c>
      <c r="D4031" t="s">
        <v>308</v>
      </c>
      <c r="E4031">
        <v>31</v>
      </c>
      <c r="F4031" t="s">
        <v>4536</v>
      </c>
      <c r="G4031">
        <v>2023</v>
      </c>
      <c r="H4031" t="s">
        <v>170</v>
      </c>
      <c r="I4031" t="s">
        <v>171</v>
      </c>
      <c r="J4031">
        <v>800</v>
      </c>
      <c r="K4031">
        <v>212</v>
      </c>
      <c r="L4031">
        <f t="shared" si="924"/>
        <v>588</v>
      </c>
      <c r="M4031">
        <v>240</v>
      </c>
      <c r="N4031">
        <f t="shared" si="925"/>
        <v>348</v>
      </c>
    </row>
    <row r="4032" spans="1:14" x14ac:dyDescent="0.2">
      <c r="A4032" t="s">
        <v>4834</v>
      </c>
      <c r="B4032" s="1" t="s">
        <v>4808</v>
      </c>
      <c r="C4032" t="s">
        <v>14</v>
      </c>
      <c r="D4032" t="s">
        <v>420</v>
      </c>
      <c r="E4032">
        <v>31</v>
      </c>
      <c r="F4032" t="s">
        <v>4536</v>
      </c>
      <c r="G4032">
        <v>2023</v>
      </c>
      <c r="H4032" t="s">
        <v>668</v>
      </c>
      <c r="I4032" t="s">
        <v>502</v>
      </c>
      <c r="J4032">
        <v>800</v>
      </c>
      <c r="K4032">
        <v>212</v>
      </c>
      <c r="L4032">
        <f t="shared" si="924"/>
        <v>588</v>
      </c>
      <c r="M4032">
        <v>240</v>
      </c>
      <c r="N4032">
        <f t="shared" si="925"/>
        <v>348</v>
      </c>
    </row>
    <row r="4033" spans="1:14" x14ac:dyDescent="0.2">
      <c r="A4033" t="s">
        <v>4835</v>
      </c>
      <c r="B4033" s="1" t="s">
        <v>4808</v>
      </c>
      <c r="C4033" t="s">
        <v>14</v>
      </c>
      <c r="D4033" t="s">
        <v>573</v>
      </c>
      <c r="E4033">
        <v>31</v>
      </c>
      <c r="F4033" t="s">
        <v>4536</v>
      </c>
      <c r="G4033">
        <v>2023</v>
      </c>
      <c r="H4033" t="s">
        <v>4836</v>
      </c>
      <c r="I4033" t="s">
        <v>160</v>
      </c>
      <c r="J4033">
        <v>800</v>
      </c>
      <c r="K4033">
        <v>212</v>
      </c>
      <c r="L4033">
        <f t="shared" si="924"/>
        <v>588</v>
      </c>
      <c r="M4033">
        <v>240</v>
      </c>
      <c r="N4033">
        <f t="shared" si="925"/>
        <v>348</v>
      </c>
    </row>
    <row r="4034" spans="1:14" x14ac:dyDescent="0.2">
      <c r="A4034" t="s">
        <v>4837</v>
      </c>
      <c r="B4034" s="1" t="s">
        <v>4808</v>
      </c>
      <c r="C4034" t="s">
        <v>14</v>
      </c>
      <c r="D4034" t="s">
        <v>4838</v>
      </c>
      <c r="E4034">
        <v>31</v>
      </c>
      <c r="F4034" t="s">
        <v>4536</v>
      </c>
      <c r="G4034">
        <v>2023</v>
      </c>
      <c r="H4034" t="s">
        <v>1557</v>
      </c>
      <c r="I4034" t="s">
        <v>85</v>
      </c>
      <c r="J4034">
        <v>756</v>
      </c>
      <c r="K4034">
        <v>201</v>
      </c>
      <c r="L4034">
        <f t="shared" si="924"/>
        <v>555</v>
      </c>
      <c r="M4034">
        <v>240</v>
      </c>
      <c r="N4034">
        <f t="shared" si="925"/>
        <v>315</v>
      </c>
    </row>
    <row r="4035" spans="1:14" x14ac:dyDescent="0.2">
      <c r="A4035" t="s">
        <v>4839</v>
      </c>
      <c r="B4035" s="1" t="s">
        <v>4808</v>
      </c>
      <c r="C4035" t="s">
        <v>14</v>
      </c>
      <c r="D4035" t="s">
        <v>4465</v>
      </c>
      <c r="E4035">
        <v>31</v>
      </c>
      <c r="F4035" t="s">
        <v>4536</v>
      </c>
      <c r="G4035">
        <v>2023</v>
      </c>
      <c r="H4035" t="s">
        <v>157</v>
      </c>
      <c r="I4035" t="s">
        <v>97</v>
      </c>
      <c r="J4035">
        <v>711</v>
      </c>
      <c r="K4035">
        <v>200</v>
      </c>
      <c r="L4035">
        <f t="shared" si="924"/>
        <v>511</v>
      </c>
      <c r="M4035">
        <v>240</v>
      </c>
      <c r="N4035">
        <f t="shared" si="925"/>
        <v>271</v>
      </c>
    </row>
    <row r="4036" spans="1:14" x14ac:dyDescent="0.2">
      <c r="A4036" t="s">
        <v>4840</v>
      </c>
      <c r="B4036" s="1" t="s">
        <v>4808</v>
      </c>
      <c r="C4036" t="s">
        <v>14</v>
      </c>
      <c r="D4036" t="s">
        <v>2328</v>
      </c>
      <c r="E4036">
        <v>31</v>
      </c>
      <c r="F4036" t="s">
        <v>4536</v>
      </c>
      <c r="G4036">
        <v>2023</v>
      </c>
      <c r="H4036" t="s">
        <v>84</v>
      </c>
      <c r="I4036" t="s">
        <v>85</v>
      </c>
      <c r="J4036">
        <v>711</v>
      </c>
      <c r="K4036">
        <v>200</v>
      </c>
      <c r="L4036">
        <f t="shared" si="924"/>
        <v>511</v>
      </c>
      <c r="M4036">
        <v>240</v>
      </c>
      <c r="N4036">
        <f t="shared" si="925"/>
        <v>271</v>
      </c>
    </row>
    <row r="4037" spans="1:14" x14ac:dyDescent="0.2">
      <c r="A4037" t="s">
        <v>4841</v>
      </c>
      <c r="B4037" s="1" t="s">
        <v>4808</v>
      </c>
      <c r="C4037" t="s">
        <v>14</v>
      </c>
      <c r="D4037" t="s">
        <v>1089</v>
      </c>
      <c r="E4037">
        <v>31</v>
      </c>
      <c r="F4037" t="s">
        <v>4536</v>
      </c>
      <c r="G4037">
        <v>2023</v>
      </c>
      <c r="H4037" t="s">
        <v>351</v>
      </c>
      <c r="I4037" t="s">
        <v>85</v>
      </c>
      <c r="J4037">
        <v>711</v>
      </c>
      <c r="K4037">
        <v>200</v>
      </c>
      <c r="L4037">
        <f t="shared" si="924"/>
        <v>511</v>
      </c>
      <c r="M4037">
        <v>240</v>
      </c>
      <c r="N4037">
        <f t="shared" si="925"/>
        <v>271</v>
      </c>
    </row>
    <row r="4038" spans="1:14" x14ac:dyDescent="0.2">
      <c r="A4038" t="s">
        <v>4842</v>
      </c>
      <c r="B4038" s="1" t="s">
        <v>4808</v>
      </c>
      <c r="C4038" t="s">
        <v>20</v>
      </c>
      <c r="D4038" t="s">
        <v>1233</v>
      </c>
      <c r="E4038">
        <v>31</v>
      </c>
      <c r="F4038" t="s">
        <v>4536</v>
      </c>
      <c r="G4038">
        <v>2023</v>
      </c>
      <c r="H4038" t="s">
        <v>4724</v>
      </c>
      <c r="I4038" t="s">
        <v>122</v>
      </c>
      <c r="J4038">
        <v>0</v>
      </c>
      <c r="K4038">
        <v>0</v>
      </c>
      <c r="L4038">
        <v>0</v>
      </c>
      <c r="M4038">
        <v>0</v>
      </c>
      <c r="N4038">
        <v>0</v>
      </c>
    </row>
    <row r="4039" spans="1:14" x14ac:dyDescent="0.2">
      <c r="A4039" t="s">
        <v>4843</v>
      </c>
      <c r="B4039" s="1" t="s">
        <v>4808</v>
      </c>
      <c r="C4039" t="s">
        <v>14</v>
      </c>
      <c r="D4039" t="s">
        <v>448</v>
      </c>
      <c r="E4039">
        <v>31</v>
      </c>
      <c r="F4039" t="s">
        <v>4536</v>
      </c>
      <c r="G4039">
        <v>2023</v>
      </c>
      <c r="H4039" t="s">
        <v>1807</v>
      </c>
      <c r="I4039" t="s">
        <v>160</v>
      </c>
      <c r="J4039">
        <v>800</v>
      </c>
      <c r="K4039">
        <v>212</v>
      </c>
      <c r="L4039">
        <f t="shared" ref="L4039" si="926">J4039-K4039</f>
        <v>588</v>
      </c>
      <c r="M4039">
        <v>240</v>
      </c>
      <c r="N4039">
        <f t="shared" ref="N4039:N4040" si="927">L4039-M4039</f>
        <v>348</v>
      </c>
    </row>
    <row r="4040" spans="1:14" x14ac:dyDescent="0.2">
      <c r="A4040" t="s">
        <v>4844</v>
      </c>
      <c r="B4040" s="1" t="s">
        <v>4808</v>
      </c>
      <c r="C4040" t="s">
        <v>14</v>
      </c>
      <c r="D4040" t="s">
        <v>840</v>
      </c>
      <c r="E4040">
        <v>31</v>
      </c>
      <c r="F4040" t="s">
        <v>4536</v>
      </c>
      <c r="G4040">
        <v>2023</v>
      </c>
      <c r="H4040" t="s">
        <v>832</v>
      </c>
      <c r="I4040" t="s">
        <v>122</v>
      </c>
      <c r="J4040">
        <v>889</v>
      </c>
      <c r="K4040">
        <v>290</v>
      </c>
      <c r="L4040">
        <f>J4040-K4040</f>
        <v>599</v>
      </c>
      <c r="M4040">
        <v>240</v>
      </c>
      <c r="N4040">
        <f t="shared" si="927"/>
        <v>359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Pivot_Analysis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macbook </dc:creator>
  <cp:lastModifiedBy>macbook </cp:lastModifiedBy>
  <dcterms:created xsi:type="dcterms:W3CDTF">2026-01-14T11:07:05Z</dcterms:created>
  <dcterms:modified xsi:type="dcterms:W3CDTF">2026-01-16T17:11:10Z</dcterms:modified>
</cp:coreProperties>
</file>